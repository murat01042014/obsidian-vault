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0" windowWidth="28800" windowHeight="12315" tabRatio="500" activeTab="2"/>
  </bookViews>
  <sheets>
    <sheet name="Свод" sheetId="1" r:id="rId1"/>
    <sheet name="Параметры" sheetId="2" r:id="rId2"/>
    <sheet name="Штат" sheetId="3" r:id="rId3"/>
    <sheet name="Аутсорс" sheetId="9" r:id="rId4"/>
    <sheet name="Командировки" sheetId="4" r:id="rId5"/>
    <sheet name="Оснащение и офис" sheetId="5" r:id="rId6"/>
    <sheet name="Проекты" sheetId="8" r:id="rId7"/>
    <sheet name="Канцелярия" sheetId="7" r:id="rId8"/>
    <sheet name="Смета фото-видео" sheetId="6" r:id="rId9"/>
  </sheets>
  <definedNames>
    <definedName name="Авиа_межд">Параметры!$B$25</definedName>
    <definedName name="Авиа_РК">Параметры!$B$18</definedName>
    <definedName name="Аренда_депозит">Параметры!$B$48</definedName>
    <definedName name="Аренда_мес">Параметры!$B$32</definedName>
    <definedName name="Аренда_мес_2026">Параметры!$B$49</definedName>
    <definedName name="Аренда_с_НДС">Параметры!$B$47</definedName>
    <definedName name="Депозит_мес">Параметры!$B$33</definedName>
    <definedName name="Дней_межд">Параметры!$B$28</definedName>
    <definedName name="Дней_РК">Параметры!$B$21</definedName>
    <definedName name="Кап_ООСМС">Параметры!$B$11</definedName>
    <definedName name="Кап_СО">Параметры!$B$9</definedName>
    <definedName name="Коммун_мес">Параметры!$B$44</definedName>
    <definedName name="Курс">Параметры!$B$16</definedName>
    <definedName name="Мес_2026_новые">Параметры!$B$52</definedName>
    <definedName name="МЗП">Параметры!$B$4</definedName>
    <definedName name="МРП">Параметры!$B$5</definedName>
    <definedName name="НДС">Параметры!$B$35</definedName>
    <definedName name="Ночей_межд">Параметры!$B$29</definedName>
    <definedName name="Ночей_РК">Параметры!$B$22</definedName>
    <definedName name="ОСНС">Параметры!$B$14</definedName>
    <definedName name="ОСНС_полис">Параметры!$B$15</definedName>
    <definedName name="Отель_межд">Параметры!$B$26</definedName>
    <definedName name="Отель_РК">Параметры!$B$19</definedName>
    <definedName name="Парковка_мест">Параметры!$B$45</definedName>
    <definedName name="Парковка_цена">Параметры!$B$46</definedName>
    <definedName name="Площадь_офиса">Параметры!$B$42</definedName>
    <definedName name="Поездка_межд">Параметры!$B$31</definedName>
    <definedName name="Поездка_местн">Параметры!$B$24</definedName>
    <definedName name="Поездка_РК">Параметры!$B$23</definedName>
    <definedName name="Резерв">Параметры!$B$34</definedName>
    <definedName name="Сборка_мебели_проц">Параметры!$B$51</definedName>
    <definedName name="Ставка_аренды_м2">Параметры!$B$43</definedName>
    <definedName name="Ставка_ВОСМС">Параметры!$B$13</definedName>
    <definedName name="Ставка_ООСМС">Параметры!$B$10</definedName>
    <definedName name="Ставка_ОПВ">Параметры!$B$12</definedName>
    <definedName name="Ставка_ОПВР">Параметры!$B$7</definedName>
    <definedName name="Ставка_СН">Параметры!$B$6</definedName>
    <definedName name="Ставка_СО">Параметры!$B$8</definedName>
    <definedName name="Страх_межд">Параметры!$B$30</definedName>
    <definedName name="Сут_межд">Параметры!$B$27</definedName>
    <definedName name="Сут_РК">Параметры!$B$17</definedName>
    <definedName name="Трансп_РК">Параметры!$B$20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9" i="3" l="1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F19" i="7" l="1"/>
  <c r="F18" i="7"/>
  <c r="F17" i="7"/>
  <c r="F16" i="7"/>
  <c r="F15" i="7"/>
  <c r="F14" i="7"/>
  <c r="F20" i="7" s="1"/>
  <c r="E47" i="5" s="1"/>
  <c r="I47" i="5" s="1"/>
  <c r="B4" i="1" l="1"/>
  <c r="E36" i="5" l="1"/>
  <c r="I36" i="5" s="1"/>
  <c r="E30" i="5" l="1"/>
  <c r="E29" i="5"/>
  <c r="E28" i="5" l="1"/>
  <c r="I28" i="5" s="1"/>
  <c r="B44" i="2"/>
  <c r="B42" i="2"/>
  <c r="E11" i="9" l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F11" i="9" l="1"/>
  <c r="G4" i="9"/>
  <c r="G13" i="8"/>
  <c r="B18" i="1" s="1"/>
  <c r="G11" i="9" l="1"/>
  <c r="C11" i="4"/>
  <c r="C10" i="4"/>
  <c r="C9" i="4"/>
  <c r="C8" i="4"/>
  <c r="C7" i="4"/>
  <c r="A7" i="4"/>
  <c r="C6" i="4"/>
  <c r="A6" i="4"/>
  <c r="C5" i="4"/>
  <c r="A5" i="4"/>
  <c r="H31" i="3" l="1"/>
  <c r="G31" i="3"/>
  <c r="B5" i="1" s="1"/>
  <c r="E27" i="5" l="1"/>
  <c r="I27" i="5" s="1"/>
  <c r="E26" i="5"/>
  <c r="I26" i="5" s="1"/>
  <c r="E24" i="5"/>
  <c r="I30" i="5" l="1"/>
  <c r="E25" i="5" l="1"/>
  <c r="I25" i="5" s="1"/>
  <c r="I24" i="5"/>
  <c r="J15" i="3" l="1"/>
  <c r="K15" i="3" l="1"/>
  <c r="J20" i="3"/>
  <c r="J10" i="3"/>
  <c r="K20" i="3" l="1"/>
  <c r="K10" i="3"/>
  <c r="L7" i="3" l="1"/>
  <c r="L6" i="3"/>
  <c r="L5" i="3"/>
  <c r="F5" i="4" l="1"/>
  <c r="F6" i="4"/>
  <c r="B49" i="2"/>
  <c r="B52" i="2" s="1"/>
  <c r="I9" i="9" l="1"/>
  <c r="J9" i="9" s="1"/>
  <c r="I7" i="9"/>
  <c r="J7" i="9" s="1"/>
  <c r="I5" i="9"/>
  <c r="J5" i="9" s="1"/>
  <c r="I4" i="9"/>
  <c r="J4" i="9" s="1"/>
  <c r="I10" i="9"/>
  <c r="J10" i="9" s="1"/>
  <c r="I8" i="9"/>
  <c r="J8" i="9" s="1"/>
  <c r="I6" i="9"/>
  <c r="J6" i="9" s="1"/>
  <c r="L15" i="3"/>
  <c r="L8" i="3"/>
  <c r="L20" i="3"/>
  <c r="L10" i="3"/>
  <c r="L29" i="3"/>
  <c r="L25" i="3"/>
  <c r="L21" i="3"/>
  <c r="L16" i="3"/>
  <c r="L12" i="3"/>
  <c r="L11" i="3"/>
  <c r="L28" i="3"/>
  <c r="L24" i="3"/>
  <c r="L19" i="3"/>
  <c r="L27" i="3"/>
  <c r="L23" i="3"/>
  <c r="L18" i="3"/>
  <c r="L14" i="3"/>
  <c r="L9" i="3"/>
  <c r="L26" i="3"/>
  <c r="L22" i="3"/>
  <c r="L17" i="3"/>
  <c r="L13" i="3"/>
  <c r="E23" i="5"/>
  <c r="I23" i="5" s="1"/>
  <c r="E22" i="5"/>
  <c r="I22" i="5" s="1"/>
  <c r="E21" i="5"/>
  <c r="I21" i="5" s="1"/>
  <c r="E20" i="5"/>
  <c r="I20" i="5" s="1"/>
  <c r="F8" i="4" l="1"/>
  <c r="F7" i="4"/>
  <c r="F11" i="4"/>
  <c r="F10" i="4"/>
  <c r="F9" i="4"/>
  <c r="J11" i="9"/>
  <c r="B7" i="1" s="1"/>
  <c r="M15" i="3"/>
  <c r="M10" i="3"/>
  <c r="O10" i="3" s="1"/>
  <c r="M20" i="3"/>
  <c r="O20" i="3" s="1"/>
  <c r="E14" i="5"/>
  <c r="I13" i="5"/>
  <c r="O15" i="3" l="1"/>
  <c r="B32" i="2"/>
  <c r="I14" i="5" l="1"/>
  <c r="J29" i="3" l="1"/>
  <c r="J28" i="3"/>
  <c r="J27" i="3"/>
  <c r="J26" i="3"/>
  <c r="J25" i="3"/>
  <c r="J24" i="3"/>
  <c r="J23" i="3"/>
  <c r="K23" i="3" l="1"/>
  <c r="K24" i="3"/>
  <c r="K25" i="3"/>
  <c r="K26" i="3"/>
  <c r="K27" i="3"/>
  <c r="K28" i="3"/>
  <c r="K29" i="3"/>
  <c r="F10" i="7"/>
  <c r="F9" i="7"/>
  <c r="F8" i="7"/>
  <c r="F7" i="7"/>
  <c r="F6" i="7"/>
  <c r="F5" i="7"/>
  <c r="I19" i="5"/>
  <c r="I18" i="5"/>
  <c r="I17" i="5"/>
  <c r="B48" i="2"/>
  <c r="F11" i="7" l="1"/>
  <c r="E46" i="5" s="1"/>
  <c r="M26" i="3"/>
  <c r="O26" i="3" s="1"/>
  <c r="M25" i="3"/>
  <c r="O25" i="3" s="1"/>
  <c r="M29" i="3"/>
  <c r="O29" i="3" s="1"/>
  <c r="M28" i="3"/>
  <c r="O28" i="3" s="1"/>
  <c r="M24" i="3"/>
  <c r="O24" i="3" s="1"/>
  <c r="M27" i="3"/>
  <c r="O27" i="3" s="1"/>
  <c r="M23" i="3"/>
  <c r="O23" i="3" s="1"/>
  <c r="B47" i="2"/>
  <c r="G21" i="6"/>
  <c r="G20" i="6"/>
  <c r="G16" i="6"/>
  <c r="G12" i="6"/>
  <c r="G11" i="6"/>
  <c r="G10" i="6"/>
  <c r="G9" i="6"/>
  <c r="G8" i="6"/>
  <c r="G7" i="6"/>
  <c r="G6" i="6"/>
  <c r="I57" i="5"/>
  <c r="I56" i="5"/>
  <c r="I55" i="5"/>
  <c r="I54" i="5"/>
  <c r="I52" i="5"/>
  <c r="I51" i="5"/>
  <c r="I50" i="5"/>
  <c r="I49" i="5"/>
  <c r="I48" i="5"/>
  <c r="I45" i="5"/>
  <c r="I44" i="5"/>
  <c r="I43" i="5"/>
  <c r="I42" i="5"/>
  <c r="E41" i="5"/>
  <c r="I41" i="5" s="1"/>
  <c r="E40" i="5"/>
  <c r="I39" i="5"/>
  <c r="I38" i="5"/>
  <c r="I37" i="5"/>
  <c r="I35" i="5"/>
  <c r="I33" i="5"/>
  <c r="I32" i="5"/>
  <c r="I31" i="5"/>
  <c r="I29" i="5"/>
  <c r="I16" i="5"/>
  <c r="I15" i="5"/>
  <c r="I12" i="5"/>
  <c r="I11" i="5"/>
  <c r="I10" i="5"/>
  <c r="I9" i="5"/>
  <c r="I8" i="5"/>
  <c r="I7" i="5"/>
  <c r="I6" i="5"/>
  <c r="I5" i="5"/>
  <c r="H30" i="3"/>
  <c r="H32" i="3" s="1"/>
  <c r="G30" i="3"/>
  <c r="G32" i="3" s="1"/>
  <c r="J22" i="3"/>
  <c r="J21" i="3"/>
  <c r="J19" i="3"/>
  <c r="J18" i="3"/>
  <c r="J17" i="3"/>
  <c r="J16" i="3"/>
  <c r="J14" i="3"/>
  <c r="J13" i="3"/>
  <c r="J12" i="3"/>
  <c r="J11" i="3"/>
  <c r="J9" i="3"/>
  <c r="J8" i="3"/>
  <c r="J7" i="3"/>
  <c r="J6" i="3"/>
  <c r="J5" i="3"/>
  <c r="B31" i="2"/>
  <c r="B24" i="2"/>
  <c r="B23" i="2"/>
  <c r="B12" i="1" l="1"/>
  <c r="B13" i="1"/>
  <c r="G9" i="4"/>
  <c r="G8" i="4"/>
  <c r="G6" i="4"/>
  <c r="G5" i="4"/>
  <c r="G10" i="4"/>
  <c r="G11" i="4"/>
  <c r="G7" i="4"/>
  <c r="I40" i="5"/>
  <c r="I46" i="5"/>
  <c r="G22" i="6"/>
  <c r="G13" i="6"/>
  <c r="G17" i="6"/>
  <c r="K13" i="3"/>
  <c r="K16" i="3"/>
  <c r="K11" i="3"/>
  <c r="K14" i="3"/>
  <c r="K6" i="3"/>
  <c r="K9" i="3"/>
  <c r="K17" i="3"/>
  <c r="K19" i="3"/>
  <c r="K7" i="3"/>
  <c r="K21" i="3"/>
  <c r="K5" i="3"/>
  <c r="K8" i="3"/>
  <c r="K12" i="3"/>
  <c r="K18" i="3"/>
  <c r="K22" i="3"/>
  <c r="B11" i="1" l="1"/>
  <c r="M7" i="3"/>
  <c r="O7" i="3" s="1"/>
  <c r="M6" i="3"/>
  <c r="O6" i="3" s="1"/>
  <c r="N30" i="3"/>
  <c r="B8" i="1" s="1"/>
  <c r="G24" i="6"/>
  <c r="E34" i="5" s="1"/>
  <c r="I34" i="5" s="1"/>
  <c r="B10" i="1" s="1"/>
  <c r="M12" i="3"/>
  <c r="O12" i="3" s="1"/>
  <c r="M19" i="3"/>
  <c r="O19" i="3" s="1"/>
  <c r="G12" i="4"/>
  <c r="B9" i="1" s="1"/>
  <c r="M22" i="3"/>
  <c r="O22" i="3" s="1"/>
  <c r="M16" i="3"/>
  <c r="O16" i="3" s="1"/>
  <c r="M21" i="3"/>
  <c r="O21" i="3" s="1"/>
  <c r="M11" i="3"/>
  <c r="O11" i="3" s="1"/>
  <c r="M9" i="3"/>
  <c r="O9" i="3" s="1"/>
  <c r="M18" i="3"/>
  <c r="O18" i="3" s="1"/>
  <c r="M8" i="3"/>
  <c r="O8" i="3" s="1"/>
  <c r="M17" i="3"/>
  <c r="O17" i="3" s="1"/>
  <c r="M13" i="3"/>
  <c r="O13" i="3" s="1"/>
  <c r="K30" i="3"/>
  <c r="M5" i="3"/>
  <c r="M14" i="3"/>
  <c r="O14" i="3" s="1"/>
  <c r="O5" i="3" l="1"/>
  <c r="B6" i="1"/>
  <c r="B14" i="1" s="1"/>
  <c r="B15" i="1" s="1"/>
  <c r="M30" i="3"/>
  <c r="B16" i="1" l="1"/>
  <c r="B17" i="1" s="1"/>
  <c r="B19" i="1" s="1"/>
  <c r="O30" i="3"/>
</calcChain>
</file>

<file path=xl/comments1.xml><?xml version="1.0" encoding="utf-8"?>
<comments xmlns="http://schemas.openxmlformats.org/spreadsheetml/2006/main">
  <authors>
    <author>Unknown Author</author>
  </authors>
  <commentList>
    <comment ref="B11" authorId="0" shapeId="0">
      <text>
        <r>
          <rPr>
            <sz val="10"/>
            <rFont val="Arial"/>
            <family val="2"/>
          </rPr>
          <t>Исправлено 12.09.2026: было 10 МЗП (устаревшее значение до 2026 г.). С 1 января 2026 года предел для исчисления отчислений работодателя на ОСМС увеличен до 40 МЗП (лимит по взносам работника/ВОСМС — 20 МЗП, это другая величина и здесь не используется).</t>
        </r>
      </text>
    </comment>
    <comment ref="B17" authorId="0" shapeId="0">
      <text>
        <r>
          <rPr>
            <sz val="10"/>
            <rFont val="Arial"/>
            <family val="2"/>
          </rPr>
          <t>Исправлено 12.09.2026: было 6 МРП. Суточные в размере 2 МРП/день — прямая норма п.3 Правил возмещения командировочных расходов (пост. Правительства РК №256 от 11.05.2018 в ред. пост. №934 от 29.12.2018). 6 МРП — это лимит, при котором суточные НЕ облагаются ИПН (ст.319 НК РК), это другая величина.</t>
        </r>
      </text>
    </comment>
    <comment ref="B34" authorId="0" shapeId="0">
      <text>
        <r>
          <rPr>
            <sz val="10"/>
            <rFont val="Arial"/>
            <family val="2"/>
          </rPr>
          <t>Изменено 12.09.2026 по запросу: было 5%, стало 10% от ПРЯМЫХ ЗАТРАТ.</t>
        </r>
      </text>
    </comment>
  </commentList>
</comments>
</file>

<file path=xl/sharedStrings.xml><?xml version="1.0" encoding="utf-8"?>
<sst xmlns="http://schemas.openxmlformats.org/spreadsheetml/2006/main" count="717" uniqueCount="417">
  <si>
    <t>Статья</t>
  </si>
  <si>
    <t>Октябрь–декабрь 2026</t>
  </si>
  <si>
    <t>Параметры расчёта (меняйте значения в колонке B — всё пересчитается)</t>
  </si>
  <si>
    <t>Имя</t>
  </si>
  <si>
    <t>Значение</t>
  </si>
  <si>
    <t>Пояснение</t>
  </si>
  <si>
    <t>МЗП</t>
  </si>
  <si>
    <t>МЗП 2026, ₸</t>
  </si>
  <si>
    <t>МРП</t>
  </si>
  <si>
    <t>МРП 2026, ₸</t>
  </si>
  <si>
    <t>Ставка_СН</t>
  </si>
  <si>
    <t>Социальный налог — 6% (НК с 01.01.2026), база: оклад − ОПВ 10% − ВОСМС 2%</t>
  </si>
  <si>
    <t>Ставка_ОПВР</t>
  </si>
  <si>
    <t>Пенсионные взносы работодателя — 3,5% (2026)</t>
  </si>
  <si>
    <t>Ставка_СО</t>
  </si>
  <si>
    <t>Социальные отчисления — 5%, база до 7 МЗП</t>
  </si>
  <si>
    <t>Кап_СО</t>
  </si>
  <si>
    <t>Предел базы СО, в МЗП</t>
  </si>
  <si>
    <t>Ставка_ООСМС</t>
  </si>
  <si>
    <t>Отчисления на ОСМС работодателя — 3%</t>
  </si>
  <si>
    <t>Кап_ООСМС</t>
  </si>
  <si>
    <t>Предел базы ООСМС, в МЗП (с 01.01.2026 предел вырос с 10 до 40 МЗП — изм. в Закон РК "Об обязательном соц. мед. страховании"; было 10 МЗП — это предел до 2025 г.)</t>
  </si>
  <si>
    <t>Ставка_ОПВ</t>
  </si>
  <si>
    <t>ОПВ работника 10% — удерживается из оклада (для базы СН и СО)</t>
  </si>
  <si>
    <t>Ставка_ВОСМС</t>
  </si>
  <si>
    <t>ВОСМС работника 2% — удерживается из оклада</t>
  </si>
  <si>
    <t>ОСНС</t>
  </si>
  <si>
    <t>ОСНС на штатного сотрудника в год, ₸</t>
  </si>
  <si>
    <t>Курс</t>
  </si>
  <si>
    <t>₸ за 1 $</t>
  </si>
  <si>
    <t>Сут_РК</t>
  </si>
  <si>
    <t>Суточные по РК, МРП в день (норма 2 МРП/день — п.3 Правил, утв. пост. Правительства РК от 11.05.2018 № 256, с изм. от 29.12.2018 № 934; было 6 МРП — это порог необлагаемости суточных по ст.319 НК РК, а не норма возмещения)</t>
  </si>
  <si>
    <t>Авиа_РК</t>
  </si>
  <si>
    <t>Авиабилет Астана — областной центр, туда-обратно, ₸</t>
  </si>
  <si>
    <t>Отель_РК</t>
  </si>
  <si>
    <t>Гостиница в регионе, ₸ за ночь</t>
  </si>
  <si>
    <t>Трансп_РК</t>
  </si>
  <si>
    <t>Местный транспорт в поездке, ₸</t>
  </si>
  <si>
    <t>Дней_РК</t>
  </si>
  <si>
    <t>Длительность типовой поездки по РК, дней</t>
  </si>
  <si>
    <t>Ночей_РК</t>
  </si>
  <si>
    <t>Ночей в типовой поездке</t>
  </si>
  <si>
    <t>Поездка_РК</t>
  </si>
  <si>
    <t>Одна поездка по РК на человека, ₸</t>
  </si>
  <si>
    <t>Поездка_местн</t>
  </si>
  <si>
    <t>Выезд регионального координатора внутри макрорегиона (1 день), ₸</t>
  </si>
  <si>
    <t>Авиа_межд</t>
  </si>
  <si>
    <t>Международный перелёт эконом, $</t>
  </si>
  <si>
    <t>Отель_межд</t>
  </si>
  <si>
    <t>Гостиница за рубежом, $ за ночь</t>
  </si>
  <si>
    <t>Сут_межд</t>
  </si>
  <si>
    <t>Суточные за рубежом, $ в день</t>
  </si>
  <si>
    <t>Дней_межд</t>
  </si>
  <si>
    <t>Длительность загранпоездки, дней</t>
  </si>
  <si>
    <t>Ночей_межд</t>
  </si>
  <si>
    <t>Ночей</t>
  </si>
  <si>
    <t>Страх_межд</t>
  </si>
  <si>
    <t>Страховка/виза, $</t>
  </si>
  <si>
    <t>Поездка_межд</t>
  </si>
  <si>
    <t>Одна загранпоездка на человека, ₸</t>
  </si>
  <si>
    <t>Аренда_мес</t>
  </si>
  <si>
    <t>Депозит_мес</t>
  </si>
  <si>
    <t>Резерв</t>
  </si>
  <si>
    <t>Резерв на непредвиденные расходы (10% — по требованию, было 5%)</t>
  </si>
  <si>
    <t>НДС</t>
  </si>
  <si>
    <t>НДС 16% — для аутсорса (ТОО — плательщик НДС) и справочно для договора услуг</t>
  </si>
  <si>
    <t>№</t>
  </si>
  <si>
    <t>Блок</t>
  </si>
  <si>
    <t>Должность</t>
  </si>
  <si>
    <t>Подчиняется</t>
  </si>
  <si>
    <t>Форма</t>
  </si>
  <si>
    <t>Статус</t>
  </si>
  <si>
    <t>Кол-во</t>
  </si>
  <si>
    <t>Оклад за ед., гросс в мес. (аутсорс — без НДС)</t>
  </si>
  <si>
    <t>Отчисления работодателя / НДС на ед. в мес.</t>
  </si>
  <si>
    <t>Стоимость строки в мес.</t>
  </si>
  <si>
    <t>Мес. 2026</t>
  </si>
  <si>
    <t>ФОТ+отчисл. окт–дек 2026</t>
  </si>
  <si>
    <t>Итого окт–дек 2026</t>
  </si>
  <si>
    <t>—</t>
  </si>
  <si>
    <t>штат</t>
  </si>
  <si>
    <t>действующий</t>
  </si>
  <si>
    <t>ГИД</t>
  </si>
  <si>
    <t>новая</t>
  </si>
  <si>
    <t>Финансовый директор</t>
  </si>
  <si>
    <t>Бухгалтер</t>
  </si>
  <si>
    <t>Роль</t>
  </si>
  <si>
    <t>Строка «Штат»</t>
  </si>
  <si>
    <t>Кол-во чел.</t>
  </si>
  <si>
    <t>Поездок по РК в год на чел.</t>
  </si>
  <si>
    <t>Выездов по макрорегиону в мес. на чел.</t>
  </si>
  <si>
    <t>Окт–дек 2026</t>
  </si>
  <si>
    <t>ИТОГО</t>
  </si>
  <si>
    <t>Раздел</t>
  </si>
  <si>
    <t>Ед.</t>
  </si>
  <si>
    <t>Цена, ₸</t>
  </si>
  <si>
    <t>Тип</t>
  </si>
  <si>
    <t>Примечание</t>
  </si>
  <si>
    <t>Оснащение</t>
  </si>
  <si>
    <t>Ноутбук стандартный (Core i5 / Ryzen 5, 16 ГБ, SSD 512 ГБ)</t>
  </si>
  <si>
    <t>шт.</t>
  </si>
  <si>
    <t>разово</t>
  </si>
  <si>
    <t>Ноутбук производительный</t>
  </si>
  <si>
    <t>Монитор 24" + клавиатура, мышь, гарнитура</t>
  </si>
  <si>
    <t>компл.</t>
  </si>
  <si>
    <t>новые сотрудники в офисе (рег. координаторы — удалённо)</t>
  </si>
  <si>
    <t>Рабочее место: стол, кресло, тумба</t>
  </si>
  <si>
    <t>место</t>
  </si>
  <si>
    <t>16 сотрудников в open space + 3 гостевых (продакшн-группа, координаторы в приезд)</t>
  </si>
  <si>
    <t>новый офис</t>
  </si>
  <si>
    <t>Переговорная: стол + 12 стульев</t>
  </si>
  <si>
    <t>Конференц-камера и спикерфон</t>
  </si>
  <si>
    <t>ВКС с акиматами и координаторами</t>
  </si>
  <si>
    <t>Сетевое оборудование и СКС (роутер, коммутатор, Wi-Fi, монтаж)</t>
  </si>
  <si>
    <t>Сетевой накопитель (NAS) с дисками — архив фото/видео и документов</t>
  </si>
  <si>
    <t>смета</t>
  </si>
  <si>
    <t>Лицензии 1С на дополнительные рабочие места</t>
  </si>
  <si>
    <t>Вывеска и брендирование офиса</t>
  </si>
  <si>
    <t>Офис</t>
  </si>
  <si>
    <t>Аренда офиса</t>
  </si>
  <si>
    <t>мес.</t>
  </si>
  <si>
    <t>мес</t>
  </si>
  <si>
    <t>депозит</t>
  </si>
  <si>
    <t>Текущий мелкий ремонт и хозяйственные расходы</t>
  </si>
  <si>
    <t>Курьерские и почтовые услуги (МЭПР, акиматы, партнёры)</t>
  </si>
  <si>
    <t>Интернет (выделенный канал)</t>
  </si>
  <si>
    <t>Обслуживание МФУ и расходники</t>
  </si>
  <si>
    <t>Представительские расходы (встречи, кофе-брейки)</t>
  </si>
  <si>
    <t>Цифровые</t>
  </si>
  <si>
    <t>Microsoft 365 Business Standard (почта, Teams, OneDrive)</t>
  </si>
  <si>
    <t>польз.</t>
  </si>
  <si>
    <t>Power BI Pro (дашборды)</t>
  </si>
  <si>
    <t>Canva Teams / Adobe CC (дизайн)</t>
  </si>
  <si>
    <t>лиц.</t>
  </si>
  <si>
    <t>PR-менеджер, пресс-секретарь</t>
  </si>
  <si>
    <t>Zoom Pro (ВКС с регионами)</t>
  </si>
  <si>
    <t>Медиа</t>
  </si>
  <si>
    <t>Полиграфия и брендированная продукция</t>
  </si>
  <si>
    <t>год</t>
  </si>
  <si>
    <t>Фотобанк, музыка (подписки)</t>
  </si>
  <si>
    <t>Прочие</t>
  </si>
  <si>
    <t>Смета фото- и видеооборудования, ₸</t>
  </si>
  <si>
    <t>Раздел 1 — КП PSP Digital / Photo Plus от 12.09.2026; разделы 2–3 — ориентировочные цены, уточняются КП.</t>
  </si>
  <si>
    <t>Наименование</t>
  </si>
  <si>
    <t>Артикул</t>
  </si>
  <si>
    <t>Наличие / источник цены</t>
  </si>
  <si>
    <t>Сумма, ₸</t>
  </si>
  <si>
    <t>1. Оборудование по КП PSP Digital / Photo Plus</t>
  </si>
  <si>
    <t>Кинокамера Canon EOS C70 Cinema Camera</t>
  </si>
  <si>
    <t>Предзаказ</t>
  </si>
  <si>
    <t>Объектив Canon RF 24-105mm f/4L IS USM</t>
  </si>
  <si>
    <t>В наличии</t>
  </si>
  <si>
    <t>Электронный стабилизатор DJI RS 4 Pro Combo</t>
  </si>
  <si>
    <t>Карта памяти Sony 128GB SF-G Tough UHS-II SDXC 299Mb/s</t>
  </si>
  <si>
    <t>DJI Mic 3 2-Person Compact Digital Wireless Microphone System</t>
  </si>
  <si>
    <t>Монопод E-Image MA600+610FH</t>
  </si>
  <si>
    <t>Сумка для видеокамер E-Image OSCAR S50 (EB0925)</t>
  </si>
  <si>
    <t>Итого раздел 1</t>
  </si>
  <si>
    <t>Аккумулятор Canon BP-A30 для Canon EOS C70 — запасной</t>
  </si>
  <si>
    <t>ориентир</t>
  </si>
  <si>
    <t>Итого раздел 2</t>
  </si>
  <si>
    <t>3. Дополнительное оборудование</t>
  </si>
  <si>
    <t>Видеоштатив с видеоголовой</t>
  </si>
  <si>
    <t>Внешний SSD 2 ТБ для исходников</t>
  </si>
  <si>
    <t>Итого раздел 3</t>
  </si>
  <si>
    <t>ИТОГО смета (1 + 2 + 3)</t>
  </si>
  <si>
    <t>Площадь_офиса</t>
  </si>
  <si>
    <t>Ставка_аренды_м2</t>
  </si>
  <si>
    <t>Парковка_мест</t>
  </si>
  <si>
    <t>Парковка_цена</t>
  </si>
  <si>
    <t>Аренда_с_НДС</t>
  </si>
  <si>
    <t>Справочно: аренда с коммунальными и парковкой, ₸ в месяц с НДС 16%</t>
  </si>
  <si>
    <t>Аренда_депозит</t>
  </si>
  <si>
    <t>Справочно: гарантийный депозит (возвратный), ₸</t>
  </si>
  <si>
    <t>МФУ цветное А3 (класс Kyocera TASKalfa 2554ci) с Wi-Fi, тумбой, доставкой и установкой</t>
  </si>
  <si>
    <t>печать/копия/скан А3; сетевой и Wi-Fi модуль — обязательно; уточнить КП</t>
  </si>
  <si>
    <t>Стартовый комплект тонеров CMYK для МФУ А3</t>
  </si>
  <si>
    <t>МФУ А4 чёрно-белое с Wi-Fi, дуплексом и автоподатчиком (класс HP LaserJet Pro MFP 4103fdw / Kyocera ECOSYS MA4000fx)</t>
  </si>
  <si>
    <t>Резервные картриджи для МФУ А4 (по 2 на аппарат)</t>
  </si>
  <si>
    <t>ресурс ≈3 000 страниц; запас на первый год</t>
  </si>
  <si>
    <t>Резервный комплект тонеров CMYK для МФУ А3</t>
  </si>
  <si>
    <t>второй комплект вслед за стартовым</t>
  </si>
  <si>
    <t>Группа</t>
  </si>
  <si>
    <t>Позиция</t>
  </si>
  <si>
    <t>Кол-во в месяц</t>
  </si>
  <si>
    <t>Сумма в месяц, ₸</t>
  </si>
  <si>
    <t>Бумага и печать</t>
  </si>
  <si>
    <t>Бумага А4, 80 г/м² (пачка 500 л.)</t>
  </si>
  <si>
    <t>пачка</t>
  </si>
  <si>
    <t>Бумага А3 (пачка 500 л.)</t>
  </si>
  <si>
    <t>схемы, плакаты, раздаточные материалы</t>
  </si>
  <si>
    <t>Бумага для флипчарта (блок)</t>
  </si>
  <si>
    <t>блок</t>
  </si>
  <si>
    <t>совещания, семинары</t>
  </si>
  <si>
    <t>Плотная бумага и обложки для брошюровки</t>
  </si>
  <si>
    <t>отчёты, методические материалы</t>
  </si>
  <si>
    <t>Канцелярия</t>
  </si>
  <si>
    <t>Ручки, карандаши, маркеры, текстовыделители</t>
  </si>
  <si>
    <t>на сотрудника в офисе</t>
  </si>
  <si>
    <t>Блокноты, стикеры, закладки</t>
  </si>
  <si>
    <t>Папки-регистраторы, скоросшиватели, файлы А4</t>
  </si>
  <si>
    <t>делопроизводство, договоры, кадры</t>
  </si>
  <si>
    <t>Конверты, почтовые пакеты, бумага для заметок</t>
  </si>
  <si>
    <t>переписка с МЭПР и акиматами</t>
  </si>
  <si>
    <t>Скобы, скрепки, клей, ножницы, ножи, линейки</t>
  </si>
  <si>
    <t>пополнение</t>
  </si>
  <si>
    <t>Степлеры, дыроколы, лотки, органайзеры (пополнение)</t>
  </si>
  <si>
    <t>Архивные короба и файлы для архива</t>
  </si>
  <si>
    <t>хранение документов проекта</t>
  </si>
  <si>
    <t>Батарейки, удлинители, мелкая электрика</t>
  </si>
  <si>
    <t>техника, пульты, микрофоны</t>
  </si>
  <si>
    <t>ИТОГО в месяц</t>
  </si>
  <si>
    <t>Финансовому директору</t>
  </si>
  <si>
    <t>[вакансия] Первичные документы, платежи, зарплата, авансовые отчёты, учёт основных средств</t>
  </si>
  <si>
    <t>Заместителю ГИД (адм.-хоз.)</t>
  </si>
  <si>
    <t>Проектный офис — руководство</t>
  </si>
  <si>
    <t>Руководителю группы</t>
  </si>
  <si>
    <t>Нормы поездок — на человека; стоимость поездки — лист «Параметры»; количество и старт — с листа «Штат» (структура от 16.09.2026).</t>
  </si>
  <si>
    <t>Коммун_мес</t>
  </si>
  <si>
    <t>Оснащение офиса</t>
  </si>
  <si>
    <t>Сборка_мебели_проц</t>
  </si>
  <si>
    <t>Сборка, доставка и подъём мебели — доля от стоимости мебели; ориентир 10%, уточнить в коммерческих предложениях</t>
  </si>
  <si>
    <t>Сборка, доставка и подъём мебели</t>
  </si>
  <si>
    <t>Гарантийный депозит по аренде (1 месячная ставка, возвратный)</t>
  </si>
  <si>
    <t>Стеллажи для складов и архивов (склад техники, архив документов, архив основного блока)</t>
  </si>
  <si>
    <t>Шкафы для документов и сейф</t>
  </si>
  <si>
    <t>Сейф офисный для документов и печатей входит в этот комплект</t>
  </si>
  <si>
    <t>Сборка и занос: рабочие места, кабинеты руководства, переговорная, ресепшн, шкафы и сейф, стеллажи. Ориентир 10% от стоимости мебели и стеллажей (лист «Параметры»), уточнить в КП</t>
  </si>
  <si>
    <t>Аренда_мес_2026</t>
  </si>
  <si>
    <t>Месяцев аренды в 2026: заезд ориентировочно 21.10.2026 (III декада) — 11 дней октября + ноябрь + декабрь ≈ 2,35 мес.</t>
  </si>
  <si>
    <t>Мес_2026_новые</t>
  </si>
  <si>
    <t>Мес. 2026 (новые — с 21.10)</t>
  </si>
  <si>
    <t>Гарантийный депозит по аренде, в месячных ставках (возвратный) — допущение 1 месяц, условия запрошены у БЦ</t>
  </si>
  <si>
    <t>Металлические стеллажи 2000×1000×500, 4–5 полок. По 2 шт.: склад фото- и видеотехники, архив документов, серверная (в БЦ «Санкт-Петербург» — помещение без окна 701Г или по месту). Цена ориентировочная, уточнить в КП</t>
  </si>
  <si>
    <t>ресепшн и кабинет аппарата: печать, копия, скан; работа по Wi-Fi и по сети</t>
  </si>
  <si>
    <t>Ламинатор Deli ET104, А3, 300 мм/мин</t>
  </si>
  <si>
    <t>План закупок 2026, поз. 57 (ламинатор Deli А3 — 25 980 ₸). Цена b2bcompany.kz на 24.09.2026 — 42 340 ₸ с НДС, в бюджете без НДС (÷1,16): https://b2bcompany.kz/catalog/ofisnaya_tekhnika_i_aksessuary/laminatory/99742/</t>
  </si>
  <si>
    <t>Плёнка для ламинирования А4, 100 мкм, 100 шт. в упаковке (OfficeSpace)</t>
  </si>
  <si>
    <t>уп.</t>
  </si>
  <si>
    <t>План закупок 2026, поз. 58 (8 880 ₸/уп.). b2bcompany.kz на 24.09.2026: 60 ₸/шт × 100 = 6 000 ₸ с НДС, в бюджете без НДС (÷1,16) — https://b2bcompany.kz/catalog/ofisnaya_tekhnika_i_aksessuary/pruzhiny_oblozhki_plyenka/plyenka_dlya_laminirovaniya/94307/</t>
  </si>
  <si>
    <t>Переплётная машина Deli 3873 для пластиковой пружины (перфорирует до 18 л., сшивает до 425 л.)</t>
  </si>
  <si>
    <t>План закупок 2026, поз. 50 (77 105 ₸). Цена b2bcompany.kz на 24.09.2026 — 114 327 ₸ с НДС, в бюджете без НДС (÷1,16): https://b2bcompany.kz/catalog/ofisnaya_tekhnika_i_aksessuary/pereplyetchiki/98863/</t>
  </si>
  <si>
    <t>Расходники для переплёта: обложки А4 картонные и пластиковые, пружины 6, 10, 14 и 51 мм (по 100 шт.)</t>
  </si>
  <si>
    <t>План закупок 2026, поз. 51–56. Итого 48 700 ₸ с НДС, в бюджете без НДС (÷1,16). Цены b2bcompany.kz на 24.09.2026, ₸/шт × 100 шт. (код товара на сайте): обложки картонные OfficeSpace А4 230 г/м² синие — 55 (94290); обложки пластиковые А4 200 мкм прозрачные — 68 (Brauberg 98583; OfficeSpace 200 мкм прозрачных нет); пружины Brauberg 6 мм — 26 (61538); OfficeSpace 10 мм — 37 (101049); 14 мм — 57 (81143); 51 мм, 2 уп. по 50 — 244 (81145)</t>
  </si>
  <si>
    <t>по ПО</t>
  </si>
  <si>
    <t>Разработка и техническое сопровождение цифровой платформы</t>
  </si>
  <si>
    <t>сумма</t>
  </si>
  <si>
    <t>Привлечение инфлюенсеров</t>
  </si>
  <si>
    <t>Реализация проекта «TAZA OI»</t>
  </si>
  <si>
    <t>Реализация специальных / креативных проектов</t>
  </si>
  <si>
    <t>Департамент социологических исследований и аналитики</t>
  </si>
  <si>
    <t>Руководитель департамента</t>
  </si>
  <si>
    <t>Главный специалист — социолог</t>
  </si>
  <si>
    <t>Руководителю департамента</t>
  </si>
  <si>
    <t>Департамент проектного управления и региональной координации</t>
  </si>
  <si>
    <t>Главный специалист</t>
  </si>
  <si>
    <t>Директору департамента</t>
  </si>
  <si>
    <t>Ведущий специалист</t>
  </si>
  <si>
    <t>Департамент цифрового развития</t>
  </si>
  <si>
    <t>аутсорс</t>
  </si>
  <si>
    <t>Группа «Коммуникация и креатив»</t>
  </si>
  <si>
    <t>Руководитель группы</t>
  </si>
  <si>
    <t>Главный специалист — PR, пресс-секретарь</t>
  </si>
  <si>
    <t>Ведущий специалист — фотограф, рилсмейкер</t>
  </si>
  <si>
    <t>[Жумабай] Фотосъёмка, короткие видео</t>
  </si>
  <si>
    <t>Ведущий специалист — менеджер по блогерам</t>
  </si>
  <si>
    <t>[Дутбаева] Работа с блогерами и лидерами мнений</t>
  </si>
  <si>
    <t>Режиссёр, видеограф-монтажёр — аутсорс</t>
  </si>
  <si>
    <t>Копирайтер — аутсорс</t>
  </si>
  <si>
    <t>Дизайнер — аутсорс</t>
  </si>
  <si>
    <t>Менеджер по креаторам и креативным проектам — аутсорс</t>
  </si>
  <si>
    <t>Группа «Коммуникация и креатив» (4 чел.): съёмки и освещение мероприятий в регионах</t>
  </si>
  <si>
    <t>Заместитель ГИД (адм.-хоз. вопросы, закупки, кадры, проекты)</t>
  </si>
  <si>
    <t>Возвращается по окончании аренды. По условиям БЦ «Сыганак» — 1 месяц оплаты</t>
  </si>
  <si>
    <t>Сетевые фильтры на общие зоны: 6 розеток, 5 м (Defender DFS 155)</t>
  </si>
  <si>
    <t>Сетевые фильтры на рабочие места: 5 розеток, 3 м, с заземлением (Defender ES)</t>
  </si>
  <si>
    <t>Удлинители-магистрали 10 м, 3 розетки, с заземлением, ПВС 3×1 мм², 16 А (ЭРА U-3e-10m-3x1)</t>
  </si>
  <si>
    <t>Розетки в офисе — только у стен и на колоннах. От колонны к каждому островному блоку столов: коммуникация — 1, проектное управление — 2 (9 мест), социология — 1. Kaspi.kz (Астана) на 30.09.2026 — 7 235 ₸ с НДС, в бюджете без НДС (÷1,16): https://kaspi.kz/shop/p/udlinitel-era-u-3e-10m-3x1-5055945573695-10-m-120249480/</t>
  </si>
  <si>
    <t>Кабель-канал напольный ПВХ 70×16 мм, секция 2 м (IEK)</t>
  </si>
  <si>
    <t>Прокладка удлинителей по полу через проходы от колонн к блокам столов и к столу совещаний — ≈10 м. Kaspi.kz (Астана) на 30.09.2026 — 9 039 ₸ с НДС за 2 м, в бюджете без НДС (÷1,16): https://kaspi.kz/shop/p/iek-kabel--kanal-profil-pvh-70h16h2000-mm-115737589/</t>
  </si>
  <si>
    <t>Парковка — 2 платных места (указание 30.09.2026)</t>
  </si>
  <si>
    <t>ЦАКФ — руководство Фонда</t>
  </si>
  <si>
    <t>Главный исполнительный директор (ГИД)</t>
  </si>
  <si>
    <t>Национальному координатору</t>
  </si>
  <si>
    <t>Заместитель директора (МЭПР, ЦГО, регионы)</t>
  </si>
  <si>
    <t>Взаимодействие с МЭПР, ЦГО и регионами</t>
  </si>
  <si>
    <t>Разработчик (ИИ, ГИС), платформа — аутсорс</t>
  </si>
  <si>
    <t>Административный персонал</t>
  </si>
  <si>
    <t>Юрист (МФЦА) — аутсорс</t>
  </si>
  <si>
    <t>Администратор (сис.админ) — аутсорс</t>
  </si>
  <si>
    <t>Департамент цифрового развития (1 чел., разработчик — аутсорс)</t>
  </si>
  <si>
    <t>Проекты</t>
  </si>
  <si>
    <t>Реализация проекта «TAZA TALQY» (проведение встреч в регионах), в т.ч. круглые столы и семинары для акиматов</t>
  </si>
  <si>
    <t>Функции</t>
  </si>
  <si>
    <t>Ставка в мес. без НДС</t>
  </si>
  <si>
    <t>НДС 16%</t>
  </si>
  <si>
    <t>В мес. с НДС</t>
  </si>
  <si>
    <t>Юрист (МФЦА)</t>
  </si>
  <si>
    <t>Договоры и соглашения, право МФЦА, сопровождение закупок и кадровых документов</t>
  </si>
  <si>
    <t>Администратор (сис.админ)</t>
  </si>
  <si>
    <t>ИТ-инфраструктура, сеть и техника; делопроизводство, хоз. администрирование, ассистирование</t>
  </si>
  <si>
    <t>Разработчик (ИИ, ГИС), платформа</t>
  </si>
  <si>
    <t>Руководителю цифрового развития</t>
  </si>
  <si>
    <t>Разработка и сопровождение ИИ- и ГИС-инструментов, цифровой платформы</t>
  </si>
  <si>
    <t>Режиссёр, видеограф-монтажёр</t>
  </si>
  <si>
    <t>Руководителю группы «Коммуникация и креатив»</t>
  </si>
  <si>
    <t>Съёмка и монтаж видео, ролики</t>
  </si>
  <si>
    <t>Копирайтер</t>
  </si>
  <si>
    <t>Тексты для соцсетей, сайта, СМИ</t>
  </si>
  <si>
    <t>Дизайнер</t>
  </si>
  <si>
    <t>Визуалы, инфографика, макеты</t>
  </si>
  <si>
    <t>Менеджер по креаторам и креативным проектам</t>
  </si>
  <si>
    <t>Работа с креаторами, креативные проекты</t>
  </si>
  <si>
    <t>ИТОГО аутсорс</t>
  </si>
  <si>
    <t>[аутсорс] Разработка и сопровождение ИИ- и ГИС-инструментов, цифровой платформы</t>
  </si>
  <si>
    <t>[аутсорс] Съёмка и монтаж видео, ролики</t>
  </si>
  <si>
    <t>[аутсорс] Тексты для соцсетей, сайта, СМИ</t>
  </si>
  <si>
    <t>[аутсорс] Визуалы, инфографика, макеты</t>
  </si>
  <si>
    <t>[аутсорс] Работа с креаторами, креативные проекты</t>
  </si>
  <si>
    <t>[аутсорс] Договоры и соглашения, право МФЦА, сопровождение закупок и кадровых документов</t>
  </si>
  <si>
    <t>[аутсорс] ИТ-инфраструктура, сеть и техника; делопроизводство, хоз. администрирование, ассистирование</t>
  </si>
  <si>
    <t>Таргетированная реклама (продвижение в соцсетях)</t>
  </si>
  <si>
    <t>≈3 500 страниц в месяц</t>
  </si>
  <si>
    <t>Мебель кабинетов руководства (ГИД, 2 заместителя, Нац.коорд., финдир)</t>
  </si>
  <si>
    <t>Ставка аренды со скидкой, ₸ за 1 м² в месяц без НДС и без коммунальных (условия БЦ от 22.09.2026)</t>
  </si>
  <si>
    <t>Парковка, ₸ за 1 место в месяц без НДС – 40 000, уточнено у БЦ</t>
  </si>
  <si>
    <t>Аренда – БЦ «Сыганак», ул. Сыганак, 70, 7 этаж: 701–702 + зона 710</t>
  </si>
  <si>
    <t>Площадь к оплате, м²: 701 (52,2) + 701а (21,4) + 701б (12,4) + 702 (33,7) = 119,7 по плану БЦ; зона 710 – 190,0 по экспликации БЦ; итого 309,7 полезной + 10% мест общего пользования</t>
  </si>
  <si>
    <t>Коммунальные, ₸ в месяц без НДС: 743 ₸/м² × 309,7 м² полезной площади (без МОП); ориентир, уточнить у БЦ</t>
  </si>
  <si>
    <t>Аренда офисов с коммунальными и парковкой, ₸ в месяц без НДС (БЦ «Сыганак», 7 этаж: 701–702 + зона 710 – расчёт ниже)</t>
  </si>
  <si>
    <t>БЦ «Сыганак», 7 этаж: 701–702 (119,7 м²) + зона 710 (190,0) = 309,7 м² + 10% МОП = 340,7 м² × 13 500 ₸ + коммунальные 743 ₸/м² полезной (≈230 100) + парковка 2 × 40 000 = 4 909 152 ₸/мес без НДС (5 694 616 ₸ с НДС). Смета: D:\Аренда\Смета аренды — БЦ Сыганак, 701–702 + зона 710 (7 эт.) (проект 2026-10-08).xlsx. В 2026 – с 21.10 (≈2,35 мес.)</t>
  </si>
  <si>
    <t>Источник бесперебойного питания 1200 ВА / 650 Вт, линейно-интерактивный (APC Back-UPS BX1200MI-GR)</t>
  </si>
  <si>
    <t>Kaspi.kz (Астана) на 10.10.2026 – 89 302 ₸ с НДС, в бюджете без НДС (÷1,16): https://kaspi.kz/shop/p/istochnik-bespereboinogo-pitanija-apc-by-schneider-electric-back-ups-bx1200mi-gr-101092827/ ; у b2bcompany.kz ИБП нет</t>
  </si>
  <si>
    <t>руководитель департамента цифрового развития, фотограф-рилсмейкер (монтаж)</t>
  </si>
  <si>
    <t>Интерактивная панель 75" (доска-экран) для зала совещаний: 4K, сенсорная, Android (класс Iiyama ProLite TE7515A-B2AG)</t>
  </si>
  <si>
    <t>Вместо ТВ 65". Совещания, презентации, ВКС, работа со схемами. Kaspi.kz (Астана) на 10.10.2026 – 989 997 ₸ с НДС, в бюджете без НДС (÷1,16): https://kaspi.kz/shop/p/iiyama-te7515a-b2ag-75-djuim-177664336/</t>
  </si>
  <si>
    <t>Мобильная стойка на колёсах для панели 32–75″ (AVA-1500)</t>
  </si>
  <si>
    <t>Панель – на передвижной стойке у стола совещаний. Kaspi.kz (Астана) на 10.10.2026 – 49 990 ₸ с НДС, в бюджете без НДС (÷1,16): https://kaspi.kz/shop/p/napol-naja-stoika-dlja-televizora-ava-1500-32-75-na-koljosikah-chjornaja-178402637/</t>
  </si>
  <si>
    <t>Информационное сопровождение, в т.ч. пресс-мероприятия, мобильный брендинг</t>
  </si>
  <si>
    <t>Реализация проектов, в т.ч. с молодёжью и волонтёрами</t>
  </si>
  <si>
    <t>Бытовая техника (кулер для воды, холодильник, микроволновка, кофемашина)</t>
  </si>
  <si>
    <t>Второй кулер для воды, напольный, нагрев и охлаждение (класс Midea MK-32H)</t>
  </si>
  <si>
    <t>Второй кулер – для переговорной зоны  (первый – в комплекте бытовой техники). Kaspi.kz (Астана) на 10.10.2026 – 35 990 ₸ с НДС, в бюджете без НДС (÷1,16): https://kaspi.kz/shop/p/midea-mk-32h-belyi-25900012/</t>
  </si>
  <si>
    <t>Департамент социологических исследований и аналитики (1 чел.)</t>
  </si>
  <si>
    <t>Департамент проектного управления и региональной координации (5 чел.)</t>
  </si>
  <si>
    <t>Командировки по РК на октябрь–декабрь 2026 года, ₸</t>
  </si>
  <si>
    <t>Старт (1 – октябрь, 2 – ноябрь, 3 – декабрь)</t>
  </si>
  <si>
    <t>Функционал и опыт</t>
  </si>
  <si>
    <t>ИТОГО (штат)</t>
  </si>
  <si>
    <t xml:space="preserve">  в т.ч. проектный офис</t>
  </si>
  <si>
    <t xml:space="preserve">  в т.ч. Фонд</t>
  </si>
  <si>
    <t>[Қаражан Е.Н.] Общее руководство Фондом и проектным офисом, соглашение с МЭПР, отчётность перед органами Фонда. Опыт: к.э.н. (PhD), MSc LSE («Болашақ»), Chevening; ГИД ЦАКФ с 02.2025 (Региональный экологический саммит 2026); председатель Правления ИЭИ, советник Министра национальной экономики, консультант АБР, директор по устойчивому развитию ФНБ «Самрук-Қазына».</t>
  </si>
  <si>
    <t>[Тленчиева Ш.] Исследования восприятия акции, опросы. Опыт: PhD по социологии.</t>
  </si>
  <si>
    <t>[Сундетбай С.] Коммуникационная стратегия, медиаплан, работа со СМИ. Опыт: коммуникации, медиа и PR.</t>
  </si>
  <si>
    <t>[Оразбаева М.К.] Бюджет проекта, раздельный учёт, работа со спонсорами, финансовая отчётность, налоги. Опыт: 30+ лет в финансах, бухгалтерском и налоговом учёте – главный бухгалтер АО «Международный аэропорт Нурсултан Назарбаев», аудит BDO Qazaqstan (МФЦА); профессиональный бухгалтер РК, ДипИФР ACCA, налоговый консультант.</t>
  </si>
  <si>
    <t>Аутсорс-услуги: расчёт на октябрь–декабрь 2026 года, ₸</t>
  </si>
  <si>
    <t>Оснащение, офис, цифровые инструменты, медиа и прочие расходы на октябрь–декабрь 2026 года, ₸</t>
  </si>
  <si>
    <t>Тип: разово – в месяц старта; мес – ежемесячно с месяца старта; год – годовая сумма × 3/12.</t>
  </si>
  <si>
    <t>Старт (1 – октябрь)</t>
  </si>
  <si>
    <t>новые сотрудники (14) без 2 производительных; 4 действующих – со своей техникой; аутсорс – со своей</t>
  </si>
  <si>
    <t>Первоочередные проекты на октябрь–декабрь 2026 года, ₸</t>
  </si>
  <si>
    <t>ИТОГО первоочередные проекты</t>
  </si>
  <si>
    <t>Период: октябрь–декабрь 2026 (3 мес.).</t>
  </si>
  <si>
    <t>Старт позиции/расхода: 1 – октябрь, 2 – ноябрь, 3 – декабрь 2026.</t>
  </si>
  <si>
    <t>Месяцев 2026 для новых сотрудников (зарплата, отчисления): приём одновременно с заездом в офис — с 21.10.2026, ≈2,35 мес. Действующие — 3 мес.</t>
  </si>
  <si>
    <t>Штатная численность, чел.</t>
  </si>
  <si>
    <t xml:space="preserve">  в т.ч. проектный офис «Таза Қазақстан», чел.</t>
  </si>
  <si>
    <t>1. Персонал: оклады и отчисления работодателя (СН, ОПВР, СО, ООСМС)</t>
  </si>
  <si>
    <t>2. Аутсорс-услуги: юрист МФЦА, сис.админ, разработчик, режиссёр, копирайтер, дизайнер, менеджер по креаторам (с НДС исполнителя)</t>
  </si>
  <si>
    <t>4. Командировки по РК</t>
  </si>
  <si>
    <t>5. Оснащение (разово): ноутбуки, мебель, МФУ, интерактивная панель, ИБП, фото-видео, сеть</t>
  </si>
  <si>
    <t>7. Цифровые инструменты</t>
  </si>
  <si>
    <t>8. Медиа: таргет, полиграфия, подписки</t>
  </si>
  <si>
    <t>Прямые затраты</t>
  </si>
  <si>
    <t>А. ИТОГО организационное обеспечение</t>
  </si>
  <si>
    <t>Б. Первоочередные проекты (лист «Проекты»)</t>
  </si>
  <si>
    <t>ВСЕГО (А + Б)</t>
  </si>
  <si>
    <t>2. Аккумуляторы</t>
  </si>
  <si>
    <t>Стойка ресепшн</t>
  </si>
  <si>
    <t>По 1 на рабочее место новых сотрудников (14) и 2 у стола совещаний. b2bcompany.kz на 30.09.2026 – 4 118 ₸ с НДС (код 9320), в бюджете без НДС (÷1,16)</t>
  </si>
  <si>
    <t>ТВ и ВКС – 1, МФУ и сетевое оборудование – 1, кухонная зона – 1. b2bcompany.kz на 30.09.2026 – 6 101 ₸ с НДС (код 51417), в бюджете без НДС (÷1,16)</t>
  </si>
  <si>
    <t>Фото- и видеооборудование – базовый комплект (КП PSP Digital)</t>
  </si>
  <si>
    <t>лист «Смета фото-видео»: камера, объектив 24-105, стабилизатор, микрофон, карта памяти, монопод, сумка, запасной аккумулятор, штатив, SSD</t>
  </si>
  <si>
    <t>Аптечки</t>
  </si>
  <si>
    <t>новые сотрудники 2026 года</t>
  </si>
  <si>
    <t>Нотариальные расходы (доверенности, засвидетельствование копий)</t>
  </si>
  <si>
    <t>Страхование фото- и видеооборудования</t>
  </si>
  <si>
    <t>6. Офис: аренда, депозит, текущие хозрасходы, курьер, интернет, обслуживание МФУ, канцелярия, представительские</t>
  </si>
  <si>
    <t>Разово при открытии офиса</t>
  </si>
  <si>
    <t>ИТОГО разово</t>
  </si>
  <si>
    <t>Канцелярия и бумага, ₸</t>
  </si>
  <si>
    <t>Канцелярия и бумага – ежемесячно (лист «Канцелярия»)</t>
  </si>
  <si>
    <t>Бумага А4/А3, бумага для флипчарта, ручки, блокноты</t>
  </si>
  <si>
    <t>Канцелярские принадлежности при открытии офиса (лист «Канцелярия»)</t>
  </si>
  <si>
    <t>Папки, конверты, скобы и скрепки, степлеры и дыроколы, архивные короба, батарейки и мелкая электрика</t>
  </si>
  <si>
    <t>ОСНС_полис</t>
  </si>
  <si>
    <t>Годовой полис ОСНС на новых сотрудников 2026 года, ₸ (оценка: тариф 0,29% от годового ФОТ)</t>
  </si>
  <si>
    <t>ОСНС (годовой полис новым сотрудникам)</t>
  </si>
  <si>
    <t>3. ОСНС: годовой полис на новых сотрудников</t>
  </si>
  <si>
    <t>Непредвиденные расходы: резерв 10% и прочие (страхование фото- и видеооборудования, нотариус, переводы и т.п.)</t>
  </si>
  <si>
    <t>Бюджет ЦАКФ на октябрь–декабрь 2026 года, ₸</t>
  </si>
  <si>
    <t>Международные и страновые проекты Фонда</t>
  </si>
  <si>
    <t>[Темирбеков М.Е.] Наём, закупки, офис, договоры с поставщиками. Опыт: международные экономические отношения (диплом с отличием); акиматы Костанайской области и Астаны; руководитель аппарата холдинга (3 000+ сотрудников); проекты МЗ РК и Всемирного банка; руководитель в общественных организациях, структур в квазигоссекторе; в ЦАКФ с 02.2025, член Управляющего совета.</t>
  </si>
  <si>
    <t>Заместитель ГИД по стратегии и проектам</t>
  </si>
  <si>
    <t>Проектный офис для Центральной Азии по изменению климата и зеленой энергетике</t>
  </si>
  <si>
    <t>Менеджер проектов</t>
  </si>
  <si>
    <t>Руководителю Проектного офиса для Центральной Азии</t>
  </si>
  <si>
    <t>[Кононец А.В.] Стратегия и портфель проектов Фонда, партнёрства; Проектный офис для Центральной Азии; курация проектного управления. Опыт: 20 лет в медиа и госкоммуникациях – руководитель пресс-службы, советник министра труда и социальной защиты, главный редактор Казправды, Total.kz и др.; в ЦАКФ с 07.2025.</t>
  </si>
  <si>
    <t>Руководитель проектного офиса «Таза Қазақстан»</t>
  </si>
  <si>
    <t>[Серикжанова Айгерим] Руководитель проектного офиса: руководство командой, календарь мероприятий, работа с акиматами и госорганами. Опыт: директор Департамента развития талантов, образовательных программ и экспертного сопровождения КФ «Фонд развития креативных индустрий»; PhD, постдокторантура «Политология» (ЕНУ им. Л.Н. Гумилёва), магистр права LLM (РУДН), магистр юридических наук (КазНУ им. аль-Фараби).</t>
  </si>
  <si>
    <t>[Қуандық Жасұлан] Проектный менеджер: ведение проектов, координация регионов, молодёжные проекты. Опыт: президент благотворительного фонда «Dauletten», основатель портала для молодёжи jastar.online; КазНУ им. аль-Фараби – бакалавр «Государственное и местное управление», MBA, докторантура (PhD).</t>
  </si>
  <si>
    <t>[Жандилдаев Бакдаулет] Проектный менеджер: координация регионов, взаимодействие с госорганами и общественными организациями. Опыт: исполнительный директор ОЮЛ «Конгресс молодежи Казахстана»; бакалавр «Государственное и местное управление» (КазУТБ), «Финансы» (Тұран-Астана), магистр юриспруденции («Синергия»).</t>
  </si>
  <si>
    <t>[Шербаева Бибинур] Проектный менеджер: ведение проектов календаря, планы и отчёты, взаимодействие с акиматами. Опыт: председатель ОСО «За будущее Казахстана»; бакалавр «Профессиональное обучение», магистр «Казахский язык и литература» (Казахский национальный женский педагогический университет).</t>
  </si>
  <si>
    <t>[Абенов Алибек] Аналитик: аналитическое сопровождение проектов, методические материалы, отчётность. Опыт: руководитель управления развития кадров и документооборота АО «Центр международных программ»; бакалавр «Метрология, стандартизация и сертификация» (Карагандинский экономический университет).</t>
  </si>
  <si>
    <t>[Тастан Нұрбол] IT-специалист: платформа TAZA.KZ, цифровой мониторинг, информационная безопасность, работа с подрядчиком платформы. Опыт: советник председателя по информационной безопасности НАО «ННПЦ Тіл-Қазына»; бакалавр «Вычислительная техника и программное обеспечение» (ЕНУ им. Л.Н. Гумилёва), магистр юриспруденции.</t>
  </si>
  <si>
    <t>[Талғат Айман] PR-менеджер: пресс-служба, тексты и материалы для СМИ и соцсетей. Опыт: ведущий специалист КФ «Фонд развития креативных индустрий»; бакалавр журналистики (ЕНУ им. Л.Н. Гумилёва).</t>
  </si>
  <si>
    <t>Штатная структура ЦАКФ по штатному расписанию 01.10.2026 и расходы на персонал, 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</si>
</sst>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"/>
    <numFmt numFmtId="165" formatCode="#,##0.0"/>
  </numFmts>
  <fonts count="5" x14ac:knownFonts="1">
    <font>
      <sz val="11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6E3EF"/>
        <bgColor rgb="FFCCF2CC"/>
      </patternFill>
    </fill>
    <fill>
      <patternFill patternType="solid">
        <fgColor rgb="FFFFFFCC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3" fillId="0" borderId="0" xfId="0" applyNumberFormat="1" applyFont="1"/>
    <xf numFmtId="0" fontId="3" fillId="0" borderId="0" xfId="0" applyFont="1"/>
    <xf numFmtId="164" fontId="0" fillId="3" borderId="0" xfId="0" applyNumberFormat="1" applyFill="1"/>
    <xf numFmtId="0" fontId="0" fillId="3" borderId="0" xfId="0" applyFill="1"/>
    <xf numFmtId="3" fontId="0" fillId="3" borderId="0" xfId="0" applyNumberFormat="1" applyFill="1"/>
    <xf numFmtId="0" fontId="3" fillId="3" borderId="0" xfId="0" applyFont="1" applyFill="1"/>
    <xf numFmtId="3" fontId="3" fillId="3" borderId="0" xfId="0" applyNumberFormat="1" applyFont="1" applyFill="1"/>
    <xf numFmtId="165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2" fontId="0" fillId="0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3" fontId="0" fillId="4" borderId="0" xfId="0" applyNumberFormat="1" applyFill="1"/>
    <xf numFmtId="2" fontId="0" fillId="4" borderId="0" xfId="0" applyNumberFormat="1" applyFill="1"/>
    <xf numFmtId="0" fontId="0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3" fontId="0" fillId="4" borderId="1" xfId="0" applyNumberFormat="1" applyFont="1" applyFill="1" applyBorder="1" applyAlignment="1">
      <alignment vertical="center"/>
    </xf>
    <xf numFmtId="2" fontId="0" fillId="4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5" fontId="3" fillId="0" borderId="0" xfId="0" applyNumberFormat="1" applyFont="1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3" fontId="3" fillId="6" borderId="2" xfId="0" applyNumberFormat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3" fontId="3" fillId="7" borderId="2" xfId="0" applyNumberFormat="1" applyFont="1" applyFill="1" applyBorder="1" applyAlignment="1">
      <alignment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2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zoomScaleNormal="100" workbookViewId="0">
      <selection activeCell="D13" sqref="D13:D15"/>
    </sheetView>
  </sheetViews>
  <sheetFormatPr defaultColWidth="8.7109375" defaultRowHeight="15" x14ac:dyDescent="0.25"/>
  <cols>
    <col min="1" max="1" width="80.7109375" style="4" customWidth="1"/>
    <col min="2" max="2" width="22.7109375" style="4" customWidth="1"/>
    <col min="3" max="4" width="17.7109375" style="4" customWidth="1"/>
    <col min="5" max="16384" width="8.7109375" style="4"/>
  </cols>
  <sheetData>
    <row r="1" spans="1:2" ht="17.25" x14ac:dyDescent="0.3">
      <c r="A1" s="33" t="s">
        <v>400</v>
      </c>
    </row>
    <row r="3" spans="1:2" x14ac:dyDescent="0.25">
      <c r="A3" s="35" t="s">
        <v>0</v>
      </c>
      <c r="B3" s="35" t="s">
        <v>1</v>
      </c>
    </row>
    <row r="4" spans="1:2" x14ac:dyDescent="0.25">
      <c r="A4" s="36" t="s">
        <v>365</v>
      </c>
      <c r="B4" s="37">
        <f>SUMIF(Штат!E5:E29,"штат",Штат!G5:G29)</f>
        <v>18</v>
      </c>
    </row>
    <row r="5" spans="1:2" x14ac:dyDescent="0.25">
      <c r="A5" s="36" t="s">
        <v>366</v>
      </c>
      <c r="B5" s="37">
        <f>Штат!G31</f>
        <v>12</v>
      </c>
    </row>
    <row r="6" spans="1:2" x14ac:dyDescent="0.25">
      <c r="A6" s="36" t="s">
        <v>367</v>
      </c>
      <c r="B6" s="38">
        <f>SUMIFS(Штат!M5:M29,Штат!E5:E29,"штат")</f>
        <v>58691747.741935484</v>
      </c>
    </row>
    <row r="7" spans="1:2" ht="30" x14ac:dyDescent="0.25">
      <c r="A7" s="36" t="s">
        <v>368</v>
      </c>
      <c r="B7" s="38">
        <f>Аутсорс!J11</f>
        <v>14567354.838709679</v>
      </c>
    </row>
    <row r="8" spans="1:2" x14ac:dyDescent="0.25">
      <c r="A8" s="36" t="s">
        <v>398</v>
      </c>
      <c r="B8" s="38">
        <f>Штат!N30</f>
        <v>500000.00000000017</v>
      </c>
    </row>
    <row r="9" spans="1:2" x14ac:dyDescent="0.25">
      <c r="A9" s="36" t="s">
        <v>369</v>
      </c>
      <c r="B9" s="38">
        <f>Командировки!G12</f>
        <v>3783804.032258065</v>
      </c>
    </row>
    <row r="10" spans="1:2" ht="30" x14ac:dyDescent="0.25">
      <c r="A10" s="36" t="s">
        <v>370</v>
      </c>
      <c r="B10" s="38">
        <f>SUMIFS('Оснащение и офис'!I5:I57,'Оснащение и офис'!A5:A57,"Оснащение")</f>
        <v>29170035</v>
      </c>
    </row>
    <row r="11" spans="1:2" ht="30" x14ac:dyDescent="0.25">
      <c r="A11" s="36" t="s">
        <v>387</v>
      </c>
      <c r="B11" s="38">
        <f>SUMIFS('Оснащение и офис'!I5:I57,'Оснащение и офис'!A5:A57,"Офис")</f>
        <v>17530038.496774193</v>
      </c>
    </row>
    <row r="12" spans="1:2" x14ac:dyDescent="0.25">
      <c r="A12" s="36" t="s">
        <v>371</v>
      </c>
      <c r="B12" s="38">
        <f>SUMIFS('Оснащение и офис'!I5:I57,'Оснащение и офис'!A5:A57,"Цифровые")</f>
        <v>589500</v>
      </c>
    </row>
    <row r="13" spans="1:2" x14ac:dyDescent="0.25">
      <c r="A13" s="36" t="s">
        <v>372</v>
      </c>
      <c r="B13" s="38">
        <f>SUMIFS('Оснащение и офис'!I5:I57,'Оснащение и офис'!A5:A57,"Медиа")</f>
        <v>2525000</v>
      </c>
    </row>
    <row r="14" spans="1:2" x14ac:dyDescent="0.25">
      <c r="A14" s="39" t="s">
        <v>373</v>
      </c>
      <c r="B14" s="40">
        <f>B6+B7+B8+B9+B10+B11+B12+B13</f>
        <v>127357480.10967742</v>
      </c>
    </row>
    <row r="15" spans="1:2" ht="30" x14ac:dyDescent="0.25">
      <c r="A15" s="36" t="s">
        <v>399</v>
      </c>
      <c r="B15" s="38">
        <f>B14*Резерв+SUMIFS('Оснащение и офис'!I5:I57,'Оснащение и офис'!A5:A57,"Прочие")</f>
        <v>12810748.010967743</v>
      </c>
    </row>
    <row r="16" spans="1:2" x14ac:dyDescent="0.25">
      <c r="A16" s="36" t="s">
        <v>295</v>
      </c>
      <c r="B16" s="38">
        <f>(B14+B15)*НДС</f>
        <v>22426916.499303225</v>
      </c>
    </row>
    <row r="17" spans="1:2" x14ac:dyDescent="0.25">
      <c r="A17" s="41" t="s">
        <v>374</v>
      </c>
      <c r="B17" s="42">
        <f>B14+B15+B16</f>
        <v>162595144.61994839</v>
      </c>
    </row>
    <row r="18" spans="1:2" x14ac:dyDescent="0.25">
      <c r="A18" s="39" t="s">
        <v>375</v>
      </c>
      <c r="B18" s="40">
        <f>Проекты!G13</f>
        <v>87404855.379999995</v>
      </c>
    </row>
    <row r="19" spans="1:2" x14ac:dyDescent="0.25">
      <c r="A19" s="43" t="s">
        <v>376</v>
      </c>
      <c r="B19" s="44">
        <f>B17+B18</f>
        <v>249999999.99994838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2"/>
  <sheetViews>
    <sheetView topLeftCell="A25" zoomScaleNormal="100" workbookViewId="0">
      <selection activeCell="C65" sqref="C65"/>
    </sheetView>
  </sheetViews>
  <sheetFormatPr defaultColWidth="8.7109375" defaultRowHeight="15" x14ac:dyDescent="0.25"/>
  <cols>
    <col min="1" max="1" width="16.7109375" customWidth="1"/>
    <col min="2" max="2" width="14.7109375" customWidth="1"/>
    <col min="3" max="3" width="100.7109375" customWidth="1"/>
  </cols>
  <sheetData>
    <row r="1" spans="1:3" ht="15.75" customHeight="1" x14ac:dyDescent="0.3">
      <c r="A1" s="1" t="s">
        <v>2</v>
      </c>
    </row>
    <row r="2" spans="1:3" ht="15" customHeight="1" x14ac:dyDescent="0.25">
      <c r="A2" s="2"/>
    </row>
    <row r="3" spans="1:3" ht="15" customHeight="1" x14ac:dyDescent="0.25">
      <c r="A3" s="7" t="s">
        <v>3</v>
      </c>
      <c r="B3" s="7" t="s">
        <v>4</v>
      </c>
      <c r="C3" s="7" t="s">
        <v>5</v>
      </c>
    </row>
    <row r="4" spans="1:3" ht="15" customHeight="1" x14ac:dyDescent="0.25">
      <c r="A4" t="s">
        <v>6</v>
      </c>
      <c r="B4" s="8">
        <v>85000</v>
      </c>
      <c r="C4" t="s">
        <v>7</v>
      </c>
    </row>
    <row r="5" spans="1:3" ht="15" customHeight="1" x14ac:dyDescent="0.25">
      <c r="A5" t="s">
        <v>8</v>
      </c>
      <c r="B5" s="8">
        <v>4325</v>
      </c>
      <c r="C5" t="s">
        <v>9</v>
      </c>
    </row>
    <row r="6" spans="1:3" ht="15" customHeight="1" x14ac:dyDescent="0.25">
      <c r="A6" t="s">
        <v>10</v>
      </c>
      <c r="B6" s="8">
        <v>0.06</v>
      </c>
      <c r="C6" t="s">
        <v>11</v>
      </c>
    </row>
    <row r="7" spans="1:3" ht="15" customHeight="1" x14ac:dyDescent="0.25">
      <c r="A7" t="s">
        <v>12</v>
      </c>
      <c r="B7" s="8">
        <v>3.5000000000000003E-2</v>
      </c>
      <c r="C7" t="s">
        <v>13</v>
      </c>
    </row>
    <row r="8" spans="1:3" ht="15" customHeight="1" x14ac:dyDescent="0.25">
      <c r="A8" t="s">
        <v>14</v>
      </c>
      <c r="B8" s="8">
        <v>0.05</v>
      </c>
      <c r="C8" t="s">
        <v>15</v>
      </c>
    </row>
    <row r="9" spans="1:3" ht="15" customHeight="1" x14ac:dyDescent="0.25">
      <c r="A9" t="s">
        <v>16</v>
      </c>
      <c r="B9" s="8">
        <v>7</v>
      </c>
      <c r="C9" t="s">
        <v>17</v>
      </c>
    </row>
    <row r="10" spans="1:3" ht="15" customHeight="1" x14ac:dyDescent="0.25">
      <c r="A10" t="s">
        <v>18</v>
      </c>
      <c r="B10" s="8">
        <v>0.03</v>
      </c>
      <c r="C10" t="s">
        <v>19</v>
      </c>
    </row>
    <row r="11" spans="1:3" ht="15" customHeight="1" x14ac:dyDescent="0.25">
      <c r="A11" t="s">
        <v>20</v>
      </c>
      <c r="B11" s="8">
        <v>40</v>
      </c>
      <c r="C11" t="s">
        <v>21</v>
      </c>
    </row>
    <row r="12" spans="1:3" ht="15" customHeight="1" x14ac:dyDescent="0.25">
      <c r="A12" t="s">
        <v>22</v>
      </c>
      <c r="B12" s="8">
        <v>0.1</v>
      </c>
      <c r="C12" t="s">
        <v>23</v>
      </c>
    </row>
    <row r="13" spans="1:3" ht="15" customHeight="1" x14ac:dyDescent="0.25">
      <c r="A13" t="s">
        <v>24</v>
      </c>
      <c r="B13" s="8">
        <v>0.02</v>
      </c>
      <c r="C13" t="s">
        <v>25</v>
      </c>
    </row>
    <row r="14" spans="1:3" ht="15" customHeight="1" x14ac:dyDescent="0.25">
      <c r="A14" t="s">
        <v>26</v>
      </c>
      <c r="B14" s="8">
        <v>28000</v>
      </c>
      <c r="C14" t="s">
        <v>27</v>
      </c>
    </row>
    <row r="15" spans="1:3" ht="15" customHeight="1" x14ac:dyDescent="0.25">
      <c r="A15" t="s">
        <v>395</v>
      </c>
      <c r="B15" s="8">
        <v>500000</v>
      </c>
      <c r="C15" t="s">
        <v>396</v>
      </c>
    </row>
    <row r="16" spans="1:3" ht="15" customHeight="1" x14ac:dyDescent="0.25">
      <c r="A16" t="s">
        <v>28</v>
      </c>
      <c r="B16" s="8">
        <v>530</v>
      </c>
      <c r="C16" t="s">
        <v>29</v>
      </c>
    </row>
    <row r="17" spans="1:3" ht="15" customHeight="1" x14ac:dyDescent="0.25">
      <c r="A17" t="s">
        <v>30</v>
      </c>
      <c r="B17" s="8">
        <v>2</v>
      </c>
      <c r="C17" t="s">
        <v>31</v>
      </c>
    </row>
    <row r="18" spans="1:3" ht="15" customHeight="1" x14ac:dyDescent="0.25">
      <c r="A18" t="s">
        <v>32</v>
      </c>
      <c r="B18" s="8">
        <v>90000</v>
      </c>
      <c r="C18" t="s">
        <v>33</v>
      </c>
    </row>
    <row r="19" spans="1:3" ht="15" customHeight="1" x14ac:dyDescent="0.25">
      <c r="A19" t="s">
        <v>34</v>
      </c>
      <c r="B19" s="8">
        <v>30000</v>
      </c>
      <c r="C19" t="s">
        <v>35</v>
      </c>
    </row>
    <row r="20" spans="1:3" ht="15" customHeight="1" x14ac:dyDescent="0.25">
      <c r="A20" t="s">
        <v>36</v>
      </c>
      <c r="B20" s="8">
        <v>15000</v>
      </c>
      <c r="C20" t="s">
        <v>37</v>
      </c>
    </row>
    <row r="21" spans="1:3" ht="15" customHeight="1" x14ac:dyDescent="0.25">
      <c r="A21" t="s">
        <v>38</v>
      </c>
      <c r="B21" s="8">
        <v>3</v>
      </c>
      <c r="C21" t="s">
        <v>39</v>
      </c>
    </row>
    <row r="22" spans="1:3" ht="15" customHeight="1" x14ac:dyDescent="0.25">
      <c r="A22" t="s">
        <v>40</v>
      </c>
      <c r="B22" s="8">
        <v>2</v>
      </c>
      <c r="C22" t="s">
        <v>41</v>
      </c>
    </row>
    <row r="23" spans="1:3" ht="15" customHeight="1" x14ac:dyDescent="0.25">
      <c r="A23" t="s">
        <v>42</v>
      </c>
      <c r="B23" s="8">
        <f>Авиа_РК+Отель_РК*Ночей_РК+Сут_РК*МРП*Дней_РК+Трансп_РК</f>
        <v>190950</v>
      </c>
      <c r="C23" t="s">
        <v>43</v>
      </c>
    </row>
    <row r="24" spans="1:3" ht="15" customHeight="1" x14ac:dyDescent="0.25">
      <c r="A24" t="s">
        <v>44</v>
      </c>
      <c r="B24" s="8">
        <f>Трансп_РК+Сут_РК*МРП</f>
        <v>23650</v>
      </c>
      <c r="C24" t="s">
        <v>45</v>
      </c>
    </row>
    <row r="25" spans="1:3" ht="15" customHeight="1" x14ac:dyDescent="0.25">
      <c r="A25" t="s">
        <v>46</v>
      </c>
      <c r="B25" s="8">
        <v>900</v>
      </c>
      <c r="C25" t="s">
        <v>47</v>
      </c>
    </row>
    <row r="26" spans="1:3" ht="15" customHeight="1" x14ac:dyDescent="0.25">
      <c r="A26" t="s">
        <v>48</v>
      </c>
      <c r="B26" s="8">
        <v>150</v>
      </c>
      <c r="C26" t="s">
        <v>49</v>
      </c>
    </row>
    <row r="27" spans="1:3" ht="15" customHeight="1" x14ac:dyDescent="0.25">
      <c r="A27" t="s">
        <v>50</v>
      </c>
      <c r="B27" s="8">
        <v>150</v>
      </c>
      <c r="C27" t="s">
        <v>51</v>
      </c>
    </row>
    <row r="28" spans="1:3" ht="15" customHeight="1" x14ac:dyDescent="0.25">
      <c r="A28" t="s">
        <v>52</v>
      </c>
      <c r="B28" s="8">
        <v>5</v>
      </c>
      <c r="C28" t="s">
        <v>53</v>
      </c>
    </row>
    <row r="29" spans="1:3" ht="15" customHeight="1" x14ac:dyDescent="0.25">
      <c r="A29" t="s">
        <v>54</v>
      </c>
      <c r="B29" s="8">
        <v>4</v>
      </c>
      <c r="C29" t="s">
        <v>55</v>
      </c>
    </row>
    <row r="30" spans="1:3" ht="15" customHeight="1" x14ac:dyDescent="0.25">
      <c r="A30" t="s">
        <v>56</v>
      </c>
      <c r="B30" s="8">
        <v>50</v>
      </c>
      <c r="C30" t="s">
        <v>57</v>
      </c>
    </row>
    <row r="31" spans="1:3" ht="15" customHeight="1" x14ac:dyDescent="0.25">
      <c r="A31" t="s">
        <v>58</v>
      </c>
      <c r="B31" s="8">
        <f>(Авиа_межд+Отель_межд*Ночей_межд+Сут_межд*Дней_межд+Страх_межд)*Курс</f>
        <v>1219000</v>
      </c>
      <c r="C31" t="s">
        <v>59</v>
      </c>
    </row>
    <row r="32" spans="1:3" ht="15" customHeight="1" x14ac:dyDescent="0.25">
      <c r="A32" t="s">
        <v>60</v>
      </c>
      <c r="B32" s="8">
        <f>Площадь_офиса*Ставка_аренды_м2+Коммун_мес+Парковка_мест*Парковка_цена</f>
        <v>4909152.0999999996</v>
      </c>
      <c r="C32" t="s">
        <v>329</v>
      </c>
    </row>
    <row r="33" spans="1:3" ht="15" customHeight="1" x14ac:dyDescent="0.25">
      <c r="A33" t="s">
        <v>61</v>
      </c>
      <c r="B33" s="8">
        <v>1</v>
      </c>
      <c r="C33" t="s">
        <v>232</v>
      </c>
    </row>
    <row r="34" spans="1:3" ht="15" customHeight="1" x14ac:dyDescent="0.25">
      <c r="A34" t="s">
        <v>62</v>
      </c>
      <c r="B34" s="8">
        <v>0.1</v>
      </c>
      <c r="C34" t="s">
        <v>63</v>
      </c>
    </row>
    <row r="35" spans="1:3" ht="15" customHeight="1" x14ac:dyDescent="0.25">
      <c r="A35" t="s">
        <v>64</v>
      </c>
      <c r="B35" s="8">
        <v>0.16</v>
      </c>
      <c r="C35" t="s">
        <v>65</v>
      </c>
    </row>
    <row r="37" spans="1:3" ht="15" customHeight="1" x14ac:dyDescent="0.25">
      <c r="A37" t="s">
        <v>362</v>
      </c>
    </row>
    <row r="38" spans="1:3" ht="15" customHeight="1" x14ac:dyDescent="0.25">
      <c r="A38" t="s">
        <v>363</v>
      </c>
    </row>
    <row r="41" spans="1:3" s="7" customFormat="1" x14ac:dyDescent="0.25">
      <c r="A41" s="7" t="s">
        <v>326</v>
      </c>
    </row>
    <row r="42" spans="1:3" x14ac:dyDescent="0.25">
      <c r="A42" t="s">
        <v>166</v>
      </c>
      <c r="B42" s="13">
        <f>ROUND((52.2+21.4+12.4+33.7+190)*1.1,2)</f>
        <v>340.67</v>
      </c>
      <c r="C42" t="s">
        <v>327</v>
      </c>
    </row>
    <row r="43" spans="1:3" x14ac:dyDescent="0.25">
      <c r="A43" t="s">
        <v>167</v>
      </c>
      <c r="B43" s="5">
        <v>13500</v>
      </c>
      <c r="C43" t="s">
        <v>324</v>
      </c>
    </row>
    <row r="44" spans="1:3" x14ac:dyDescent="0.25">
      <c r="A44" t="s">
        <v>218</v>
      </c>
      <c r="B44" s="5">
        <f>743*309.7</f>
        <v>230107.1</v>
      </c>
      <c r="C44" t="s">
        <v>328</v>
      </c>
    </row>
    <row r="45" spans="1:3" x14ac:dyDescent="0.25">
      <c r="A45" t="s">
        <v>168</v>
      </c>
      <c r="B45" s="5">
        <v>2</v>
      </c>
      <c r="C45" t="s">
        <v>280</v>
      </c>
    </row>
    <row r="46" spans="1:3" x14ac:dyDescent="0.25">
      <c r="A46" t="s">
        <v>169</v>
      </c>
      <c r="B46" s="5">
        <v>40000</v>
      </c>
      <c r="C46" t="s">
        <v>325</v>
      </c>
    </row>
    <row r="47" spans="1:3" x14ac:dyDescent="0.25">
      <c r="A47" t="s">
        <v>170</v>
      </c>
      <c r="B47" s="5">
        <f>Аренда_мес*(1+НДС)</f>
        <v>5694616.4359999988</v>
      </c>
      <c r="C47" t="s">
        <v>171</v>
      </c>
    </row>
    <row r="48" spans="1:3" x14ac:dyDescent="0.25">
      <c r="A48" t="s">
        <v>172</v>
      </c>
      <c r="B48" s="5">
        <f>Аренда_мес*Депозит_мес</f>
        <v>4909152.0999999996</v>
      </c>
      <c r="C48" t="s">
        <v>173</v>
      </c>
    </row>
    <row r="49" spans="1:3" x14ac:dyDescent="0.25">
      <c r="A49" t="s">
        <v>228</v>
      </c>
      <c r="B49" s="15">
        <f>11/31+2</f>
        <v>2.3548387096774195</v>
      </c>
      <c r="C49" t="s">
        <v>229</v>
      </c>
    </row>
    <row r="50" spans="1:3" x14ac:dyDescent="0.25">
      <c r="A50" s="7" t="s">
        <v>219</v>
      </c>
    </row>
    <row r="51" spans="1:3" x14ac:dyDescent="0.25">
      <c r="A51" t="s">
        <v>220</v>
      </c>
      <c r="B51" s="14">
        <v>0.1</v>
      </c>
      <c r="C51" t="s">
        <v>221</v>
      </c>
    </row>
    <row r="52" spans="1:3" x14ac:dyDescent="0.25">
      <c r="A52" t="s">
        <v>230</v>
      </c>
      <c r="B52" s="15">
        <f>Аренда_мес_2026</f>
        <v>2.3548387096774195</v>
      </c>
      <c r="C52" t="s">
        <v>364</v>
      </c>
    </row>
  </sheetData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tabSelected="1" topLeftCell="D5" zoomScaleNormal="100" workbookViewId="0">
      <selection activeCell="P7" sqref="P7"/>
    </sheetView>
  </sheetViews>
  <sheetFormatPr defaultColWidth="8.7109375" defaultRowHeight="15" x14ac:dyDescent="0.25"/>
  <cols>
    <col min="1" max="1" width="4.7109375" customWidth="1"/>
    <col min="2" max="2" width="16.7109375" customWidth="1"/>
    <col min="3" max="3" width="52.7109375" customWidth="1"/>
    <col min="4" max="4" width="22.7109375" customWidth="1"/>
    <col min="5" max="15" width="12.7109375" customWidth="1"/>
    <col min="16" max="16" width="80.7109375" customWidth="1"/>
  </cols>
  <sheetData>
    <row r="1" spans="1:17" ht="15.75" customHeight="1" x14ac:dyDescent="0.3">
      <c r="A1" s="1" t="s">
        <v>416</v>
      </c>
    </row>
    <row r="2" spans="1:17" ht="15" customHeight="1" x14ac:dyDescent="0.25">
      <c r="A2" s="2"/>
    </row>
    <row r="4" spans="1:17" ht="57.75" customHeight="1" x14ac:dyDescent="0.25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346</v>
      </c>
      <c r="J4" s="3" t="s">
        <v>74</v>
      </c>
      <c r="K4" s="3" t="s">
        <v>75</v>
      </c>
      <c r="L4" s="3" t="s">
        <v>231</v>
      </c>
      <c r="M4" s="3" t="s">
        <v>77</v>
      </c>
      <c r="N4" s="3" t="s">
        <v>397</v>
      </c>
      <c r="O4" s="3" t="s">
        <v>78</v>
      </c>
      <c r="P4" s="3" t="s">
        <v>347</v>
      </c>
      <c r="Q4" s="4"/>
    </row>
    <row r="5" spans="1:17" ht="75" x14ac:dyDescent="0.25">
      <c r="A5" s="16">
        <v>1</v>
      </c>
      <c r="B5" s="16" t="s">
        <v>281</v>
      </c>
      <c r="C5" s="17" t="s">
        <v>282</v>
      </c>
      <c r="D5" s="17" t="s">
        <v>79</v>
      </c>
      <c r="E5" s="16" t="s">
        <v>80</v>
      </c>
      <c r="F5" s="16" t="s">
        <v>81</v>
      </c>
      <c r="G5" s="16">
        <v>1</v>
      </c>
      <c r="H5" s="18">
        <v>1600000</v>
      </c>
      <c r="I5" s="16">
        <v>1</v>
      </c>
      <c r="J5" s="18">
        <f t="shared" ref="J5:J22" si="0">IF(E5="штат",ROUND(Ставка_СН*H5*(1-Ставка_ОПВ-Ставка_ВОСМС)+Ставка_ОПВР*H5+Ставка_СО*MIN(H5*(1-Ставка_ОПВ),Кап_СО*МЗП)+Ставка_ООСМС*MIN(H5,Кап_ООСМС*МЗП),0),ROUND(H5*НДС,0))</f>
        <v>218230</v>
      </c>
      <c r="K5" s="18">
        <f t="shared" ref="K5:K22" si="1">G5*(H5+J5)</f>
        <v>1818230</v>
      </c>
      <c r="L5" s="19">
        <f t="shared" ref="L5:L29" si="2">IF(AND(F5="новая",I5=1),Мес_2026_новые,MAX(0,4-I5))</f>
        <v>3</v>
      </c>
      <c r="M5" s="18">
        <f t="shared" ref="M5:M29" si="3">K5*L5</f>
        <v>5454690</v>
      </c>
      <c r="N5" s="18">
        <f t="shared" ref="N5:N29" si="4">IF(AND(E5="штат",F5="новая"),ОСНС_полис*G5/COUNTIFS($E$5:$E$29,"штат",$F$5:$F$29,"новая"),0)</f>
        <v>0</v>
      </c>
      <c r="O5" s="18">
        <f t="shared" ref="O5:O29" si="5">M5+N5</f>
        <v>5454690</v>
      </c>
      <c r="P5" s="17" t="s">
        <v>351</v>
      </c>
    </row>
    <row r="6" spans="1:17" ht="60" x14ac:dyDescent="0.25">
      <c r="A6" s="16">
        <v>2</v>
      </c>
      <c r="B6" s="16" t="s">
        <v>281</v>
      </c>
      <c r="C6" s="17" t="s">
        <v>403</v>
      </c>
      <c r="D6" s="17" t="s">
        <v>82</v>
      </c>
      <c r="E6" s="16" t="s">
        <v>80</v>
      </c>
      <c r="F6" s="16" t="s">
        <v>81</v>
      </c>
      <c r="G6" s="16">
        <v>1</v>
      </c>
      <c r="H6" s="18">
        <v>1400000</v>
      </c>
      <c r="I6" s="16">
        <v>1</v>
      </c>
      <c r="J6" s="18">
        <f t="shared" si="0"/>
        <v>194670</v>
      </c>
      <c r="K6" s="18">
        <f t="shared" si="1"/>
        <v>1594670</v>
      </c>
      <c r="L6" s="19">
        <f t="shared" si="2"/>
        <v>3</v>
      </c>
      <c r="M6" s="18">
        <f t="shared" si="3"/>
        <v>4784010</v>
      </c>
      <c r="N6" s="18">
        <f t="shared" si="4"/>
        <v>0</v>
      </c>
      <c r="O6" s="18">
        <f t="shared" si="5"/>
        <v>4784010</v>
      </c>
      <c r="P6" s="17" t="s">
        <v>407</v>
      </c>
    </row>
    <row r="7" spans="1:17" ht="90" x14ac:dyDescent="0.25">
      <c r="A7" s="16">
        <v>3</v>
      </c>
      <c r="B7" s="16" t="s">
        <v>281</v>
      </c>
      <c r="C7" s="17" t="s">
        <v>272</v>
      </c>
      <c r="D7" s="17" t="s">
        <v>82</v>
      </c>
      <c r="E7" s="16" t="s">
        <v>80</v>
      </c>
      <c r="F7" s="16" t="s">
        <v>81</v>
      </c>
      <c r="G7" s="16">
        <v>1</v>
      </c>
      <c r="H7" s="18">
        <v>1400000</v>
      </c>
      <c r="I7" s="16">
        <v>1</v>
      </c>
      <c r="J7" s="18">
        <f t="shared" si="0"/>
        <v>194670</v>
      </c>
      <c r="K7" s="18">
        <f t="shared" si="1"/>
        <v>1594670</v>
      </c>
      <c r="L7" s="19">
        <f t="shared" si="2"/>
        <v>3</v>
      </c>
      <c r="M7" s="18">
        <f t="shared" si="3"/>
        <v>4784010</v>
      </c>
      <c r="N7" s="18">
        <f t="shared" si="4"/>
        <v>0</v>
      </c>
      <c r="O7" s="18">
        <f t="shared" si="5"/>
        <v>4784010</v>
      </c>
      <c r="P7" s="17" t="s">
        <v>402</v>
      </c>
    </row>
    <row r="8" spans="1:17" ht="90" x14ac:dyDescent="0.25">
      <c r="A8" s="16">
        <v>4</v>
      </c>
      <c r="B8" s="16" t="s">
        <v>215</v>
      </c>
      <c r="C8" s="17" t="s">
        <v>408</v>
      </c>
      <c r="D8" s="17" t="s">
        <v>82</v>
      </c>
      <c r="E8" s="16" t="s">
        <v>80</v>
      </c>
      <c r="F8" s="16" t="s">
        <v>83</v>
      </c>
      <c r="G8" s="16">
        <v>1</v>
      </c>
      <c r="H8" s="18">
        <v>1400000</v>
      </c>
      <c r="I8" s="16">
        <v>1</v>
      </c>
      <c r="J8" s="18">
        <f t="shared" si="0"/>
        <v>194670</v>
      </c>
      <c r="K8" s="18">
        <f t="shared" si="1"/>
        <v>1594670</v>
      </c>
      <c r="L8" s="19">
        <f t="shared" si="2"/>
        <v>2.3548387096774195</v>
      </c>
      <c r="M8" s="18">
        <f t="shared" si="3"/>
        <v>3755190.6451612907</v>
      </c>
      <c r="N8" s="18">
        <f t="shared" si="4"/>
        <v>35714.285714285717</v>
      </c>
      <c r="O8" s="18">
        <f t="shared" si="5"/>
        <v>3790904.9308755766</v>
      </c>
      <c r="P8" s="17" t="s">
        <v>409</v>
      </c>
    </row>
    <row r="9" spans="1:17" ht="30" x14ac:dyDescent="0.25">
      <c r="A9" s="16">
        <v>6</v>
      </c>
      <c r="B9" s="16" t="s">
        <v>250</v>
      </c>
      <c r="C9" s="17" t="s">
        <v>252</v>
      </c>
      <c r="D9" s="17" t="s">
        <v>253</v>
      </c>
      <c r="E9" s="16" t="s">
        <v>80</v>
      </c>
      <c r="F9" s="16" t="s">
        <v>83</v>
      </c>
      <c r="G9" s="16">
        <v>1</v>
      </c>
      <c r="H9" s="18">
        <v>1000000</v>
      </c>
      <c r="I9" s="16">
        <v>1</v>
      </c>
      <c r="J9" s="18">
        <f t="shared" si="0"/>
        <v>147550</v>
      </c>
      <c r="K9" s="18">
        <f t="shared" si="1"/>
        <v>1147550</v>
      </c>
      <c r="L9" s="19">
        <f t="shared" si="2"/>
        <v>2.3548387096774195</v>
      </c>
      <c r="M9" s="18">
        <f t="shared" si="3"/>
        <v>2702295.1612903229</v>
      </c>
      <c r="N9" s="18">
        <f t="shared" si="4"/>
        <v>35714.285714285717</v>
      </c>
      <c r="O9" s="18">
        <f t="shared" si="5"/>
        <v>2738009.4470046088</v>
      </c>
      <c r="P9" s="17" t="s">
        <v>352</v>
      </c>
    </row>
    <row r="10" spans="1:17" ht="30" x14ac:dyDescent="0.25">
      <c r="A10" s="16">
        <v>14</v>
      </c>
      <c r="B10" s="16" t="s">
        <v>254</v>
      </c>
      <c r="C10" s="17" t="s">
        <v>284</v>
      </c>
      <c r="D10" s="17" t="s">
        <v>256</v>
      </c>
      <c r="E10" s="16" t="s">
        <v>80</v>
      </c>
      <c r="F10" s="16" t="s">
        <v>83</v>
      </c>
      <c r="G10" s="16">
        <v>1</v>
      </c>
      <c r="H10" s="18">
        <v>1100000</v>
      </c>
      <c r="I10" s="16">
        <v>1</v>
      </c>
      <c r="J10" s="18">
        <f t="shared" ref="J10" si="6">IF(E10="штат",ROUND(Ставка_СН*H10*(1-Ставка_ОПВ-Ставка_ВОСМС)+Ставка_ОПВР*H10+Ставка_СО*MIN(H10*(1-Ставка_ОПВ),Кап_СО*МЗП)+Ставка_ООСМС*MIN(H10,Кап_ООСМС*МЗП),0),ROUND(H10*НДС,0))</f>
        <v>159330</v>
      </c>
      <c r="K10" s="18">
        <f t="shared" ref="K10" si="7">G10*(H10+J10)</f>
        <v>1259330</v>
      </c>
      <c r="L10" s="19">
        <f t="shared" ref="L10" si="8">IF(AND(F10="новая",I10=1),Мес_2026_новые,MAX(0,4-I10))</f>
        <v>2.3548387096774195</v>
      </c>
      <c r="M10" s="18">
        <f t="shared" si="3"/>
        <v>2965519.0322580645</v>
      </c>
      <c r="N10" s="18">
        <f t="shared" si="4"/>
        <v>35714.285714285717</v>
      </c>
      <c r="O10" s="18">
        <f t="shared" si="5"/>
        <v>3001233.3179723504</v>
      </c>
      <c r="P10" s="17" t="s">
        <v>285</v>
      </c>
    </row>
    <row r="11" spans="1:17" ht="60" x14ac:dyDescent="0.25">
      <c r="A11" s="16">
        <v>15</v>
      </c>
      <c r="B11" s="16" t="s">
        <v>254</v>
      </c>
      <c r="C11" s="17" t="s">
        <v>255</v>
      </c>
      <c r="D11" s="17" t="s">
        <v>256</v>
      </c>
      <c r="E11" s="16" t="s">
        <v>80</v>
      </c>
      <c r="F11" s="16" t="s">
        <v>83</v>
      </c>
      <c r="G11" s="16">
        <v>1</v>
      </c>
      <c r="H11" s="18">
        <v>1000000</v>
      </c>
      <c r="I11" s="16">
        <v>1</v>
      </c>
      <c r="J11" s="18">
        <f t="shared" si="0"/>
        <v>147550</v>
      </c>
      <c r="K11" s="18">
        <f t="shared" si="1"/>
        <v>1147550</v>
      </c>
      <c r="L11" s="19">
        <f t="shared" si="2"/>
        <v>2.3548387096774195</v>
      </c>
      <c r="M11" s="18">
        <f t="shared" si="3"/>
        <v>2702295.1612903229</v>
      </c>
      <c r="N11" s="18">
        <f t="shared" si="4"/>
        <v>35714.285714285717</v>
      </c>
      <c r="O11" s="18">
        <f t="shared" si="5"/>
        <v>2738009.4470046088</v>
      </c>
      <c r="P11" s="17" t="s">
        <v>410</v>
      </c>
    </row>
    <row r="12" spans="1:17" ht="75" x14ac:dyDescent="0.25">
      <c r="A12" s="16">
        <v>17</v>
      </c>
      <c r="B12" s="16" t="s">
        <v>254</v>
      </c>
      <c r="C12" s="17" t="s">
        <v>255</v>
      </c>
      <c r="D12" s="17" t="s">
        <v>256</v>
      </c>
      <c r="E12" s="16" t="s">
        <v>80</v>
      </c>
      <c r="F12" s="16" t="s">
        <v>83</v>
      </c>
      <c r="G12" s="16">
        <v>1</v>
      </c>
      <c r="H12" s="18">
        <v>1000000</v>
      </c>
      <c r="I12" s="16">
        <v>1</v>
      </c>
      <c r="J12" s="18">
        <f t="shared" si="0"/>
        <v>147550</v>
      </c>
      <c r="K12" s="18">
        <f t="shared" si="1"/>
        <v>1147550</v>
      </c>
      <c r="L12" s="19">
        <f t="shared" si="2"/>
        <v>2.3548387096774195</v>
      </c>
      <c r="M12" s="18">
        <f t="shared" si="3"/>
        <v>2702295.1612903229</v>
      </c>
      <c r="N12" s="18">
        <f t="shared" si="4"/>
        <v>35714.285714285717</v>
      </c>
      <c r="O12" s="18">
        <f t="shared" si="5"/>
        <v>2738009.4470046088</v>
      </c>
      <c r="P12" s="17" t="s">
        <v>411</v>
      </c>
    </row>
    <row r="13" spans="1:17" ht="60" x14ac:dyDescent="0.25">
      <c r="A13" s="16">
        <v>18</v>
      </c>
      <c r="B13" s="16" t="s">
        <v>254</v>
      </c>
      <c r="C13" s="17" t="s">
        <v>257</v>
      </c>
      <c r="D13" s="17" t="s">
        <v>256</v>
      </c>
      <c r="E13" s="16" t="s">
        <v>80</v>
      </c>
      <c r="F13" s="16" t="s">
        <v>83</v>
      </c>
      <c r="G13" s="16">
        <v>1</v>
      </c>
      <c r="H13" s="18">
        <v>1000000</v>
      </c>
      <c r="I13" s="16">
        <v>1</v>
      </c>
      <c r="J13" s="18">
        <f t="shared" si="0"/>
        <v>147550</v>
      </c>
      <c r="K13" s="18">
        <f t="shared" si="1"/>
        <v>1147550</v>
      </c>
      <c r="L13" s="19">
        <f t="shared" si="2"/>
        <v>2.3548387096774195</v>
      </c>
      <c r="M13" s="18">
        <f t="shared" si="3"/>
        <v>2702295.1612903229</v>
      </c>
      <c r="N13" s="18">
        <f t="shared" si="4"/>
        <v>35714.285714285717</v>
      </c>
      <c r="O13" s="18">
        <f t="shared" si="5"/>
        <v>2738009.4470046088</v>
      </c>
      <c r="P13" s="17" t="s">
        <v>412</v>
      </c>
    </row>
    <row r="14" spans="1:17" ht="75" x14ac:dyDescent="0.25">
      <c r="A14" s="16">
        <v>19</v>
      </c>
      <c r="B14" s="16" t="s">
        <v>254</v>
      </c>
      <c r="C14" s="17" t="s">
        <v>257</v>
      </c>
      <c r="D14" s="17" t="s">
        <v>256</v>
      </c>
      <c r="E14" s="16" t="s">
        <v>80</v>
      </c>
      <c r="F14" s="16" t="s">
        <v>83</v>
      </c>
      <c r="G14" s="16">
        <v>1</v>
      </c>
      <c r="H14" s="18">
        <v>700000</v>
      </c>
      <c r="I14" s="16">
        <v>1</v>
      </c>
      <c r="J14" s="18">
        <f t="shared" si="0"/>
        <v>112210</v>
      </c>
      <c r="K14" s="18">
        <f t="shared" si="1"/>
        <v>812210</v>
      </c>
      <c r="L14" s="19">
        <f t="shared" si="2"/>
        <v>2.3548387096774195</v>
      </c>
      <c r="M14" s="18">
        <f t="shared" si="3"/>
        <v>1912623.548387097</v>
      </c>
      <c r="N14" s="18">
        <f t="shared" si="4"/>
        <v>35714.285714285717</v>
      </c>
      <c r="O14" s="18">
        <f t="shared" si="5"/>
        <v>1948337.8341013826</v>
      </c>
      <c r="P14" s="17" t="s">
        <v>413</v>
      </c>
    </row>
    <row r="15" spans="1:17" ht="75" x14ac:dyDescent="0.25">
      <c r="A15" s="16">
        <v>23</v>
      </c>
      <c r="B15" s="16" t="s">
        <v>258</v>
      </c>
      <c r="C15" s="17" t="s">
        <v>251</v>
      </c>
      <c r="D15" s="17" t="s">
        <v>283</v>
      </c>
      <c r="E15" s="16" t="s">
        <v>80</v>
      </c>
      <c r="F15" s="16" t="s">
        <v>83</v>
      </c>
      <c r="G15" s="16">
        <v>1</v>
      </c>
      <c r="H15" s="18">
        <v>1300000</v>
      </c>
      <c r="I15" s="16">
        <v>1</v>
      </c>
      <c r="J15" s="18">
        <f t="shared" ref="J15" si="9">IF(E15="штат",ROUND(Ставка_СН*H15*(1-Ставка_ОПВ-Ставка_ВОСМС)+Ставка_ОПВР*H15+Ставка_СО*MIN(H15*(1-Ставка_ОПВ),Кап_СО*МЗП)+Ставка_ООСМС*MIN(H15,Кап_ООСМС*МЗП),0),ROUND(H15*НДС,0))</f>
        <v>182890</v>
      </c>
      <c r="K15" s="18">
        <f t="shared" ref="K15" si="10">G15*(H15+J15)</f>
        <v>1482890</v>
      </c>
      <c r="L15" s="19">
        <f t="shared" ref="L15" si="11">IF(AND(F15="новая",I15=1),Мес_2026_новые,MAX(0,4-I15))</f>
        <v>2.3548387096774195</v>
      </c>
      <c r="M15" s="18">
        <f t="shared" si="3"/>
        <v>3491966.7741935486</v>
      </c>
      <c r="N15" s="18">
        <f t="shared" si="4"/>
        <v>35714.285714285717</v>
      </c>
      <c r="O15" s="18">
        <f t="shared" si="5"/>
        <v>3527681.0599078345</v>
      </c>
      <c r="P15" s="17" t="s">
        <v>414</v>
      </c>
    </row>
    <row r="16" spans="1:17" ht="30" x14ac:dyDescent="0.25">
      <c r="A16" s="20">
        <v>24</v>
      </c>
      <c r="B16" s="20" t="s">
        <v>258</v>
      </c>
      <c r="C16" s="21" t="s">
        <v>286</v>
      </c>
      <c r="D16" s="21" t="s">
        <v>253</v>
      </c>
      <c r="E16" s="20" t="s">
        <v>259</v>
      </c>
      <c r="F16" s="20" t="s">
        <v>83</v>
      </c>
      <c r="G16" s="20">
        <v>0</v>
      </c>
      <c r="H16" s="22">
        <v>1000000</v>
      </c>
      <c r="I16" s="20">
        <v>1</v>
      </c>
      <c r="J16" s="22">
        <f t="shared" si="0"/>
        <v>160000</v>
      </c>
      <c r="K16" s="22">
        <f t="shared" si="1"/>
        <v>0</v>
      </c>
      <c r="L16" s="23">
        <f t="shared" si="2"/>
        <v>2.3548387096774195</v>
      </c>
      <c r="M16" s="22">
        <f t="shared" si="3"/>
        <v>0</v>
      </c>
      <c r="N16" s="22">
        <f t="shared" si="4"/>
        <v>0</v>
      </c>
      <c r="O16" s="22">
        <f t="shared" si="5"/>
        <v>0</v>
      </c>
      <c r="P16" s="21" t="s">
        <v>314</v>
      </c>
    </row>
    <row r="17" spans="1:16" ht="30" x14ac:dyDescent="0.25">
      <c r="A17" s="16">
        <v>25</v>
      </c>
      <c r="B17" s="16" t="s">
        <v>260</v>
      </c>
      <c r="C17" s="17" t="s">
        <v>261</v>
      </c>
      <c r="D17" s="17" t="s">
        <v>283</v>
      </c>
      <c r="E17" s="16" t="s">
        <v>80</v>
      </c>
      <c r="F17" s="16" t="s">
        <v>83</v>
      </c>
      <c r="G17" s="16">
        <v>1</v>
      </c>
      <c r="H17" s="18">
        <v>1300000</v>
      </c>
      <c r="I17" s="16">
        <v>1</v>
      </c>
      <c r="J17" s="18">
        <f t="shared" si="0"/>
        <v>182890</v>
      </c>
      <c r="K17" s="18">
        <f t="shared" si="1"/>
        <v>1482890</v>
      </c>
      <c r="L17" s="19">
        <f t="shared" si="2"/>
        <v>2.3548387096774195</v>
      </c>
      <c r="M17" s="18">
        <f t="shared" si="3"/>
        <v>3491966.7741935486</v>
      </c>
      <c r="N17" s="18">
        <f t="shared" si="4"/>
        <v>35714.285714285717</v>
      </c>
      <c r="O17" s="18">
        <f t="shared" si="5"/>
        <v>3527681.0599078345</v>
      </c>
      <c r="P17" s="17" t="s">
        <v>353</v>
      </c>
    </row>
    <row r="18" spans="1:16" ht="45" x14ac:dyDescent="0.25">
      <c r="A18" s="16">
        <v>26</v>
      </c>
      <c r="B18" s="16" t="s">
        <v>260</v>
      </c>
      <c r="C18" s="17" t="s">
        <v>262</v>
      </c>
      <c r="D18" s="17" t="s">
        <v>216</v>
      </c>
      <c r="E18" s="16" t="s">
        <v>80</v>
      </c>
      <c r="F18" s="16" t="s">
        <v>83</v>
      </c>
      <c r="G18" s="16">
        <v>1</v>
      </c>
      <c r="H18" s="18">
        <v>1000000</v>
      </c>
      <c r="I18" s="16">
        <v>1</v>
      </c>
      <c r="J18" s="18">
        <f t="shared" si="0"/>
        <v>147550</v>
      </c>
      <c r="K18" s="18">
        <f t="shared" si="1"/>
        <v>1147550</v>
      </c>
      <c r="L18" s="19">
        <f t="shared" si="2"/>
        <v>2.3548387096774195</v>
      </c>
      <c r="M18" s="18">
        <f t="shared" si="3"/>
        <v>2702295.1612903229</v>
      </c>
      <c r="N18" s="18">
        <f t="shared" si="4"/>
        <v>35714.285714285717</v>
      </c>
      <c r="O18" s="18">
        <f t="shared" si="5"/>
        <v>2738009.4470046088</v>
      </c>
      <c r="P18" s="17" t="s">
        <v>415</v>
      </c>
    </row>
    <row r="19" spans="1:16" x14ac:dyDescent="0.25">
      <c r="A19" s="20">
        <v>27</v>
      </c>
      <c r="B19" s="20" t="s">
        <v>260</v>
      </c>
      <c r="C19" s="21" t="s">
        <v>267</v>
      </c>
      <c r="D19" s="21" t="s">
        <v>216</v>
      </c>
      <c r="E19" s="20" t="s">
        <v>259</v>
      </c>
      <c r="F19" s="20" t="s">
        <v>83</v>
      </c>
      <c r="G19" s="20">
        <v>0</v>
      </c>
      <c r="H19" s="22">
        <v>1000000</v>
      </c>
      <c r="I19" s="20">
        <v>2</v>
      </c>
      <c r="J19" s="22">
        <f t="shared" si="0"/>
        <v>160000</v>
      </c>
      <c r="K19" s="22">
        <f t="shared" si="1"/>
        <v>0</v>
      </c>
      <c r="L19" s="23">
        <f t="shared" si="2"/>
        <v>2</v>
      </c>
      <c r="M19" s="22">
        <f t="shared" si="3"/>
        <v>0</v>
      </c>
      <c r="N19" s="22">
        <f t="shared" si="4"/>
        <v>0</v>
      </c>
      <c r="O19" s="22">
        <f t="shared" si="5"/>
        <v>0</v>
      </c>
      <c r="P19" s="21" t="s">
        <v>315</v>
      </c>
    </row>
    <row r="20" spans="1:16" x14ac:dyDescent="0.25">
      <c r="A20" s="20">
        <v>28</v>
      </c>
      <c r="B20" s="20" t="s">
        <v>260</v>
      </c>
      <c r="C20" s="21" t="s">
        <v>268</v>
      </c>
      <c r="D20" s="21" t="s">
        <v>216</v>
      </c>
      <c r="E20" s="20" t="s">
        <v>259</v>
      </c>
      <c r="F20" s="20" t="s">
        <v>83</v>
      </c>
      <c r="G20" s="20">
        <v>0</v>
      </c>
      <c r="H20" s="22">
        <v>700000</v>
      </c>
      <c r="I20" s="20">
        <v>2</v>
      </c>
      <c r="J20" s="22">
        <f t="shared" ref="J20" si="12">IF(E20="штат",ROUND(Ставка_СН*H20*(1-Ставка_ОПВ-Ставка_ВОСМС)+Ставка_ОПВР*H20+Ставка_СО*MIN(H20*(1-Ставка_ОПВ),Кап_СО*МЗП)+Ставка_ООСМС*MIN(H20,Кап_ООСМС*МЗП),0),ROUND(H20*НДС,0))</f>
        <v>112000</v>
      </c>
      <c r="K20" s="22">
        <f t="shared" ref="K20" si="13">G20*(H20+J20)</f>
        <v>0</v>
      </c>
      <c r="L20" s="23">
        <f t="shared" ref="L20" si="14">IF(AND(F20="новая",I20=1),Мес_2026_новые,MAX(0,4-I20))</f>
        <v>2</v>
      </c>
      <c r="M20" s="22">
        <f t="shared" si="3"/>
        <v>0</v>
      </c>
      <c r="N20" s="22">
        <f t="shared" si="4"/>
        <v>0</v>
      </c>
      <c r="O20" s="22">
        <f t="shared" si="5"/>
        <v>0</v>
      </c>
      <c r="P20" s="21" t="s">
        <v>316</v>
      </c>
    </row>
    <row r="21" spans="1:16" x14ac:dyDescent="0.25">
      <c r="A21" s="20">
        <v>29</v>
      </c>
      <c r="B21" s="20" t="s">
        <v>260</v>
      </c>
      <c r="C21" s="21" t="s">
        <v>269</v>
      </c>
      <c r="D21" s="21" t="s">
        <v>216</v>
      </c>
      <c r="E21" s="20" t="s">
        <v>259</v>
      </c>
      <c r="F21" s="20" t="s">
        <v>83</v>
      </c>
      <c r="G21" s="20">
        <v>0</v>
      </c>
      <c r="H21" s="22">
        <v>700000</v>
      </c>
      <c r="I21" s="20">
        <v>2</v>
      </c>
      <c r="J21" s="22">
        <f t="shared" si="0"/>
        <v>112000</v>
      </c>
      <c r="K21" s="22">
        <f t="shared" si="1"/>
        <v>0</v>
      </c>
      <c r="L21" s="23">
        <f t="shared" si="2"/>
        <v>2</v>
      </c>
      <c r="M21" s="22">
        <f t="shared" si="3"/>
        <v>0</v>
      </c>
      <c r="N21" s="22">
        <f t="shared" si="4"/>
        <v>0</v>
      </c>
      <c r="O21" s="22">
        <f t="shared" si="5"/>
        <v>0</v>
      </c>
      <c r="P21" s="21" t="s">
        <v>317</v>
      </c>
    </row>
    <row r="22" spans="1:16" x14ac:dyDescent="0.25">
      <c r="A22" s="16">
        <v>30</v>
      </c>
      <c r="B22" s="16" t="s">
        <v>260</v>
      </c>
      <c r="C22" s="17" t="s">
        <v>263</v>
      </c>
      <c r="D22" s="17" t="s">
        <v>216</v>
      </c>
      <c r="E22" s="16" t="s">
        <v>80</v>
      </c>
      <c r="F22" s="16" t="s">
        <v>83</v>
      </c>
      <c r="G22" s="16">
        <v>1</v>
      </c>
      <c r="H22" s="18">
        <v>1000000</v>
      </c>
      <c r="I22" s="16">
        <v>1</v>
      </c>
      <c r="J22" s="18">
        <f t="shared" si="0"/>
        <v>147550</v>
      </c>
      <c r="K22" s="18">
        <f t="shared" si="1"/>
        <v>1147550</v>
      </c>
      <c r="L22" s="19">
        <f t="shared" si="2"/>
        <v>2.3548387096774195</v>
      </c>
      <c r="M22" s="18">
        <f t="shared" si="3"/>
        <v>2702295.1612903229</v>
      </c>
      <c r="N22" s="18">
        <f t="shared" si="4"/>
        <v>35714.285714285717</v>
      </c>
      <c r="O22" s="18">
        <f t="shared" si="5"/>
        <v>2738009.4470046088</v>
      </c>
      <c r="P22" s="17" t="s">
        <v>264</v>
      </c>
    </row>
    <row r="23" spans="1:16" x14ac:dyDescent="0.25">
      <c r="A23" s="16">
        <v>31</v>
      </c>
      <c r="B23" s="16" t="s">
        <v>260</v>
      </c>
      <c r="C23" s="17" t="s">
        <v>265</v>
      </c>
      <c r="D23" s="17" t="s">
        <v>216</v>
      </c>
      <c r="E23" s="16" t="s">
        <v>80</v>
      </c>
      <c r="F23" s="16" t="s">
        <v>83</v>
      </c>
      <c r="G23" s="16">
        <v>1</v>
      </c>
      <c r="H23" s="18">
        <v>700000</v>
      </c>
      <c r="I23" s="16">
        <v>1</v>
      </c>
      <c r="J23" s="18">
        <f t="shared" ref="J23:J29" si="15">IF(E23="штат",ROUND(Ставка_СН*H23*(1-Ставка_ОПВ-Ставка_ВОСМС)+Ставка_ОПВР*H23+Ставка_СО*MIN(H23*(1-Ставка_ОПВ),Кап_СО*МЗП)+Ставка_ООСМС*MIN(H23,Кап_ООСМС*МЗП),0),ROUND(H23*НДС,0))</f>
        <v>112210</v>
      </c>
      <c r="K23" s="18">
        <f t="shared" ref="K23:K29" si="16">G23*(H23+J23)</f>
        <v>812210</v>
      </c>
      <c r="L23" s="19">
        <f t="shared" si="2"/>
        <v>2.3548387096774195</v>
      </c>
      <c r="M23" s="18">
        <f t="shared" si="3"/>
        <v>1912623.548387097</v>
      </c>
      <c r="N23" s="18">
        <f t="shared" si="4"/>
        <v>35714.285714285717</v>
      </c>
      <c r="O23" s="18">
        <f t="shared" si="5"/>
        <v>1948337.8341013826</v>
      </c>
      <c r="P23" s="17" t="s">
        <v>266</v>
      </c>
    </row>
    <row r="24" spans="1:16" ht="30" x14ac:dyDescent="0.25">
      <c r="A24" s="20">
        <v>32</v>
      </c>
      <c r="B24" s="20" t="s">
        <v>260</v>
      </c>
      <c r="C24" s="21" t="s">
        <v>270</v>
      </c>
      <c r="D24" s="21" t="s">
        <v>216</v>
      </c>
      <c r="E24" s="20" t="s">
        <v>259</v>
      </c>
      <c r="F24" s="20" t="s">
        <v>83</v>
      </c>
      <c r="G24" s="20">
        <v>0</v>
      </c>
      <c r="H24" s="22">
        <v>700000</v>
      </c>
      <c r="I24" s="20">
        <v>2</v>
      </c>
      <c r="J24" s="22">
        <f t="shared" si="15"/>
        <v>112000</v>
      </c>
      <c r="K24" s="22">
        <f t="shared" si="16"/>
        <v>0</v>
      </c>
      <c r="L24" s="23">
        <f t="shared" si="2"/>
        <v>2</v>
      </c>
      <c r="M24" s="22">
        <f t="shared" si="3"/>
        <v>0</v>
      </c>
      <c r="N24" s="22">
        <f t="shared" si="4"/>
        <v>0</v>
      </c>
      <c r="O24" s="22">
        <f t="shared" si="5"/>
        <v>0</v>
      </c>
      <c r="P24" s="21" t="s">
        <v>318</v>
      </c>
    </row>
    <row r="25" spans="1:16" ht="75" x14ac:dyDescent="0.25">
      <c r="A25" s="16">
        <v>33</v>
      </c>
      <c r="B25" s="16" t="s">
        <v>287</v>
      </c>
      <c r="C25" s="17" t="s">
        <v>84</v>
      </c>
      <c r="D25" s="17" t="s">
        <v>82</v>
      </c>
      <c r="E25" s="16" t="s">
        <v>80</v>
      </c>
      <c r="F25" s="16" t="s">
        <v>81</v>
      </c>
      <c r="G25" s="16">
        <v>1</v>
      </c>
      <c r="H25" s="18">
        <v>1400000</v>
      </c>
      <c r="I25" s="16">
        <v>1</v>
      </c>
      <c r="J25" s="18">
        <f t="shared" si="15"/>
        <v>194670</v>
      </c>
      <c r="K25" s="18">
        <f t="shared" si="16"/>
        <v>1594670</v>
      </c>
      <c r="L25" s="19">
        <f t="shared" si="2"/>
        <v>3</v>
      </c>
      <c r="M25" s="18">
        <f t="shared" si="3"/>
        <v>4784010</v>
      </c>
      <c r="N25" s="18">
        <f t="shared" si="4"/>
        <v>0</v>
      </c>
      <c r="O25" s="18">
        <f t="shared" si="5"/>
        <v>4784010</v>
      </c>
      <c r="P25" s="17" t="s">
        <v>354</v>
      </c>
    </row>
    <row r="26" spans="1:16" ht="30" x14ac:dyDescent="0.25">
      <c r="A26" s="16">
        <v>34</v>
      </c>
      <c r="B26" s="16" t="s">
        <v>287</v>
      </c>
      <c r="C26" s="17" t="s">
        <v>85</v>
      </c>
      <c r="D26" s="17" t="s">
        <v>212</v>
      </c>
      <c r="E26" s="16" t="s">
        <v>80</v>
      </c>
      <c r="F26" s="16" t="s">
        <v>83</v>
      </c>
      <c r="G26" s="16">
        <v>1</v>
      </c>
      <c r="H26" s="18">
        <v>700000</v>
      </c>
      <c r="I26" s="16">
        <v>1</v>
      </c>
      <c r="J26" s="18">
        <f t="shared" si="15"/>
        <v>112210</v>
      </c>
      <c r="K26" s="18">
        <f t="shared" si="16"/>
        <v>812210</v>
      </c>
      <c r="L26" s="19">
        <f t="shared" si="2"/>
        <v>2.3548387096774195</v>
      </c>
      <c r="M26" s="18">
        <f t="shared" si="3"/>
        <v>1912623.548387097</v>
      </c>
      <c r="N26" s="18">
        <f t="shared" si="4"/>
        <v>35714.285714285717</v>
      </c>
      <c r="O26" s="18">
        <f t="shared" si="5"/>
        <v>1948337.8341013826</v>
      </c>
      <c r="P26" s="17" t="s">
        <v>213</v>
      </c>
    </row>
    <row r="27" spans="1:16" ht="45" x14ac:dyDescent="0.25">
      <c r="A27" s="16">
        <v>35</v>
      </c>
      <c r="B27" s="16" t="s">
        <v>404</v>
      </c>
      <c r="C27" s="17" t="s">
        <v>405</v>
      </c>
      <c r="D27" s="17" t="s">
        <v>406</v>
      </c>
      <c r="E27" s="16" t="s">
        <v>80</v>
      </c>
      <c r="F27" s="16" t="s">
        <v>83</v>
      </c>
      <c r="G27" s="16">
        <v>1</v>
      </c>
      <c r="H27" s="18">
        <v>1200000</v>
      </c>
      <c r="I27" s="16">
        <v>1</v>
      </c>
      <c r="J27" s="18">
        <f t="shared" si="15"/>
        <v>171110</v>
      </c>
      <c r="K27" s="18">
        <f t="shared" si="16"/>
        <v>1371110</v>
      </c>
      <c r="L27" s="19">
        <f t="shared" si="2"/>
        <v>2.3548387096774195</v>
      </c>
      <c r="M27" s="18">
        <f t="shared" si="3"/>
        <v>3228742.9032258065</v>
      </c>
      <c r="N27" s="18">
        <f t="shared" si="4"/>
        <v>35714.285714285717</v>
      </c>
      <c r="O27" s="18">
        <f t="shared" si="5"/>
        <v>3264457.1889400925</v>
      </c>
      <c r="P27" s="17" t="s">
        <v>401</v>
      </c>
    </row>
    <row r="28" spans="1:16" ht="30" x14ac:dyDescent="0.25">
      <c r="A28" s="20">
        <v>36</v>
      </c>
      <c r="B28" s="20" t="s">
        <v>287</v>
      </c>
      <c r="C28" s="21" t="s">
        <v>288</v>
      </c>
      <c r="D28" s="21" t="s">
        <v>214</v>
      </c>
      <c r="E28" s="20" t="s">
        <v>259</v>
      </c>
      <c r="F28" s="20" t="s">
        <v>83</v>
      </c>
      <c r="G28" s="20">
        <v>0</v>
      </c>
      <c r="H28" s="22">
        <v>1000000</v>
      </c>
      <c r="I28" s="20">
        <v>1</v>
      </c>
      <c r="J28" s="22">
        <f t="shared" si="15"/>
        <v>160000</v>
      </c>
      <c r="K28" s="22">
        <f t="shared" si="16"/>
        <v>0</v>
      </c>
      <c r="L28" s="23">
        <f t="shared" si="2"/>
        <v>2.3548387096774195</v>
      </c>
      <c r="M28" s="22">
        <f t="shared" si="3"/>
        <v>0</v>
      </c>
      <c r="N28" s="22">
        <f t="shared" si="4"/>
        <v>0</v>
      </c>
      <c r="O28" s="22">
        <f t="shared" si="5"/>
        <v>0</v>
      </c>
      <c r="P28" s="21" t="s">
        <v>319</v>
      </c>
    </row>
    <row r="29" spans="1:16" ht="30" x14ac:dyDescent="0.25">
      <c r="A29" s="20">
        <v>37</v>
      </c>
      <c r="B29" s="20" t="s">
        <v>287</v>
      </c>
      <c r="C29" s="21" t="s">
        <v>289</v>
      </c>
      <c r="D29" s="21" t="s">
        <v>214</v>
      </c>
      <c r="E29" s="20" t="s">
        <v>259</v>
      </c>
      <c r="F29" s="20" t="s">
        <v>83</v>
      </c>
      <c r="G29" s="20">
        <v>0</v>
      </c>
      <c r="H29" s="22">
        <v>700000</v>
      </c>
      <c r="I29" s="20">
        <v>1</v>
      </c>
      <c r="J29" s="22">
        <f t="shared" si="15"/>
        <v>112000</v>
      </c>
      <c r="K29" s="22">
        <f t="shared" si="16"/>
        <v>0</v>
      </c>
      <c r="L29" s="23">
        <f t="shared" si="2"/>
        <v>2.3548387096774195</v>
      </c>
      <c r="M29" s="22">
        <f t="shared" si="3"/>
        <v>0</v>
      </c>
      <c r="N29" s="22">
        <f t="shared" si="4"/>
        <v>0</v>
      </c>
      <c r="O29" s="22">
        <f t="shared" si="5"/>
        <v>0</v>
      </c>
      <c r="P29" s="21" t="s">
        <v>320</v>
      </c>
    </row>
    <row r="30" spans="1:16" x14ac:dyDescent="0.25">
      <c r="A30" s="7"/>
      <c r="B30" s="7"/>
      <c r="C30" s="7" t="s">
        <v>348</v>
      </c>
      <c r="D30" s="7"/>
      <c r="E30" s="7"/>
      <c r="F30" s="7"/>
      <c r="G30" s="7">
        <f>SUM(G5:G29)</f>
        <v>18</v>
      </c>
      <c r="H30" s="6">
        <f>SUMPRODUCT(G5:G29,H5:H29)</f>
        <v>20200000</v>
      </c>
      <c r="I30" s="7"/>
      <c r="J30" s="6"/>
      <c r="K30" s="6">
        <f>SUM(K5:K29)</f>
        <v>23115060</v>
      </c>
      <c r="L30" s="7"/>
      <c r="M30" s="6">
        <f>SUM(M5:M29)</f>
        <v>58691747.741935484</v>
      </c>
      <c r="N30" s="6">
        <f t="shared" ref="N30:O30" si="17">SUM(N5:N29)</f>
        <v>500000.00000000017</v>
      </c>
      <c r="O30" s="6">
        <f t="shared" si="17"/>
        <v>59191747.741935477</v>
      </c>
      <c r="P30" s="7"/>
    </row>
    <row r="31" spans="1:16" x14ac:dyDescent="0.25">
      <c r="C31" t="s">
        <v>349</v>
      </c>
      <c r="G31">
        <f>SUM(G8:G9)+SUM(G10:G24)</f>
        <v>12</v>
      </c>
      <c r="H31" s="5">
        <f>SUMPRODUCT(G8:G9,H8:H9)+SUMPRODUCT(G10:G24,H10:H24)</f>
        <v>12500000</v>
      </c>
    </row>
    <row r="32" spans="1:16" x14ac:dyDescent="0.25">
      <c r="C32" t="s">
        <v>350</v>
      </c>
      <c r="G32">
        <f>G30-G31</f>
        <v>6</v>
      </c>
      <c r="H32" s="5">
        <f>H30-H31</f>
        <v>7700000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F8" sqref="F8"/>
    </sheetView>
  </sheetViews>
  <sheetFormatPr defaultRowHeight="15" x14ac:dyDescent="0.25"/>
  <cols>
    <col min="1" max="1" width="4.7109375" style="24" customWidth="1"/>
    <col min="2" max="2" width="30.7109375" style="24" customWidth="1"/>
    <col min="3" max="3" width="26.7109375" style="24" customWidth="1"/>
    <col min="4" max="4" width="44.7109375" style="24" customWidth="1"/>
    <col min="5" max="5" width="14.7109375" style="24" customWidth="1"/>
    <col min="6" max="6" width="12.7109375" style="24" customWidth="1"/>
    <col min="7" max="7" width="14.7109375" style="24" customWidth="1"/>
    <col min="8" max="8" width="12.7109375" style="24" customWidth="1"/>
    <col min="9" max="9" width="8.7109375" style="24" customWidth="1"/>
    <col min="10" max="10" width="15.7109375" style="24" customWidth="1"/>
    <col min="11" max="16384" width="9.140625" style="24"/>
  </cols>
  <sheetData>
    <row r="1" spans="1:10" ht="17.25" x14ac:dyDescent="0.3">
      <c r="A1" s="1" t="s">
        <v>355</v>
      </c>
    </row>
    <row r="3" spans="1:10" ht="42" customHeight="1" x14ac:dyDescent="0.25">
      <c r="A3" s="25" t="s">
        <v>66</v>
      </c>
      <c r="B3" s="25" t="s">
        <v>183</v>
      </c>
      <c r="C3" s="25" t="s">
        <v>69</v>
      </c>
      <c r="D3" s="25" t="s">
        <v>293</v>
      </c>
      <c r="E3" s="25" t="s">
        <v>294</v>
      </c>
      <c r="F3" s="25" t="s">
        <v>295</v>
      </c>
      <c r="G3" s="25" t="s">
        <v>296</v>
      </c>
      <c r="H3" s="25" t="s">
        <v>346</v>
      </c>
      <c r="I3" s="25" t="s">
        <v>76</v>
      </c>
      <c r="J3" s="25" t="s">
        <v>91</v>
      </c>
    </row>
    <row r="4" spans="1:10" ht="45" x14ac:dyDescent="0.25">
      <c r="A4" s="26">
        <v>1</v>
      </c>
      <c r="B4" s="27" t="s">
        <v>297</v>
      </c>
      <c r="C4" s="27" t="s">
        <v>214</v>
      </c>
      <c r="D4" s="27" t="s">
        <v>298</v>
      </c>
      <c r="E4" s="28">
        <v>1000000</v>
      </c>
      <c r="F4" s="28">
        <f t="shared" ref="F4:F10" si="0">E4*НДС</f>
        <v>160000</v>
      </c>
      <c r="G4" s="28">
        <f t="shared" ref="G4:G10" si="1">E4+F4</f>
        <v>1160000</v>
      </c>
      <c r="H4" s="26">
        <v>1</v>
      </c>
      <c r="I4" s="29">
        <f t="shared" ref="I4:I10" si="2">IF(H4=1,Мес_2026_новые,MAX(0,4-H4))</f>
        <v>2.3548387096774195</v>
      </c>
      <c r="J4" s="28">
        <f t="shared" ref="J4:J10" si="3">G4*I4</f>
        <v>2731612.9032258065</v>
      </c>
    </row>
    <row r="5" spans="1:10" ht="45" x14ac:dyDescent="0.25">
      <c r="A5" s="26">
        <v>2</v>
      </c>
      <c r="B5" s="27" t="s">
        <v>299</v>
      </c>
      <c r="C5" s="27" t="s">
        <v>214</v>
      </c>
      <c r="D5" s="27" t="s">
        <v>300</v>
      </c>
      <c r="E5" s="28">
        <v>700000</v>
      </c>
      <c r="F5" s="28">
        <f t="shared" si="0"/>
        <v>112000</v>
      </c>
      <c r="G5" s="28">
        <f t="shared" si="1"/>
        <v>812000</v>
      </c>
      <c r="H5" s="26">
        <v>1</v>
      </c>
      <c r="I5" s="29">
        <f t="shared" si="2"/>
        <v>2.3548387096774195</v>
      </c>
      <c r="J5" s="28">
        <f t="shared" si="3"/>
        <v>1912129.0322580647</v>
      </c>
    </row>
    <row r="6" spans="1:10" ht="30" x14ac:dyDescent="0.25">
      <c r="A6" s="26">
        <v>3</v>
      </c>
      <c r="B6" s="27" t="s">
        <v>301</v>
      </c>
      <c r="C6" s="27" t="s">
        <v>302</v>
      </c>
      <c r="D6" s="27" t="s">
        <v>303</v>
      </c>
      <c r="E6" s="28">
        <v>1000000</v>
      </c>
      <c r="F6" s="28">
        <f t="shared" si="0"/>
        <v>160000</v>
      </c>
      <c r="G6" s="28">
        <f t="shared" si="1"/>
        <v>1160000</v>
      </c>
      <c r="H6" s="26">
        <v>1</v>
      </c>
      <c r="I6" s="29">
        <f t="shared" si="2"/>
        <v>2.3548387096774195</v>
      </c>
      <c r="J6" s="28">
        <f t="shared" si="3"/>
        <v>2731612.9032258065</v>
      </c>
    </row>
    <row r="7" spans="1:10" ht="45" x14ac:dyDescent="0.25">
      <c r="A7" s="26">
        <v>4</v>
      </c>
      <c r="B7" s="27" t="s">
        <v>304</v>
      </c>
      <c r="C7" s="27" t="s">
        <v>305</v>
      </c>
      <c r="D7" s="27" t="s">
        <v>306</v>
      </c>
      <c r="E7" s="28">
        <v>1000000</v>
      </c>
      <c r="F7" s="28">
        <f t="shared" si="0"/>
        <v>160000</v>
      </c>
      <c r="G7" s="28">
        <f t="shared" si="1"/>
        <v>1160000</v>
      </c>
      <c r="H7" s="26">
        <v>2</v>
      </c>
      <c r="I7" s="29">
        <f t="shared" si="2"/>
        <v>2</v>
      </c>
      <c r="J7" s="28">
        <f t="shared" si="3"/>
        <v>2320000</v>
      </c>
    </row>
    <row r="8" spans="1:10" ht="45" x14ac:dyDescent="0.25">
      <c r="A8" s="26">
        <v>5</v>
      </c>
      <c r="B8" s="27" t="s">
        <v>307</v>
      </c>
      <c r="C8" s="27" t="s">
        <v>305</v>
      </c>
      <c r="D8" s="27" t="s">
        <v>308</v>
      </c>
      <c r="E8" s="28">
        <v>700000</v>
      </c>
      <c r="F8" s="28">
        <f t="shared" si="0"/>
        <v>112000</v>
      </c>
      <c r="G8" s="28">
        <f t="shared" si="1"/>
        <v>812000</v>
      </c>
      <c r="H8" s="26">
        <v>2</v>
      </c>
      <c r="I8" s="29">
        <f t="shared" si="2"/>
        <v>2</v>
      </c>
      <c r="J8" s="28">
        <f t="shared" si="3"/>
        <v>1624000</v>
      </c>
    </row>
    <row r="9" spans="1:10" ht="45" x14ac:dyDescent="0.25">
      <c r="A9" s="26">
        <v>6</v>
      </c>
      <c r="B9" s="27" t="s">
        <v>309</v>
      </c>
      <c r="C9" s="27" t="s">
        <v>305</v>
      </c>
      <c r="D9" s="27" t="s">
        <v>310</v>
      </c>
      <c r="E9" s="28">
        <v>700000</v>
      </c>
      <c r="F9" s="28">
        <f t="shared" si="0"/>
        <v>112000</v>
      </c>
      <c r="G9" s="28">
        <f t="shared" si="1"/>
        <v>812000</v>
      </c>
      <c r="H9" s="26">
        <v>2</v>
      </c>
      <c r="I9" s="29">
        <f t="shared" si="2"/>
        <v>2</v>
      </c>
      <c r="J9" s="28">
        <f t="shared" si="3"/>
        <v>1624000</v>
      </c>
    </row>
    <row r="10" spans="1:10" ht="45" x14ac:dyDescent="0.25">
      <c r="A10" s="26">
        <v>7</v>
      </c>
      <c r="B10" s="27" t="s">
        <v>311</v>
      </c>
      <c r="C10" s="27" t="s">
        <v>305</v>
      </c>
      <c r="D10" s="27" t="s">
        <v>312</v>
      </c>
      <c r="E10" s="28">
        <v>700000</v>
      </c>
      <c r="F10" s="28">
        <f t="shared" si="0"/>
        <v>112000</v>
      </c>
      <c r="G10" s="28">
        <f t="shared" si="1"/>
        <v>812000</v>
      </c>
      <c r="H10" s="26">
        <v>2</v>
      </c>
      <c r="I10" s="29">
        <f t="shared" si="2"/>
        <v>2</v>
      </c>
      <c r="J10" s="28">
        <f t="shared" si="3"/>
        <v>1624000</v>
      </c>
    </row>
    <row r="11" spans="1:10" x14ac:dyDescent="0.25">
      <c r="A11" s="30"/>
      <c r="B11" s="30" t="s">
        <v>313</v>
      </c>
      <c r="C11" s="30"/>
      <c r="D11" s="30"/>
      <c r="E11" s="31">
        <f>SUM(E4:E10)</f>
        <v>5800000</v>
      </c>
      <c r="F11" s="31">
        <f>SUM(F4:F10)</f>
        <v>928000</v>
      </c>
      <c r="G11" s="31">
        <f>SUM(G4:G10)</f>
        <v>6728000</v>
      </c>
      <c r="H11" s="30"/>
      <c r="I11" s="30"/>
      <c r="J11" s="31">
        <f>SUM(J4:J10)</f>
        <v>14567354.838709679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60.7109375" customWidth="1"/>
    <col min="2" max="2" width="11.5703125" hidden="1" customWidth="1"/>
    <col min="3" max="7" width="12.7109375" customWidth="1"/>
  </cols>
  <sheetData>
    <row r="1" spans="1:7" ht="15.75" customHeight="1" x14ac:dyDescent="0.3">
      <c r="A1" s="1" t="s">
        <v>345</v>
      </c>
    </row>
    <row r="2" spans="1:7" ht="15" customHeight="1" x14ac:dyDescent="0.25">
      <c r="A2" s="2" t="s">
        <v>217</v>
      </c>
    </row>
    <row r="4" spans="1:7" ht="57.75" customHeight="1" x14ac:dyDescent="0.25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76</v>
      </c>
      <c r="G4" s="3" t="s">
        <v>91</v>
      </c>
    </row>
    <row r="5" spans="1:7" ht="15" customHeight="1" x14ac:dyDescent="0.25">
      <c r="A5" s="4" t="str">
        <f>Штат!C5</f>
        <v>Главный исполнительный директор (ГИД)</v>
      </c>
      <c r="C5">
        <f>Штат!G5</f>
        <v>1</v>
      </c>
      <c r="D5" s="9">
        <v>4</v>
      </c>
      <c r="E5" s="9">
        <v>0</v>
      </c>
      <c r="F5" s="15">
        <f>Штат!L5</f>
        <v>3</v>
      </c>
      <c r="G5" s="5">
        <f>C5*(D5/12*F5*Поездка_РК+E5*F5*Поездка_местн)</f>
        <v>190950</v>
      </c>
    </row>
    <row r="6" spans="1:7" ht="15" customHeight="1" x14ac:dyDescent="0.25">
      <c r="A6" s="4" t="str">
        <f>Штат!C6</f>
        <v>Заместитель ГИД по стратегии и проектам</v>
      </c>
      <c r="C6">
        <f>Штат!G6</f>
        <v>1</v>
      </c>
      <c r="D6" s="9">
        <v>6</v>
      </c>
      <c r="E6" s="9">
        <v>0</v>
      </c>
      <c r="F6" s="15">
        <f>Штат!L6</f>
        <v>3</v>
      </c>
      <c r="G6" s="5">
        <f>C6*(D6/12*F6*Поездка_РК+E6*F6*Поездка_местн)</f>
        <v>286425</v>
      </c>
    </row>
    <row r="7" spans="1:7" ht="15" customHeight="1" x14ac:dyDescent="0.25">
      <c r="A7" s="4" t="str">
        <f>Штат!C8</f>
        <v>Руководитель проектного офиса «Таза Қазақстан»</v>
      </c>
      <c r="C7">
        <f>Штат!G8</f>
        <v>1</v>
      </c>
      <c r="D7" s="9">
        <v>10</v>
      </c>
      <c r="E7" s="9">
        <v>0</v>
      </c>
      <c r="F7" s="15">
        <f>Штат!L8</f>
        <v>2.3548387096774195</v>
      </c>
      <c r="G7" s="5">
        <f>C7*(D7/12*F7*Поездка_РК+E7*F7*Поездка_местн)</f>
        <v>374713.70967741939</v>
      </c>
    </row>
    <row r="8" spans="1:7" ht="27.75" customHeight="1" x14ac:dyDescent="0.25">
      <c r="A8" s="4" t="s">
        <v>343</v>
      </c>
      <c r="C8">
        <f>SUM(Штат!G9:G9)</f>
        <v>1</v>
      </c>
      <c r="D8" s="9">
        <v>3</v>
      </c>
      <c r="E8" s="9">
        <v>3</v>
      </c>
      <c r="F8" s="15">
        <f>Штат!L9</f>
        <v>2.3548387096774195</v>
      </c>
      <c r="G8" s="5">
        <f>SUMPRODUCT((Штат!I9:I9&lt;=3)*Штат!G9:G9)*(D8/12*F8*Поездка_РК+E8*F8*Поездка_местн)</f>
        <v>279489.91935483873</v>
      </c>
    </row>
    <row r="9" spans="1:7" ht="27.75" customHeight="1" x14ac:dyDescent="0.25">
      <c r="A9" s="4" t="s">
        <v>344</v>
      </c>
      <c r="C9">
        <f>SUM(Штат!G10:G14)</f>
        <v>5</v>
      </c>
      <c r="D9" s="9">
        <v>6</v>
      </c>
      <c r="E9" s="9">
        <v>0</v>
      </c>
      <c r="F9" s="15">
        <f>Штат!L11</f>
        <v>2.3548387096774195</v>
      </c>
      <c r="G9" s="5">
        <f>SUMPRODUCT((Штат!I10:I14&lt;=3)*Штат!G10:G14)*(D9/12*F9*Поездка_РК+E9*F9*Поездка_местн)</f>
        <v>1124141.1290322582</v>
      </c>
    </row>
    <row r="10" spans="1:7" ht="27.75" customHeight="1" x14ac:dyDescent="0.25">
      <c r="A10" s="4" t="s">
        <v>290</v>
      </c>
      <c r="C10">
        <f>SUM(Штат!G15:G16)</f>
        <v>1</v>
      </c>
      <c r="D10" s="9">
        <v>1</v>
      </c>
      <c r="E10" s="9">
        <v>0</v>
      </c>
      <c r="F10" s="15">
        <f>Штат!L15</f>
        <v>2.3548387096774195</v>
      </c>
      <c r="G10" s="5">
        <f>C10*(D10/12*F10*Поездка_РК+E10*F10*Поездка_местн)</f>
        <v>37471.370967741932</v>
      </c>
    </row>
    <row r="11" spans="1:7" ht="27.75" customHeight="1" x14ac:dyDescent="0.25">
      <c r="A11" s="4" t="s">
        <v>271</v>
      </c>
      <c r="C11">
        <f>SUM(Штат!G17:G24)</f>
        <v>4</v>
      </c>
      <c r="D11" s="9">
        <v>4</v>
      </c>
      <c r="E11" s="9">
        <v>4</v>
      </c>
      <c r="F11" s="15">
        <f>Штат!L17</f>
        <v>2.3548387096774195</v>
      </c>
      <c r="G11" s="5">
        <f>C11*(D11/12*F11*Поездка_РК+E11*F11*Поездка_местн)</f>
        <v>1490612.9032258065</v>
      </c>
    </row>
    <row r="12" spans="1:7" ht="15" customHeight="1" x14ac:dyDescent="0.25">
      <c r="A12" s="7" t="s">
        <v>92</v>
      </c>
      <c r="B12" s="7"/>
      <c r="C12" s="7"/>
      <c r="D12" s="7"/>
      <c r="E12" s="7"/>
      <c r="F12" s="7"/>
      <c r="G12" s="6">
        <f>SUM(G5:G11)</f>
        <v>3783804.032258065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topLeftCell="A10" zoomScaleNormal="100" workbookViewId="0">
      <selection activeCell="H25" sqref="H25"/>
    </sheetView>
  </sheetViews>
  <sheetFormatPr defaultColWidth="8.7109375" defaultRowHeight="15" x14ac:dyDescent="0.25"/>
  <cols>
    <col min="1" max="1" width="12.7109375" customWidth="1"/>
    <col min="2" max="2" width="66.7109375" customWidth="1"/>
    <col min="4" max="4" width="10.7109375" customWidth="1"/>
    <col min="5" max="5" width="13.7109375" customWidth="1"/>
    <col min="6" max="7" width="10.7109375" customWidth="1"/>
    <col min="8" max="8" width="55.7109375" customWidth="1"/>
    <col min="9" max="9" width="14.7109375" customWidth="1"/>
  </cols>
  <sheetData>
    <row r="1" spans="1:9" ht="15.75" customHeight="1" x14ac:dyDescent="0.3">
      <c r="A1" s="1" t="s">
        <v>356</v>
      </c>
    </row>
    <row r="2" spans="1:9" ht="15" customHeight="1" x14ac:dyDescent="0.25">
      <c r="A2" s="2" t="s">
        <v>357</v>
      </c>
    </row>
    <row r="4" spans="1:9" ht="31.5" customHeight="1" x14ac:dyDescent="0.25">
      <c r="A4" s="3" t="s">
        <v>93</v>
      </c>
      <c r="B4" s="3" t="s">
        <v>0</v>
      </c>
      <c r="C4" s="3" t="s">
        <v>94</v>
      </c>
      <c r="D4" s="3" t="s">
        <v>72</v>
      </c>
      <c r="E4" s="3" t="s">
        <v>95</v>
      </c>
      <c r="F4" s="3" t="s">
        <v>96</v>
      </c>
      <c r="G4" s="3" t="s">
        <v>358</v>
      </c>
      <c r="H4" s="3" t="s">
        <v>97</v>
      </c>
      <c r="I4" s="3" t="s">
        <v>91</v>
      </c>
    </row>
    <row r="5" spans="1:9" ht="27.75" customHeight="1" x14ac:dyDescent="0.25">
      <c r="A5" t="s">
        <v>98</v>
      </c>
      <c r="B5" s="4" t="s">
        <v>99</v>
      </c>
      <c r="C5" t="s">
        <v>100</v>
      </c>
      <c r="D5" s="9">
        <v>12</v>
      </c>
      <c r="E5" s="10">
        <v>450000</v>
      </c>
      <c r="F5" s="9" t="s">
        <v>101</v>
      </c>
      <c r="G5" s="9">
        <v>1</v>
      </c>
      <c r="H5" s="4" t="s">
        <v>359</v>
      </c>
      <c r="I5" s="5">
        <f t="shared" ref="I5:I39" si="0">IF(F5="разово",IF(G5&lt;=3,D5*E5,0),IF(F5="мес",D5*E5*MAX(0,4-G5),D5*E5*MAX(0,4-G5)/12))</f>
        <v>5400000</v>
      </c>
    </row>
    <row r="6" spans="1:9" ht="27.75" customHeight="1" x14ac:dyDescent="0.25">
      <c r="A6" t="s">
        <v>98</v>
      </c>
      <c r="B6" s="4" t="s">
        <v>102</v>
      </c>
      <c r="C6" t="s">
        <v>100</v>
      </c>
      <c r="D6" s="9">
        <v>2</v>
      </c>
      <c r="E6" s="10">
        <v>900000</v>
      </c>
      <c r="F6" s="9" t="s">
        <v>101</v>
      </c>
      <c r="G6" s="9">
        <v>1</v>
      </c>
      <c r="H6" s="4" t="s">
        <v>333</v>
      </c>
      <c r="I6" s="5">
        <f t="shared" si="0"/>
        <v>1800000</v>
      </c>
    </row>
    <row r="7" spans="1:9" ht="15" customHeight="1" x14ac:dyDescent="0.25">
      <c r="A7" t="s">
        <v>98</v>
      </c>
      <c r="B7" s="4" t="s">
        <v>103</v>
      </c>
      <c r="C7" t="s">
        <v>104</v>
      </c>
      <c r="D7" s="9">
        <v>10</v>
      </c>
      <c r="E7" s="10">
        <v>100000</v>
      </c>
      <c r="F7" s="9" t="s">
        <v>101</v>
      </c>
      <c r="G7" s="9">
        <v>1</v>
      </c>
      <c r="H7" s="4" t="s">
        <v>105</v>
      </c>
      <c r="I7" s="5">
        <f t="shared" si="0"/>
        <v>1000000</v>
      </c>
    </row>
    <row r="8" spans="1:9" ht="27.75" customHeight="1" x14ac:dyDescent="0.25">
      <c r="A8" t="s">
        <v>98</v>
      </c>
      <c r="B8" s="4" t="s">
        <v>106</v>
      </c>
      <c r="C8" t="s">
        <v>107</v>
      </c>
      <c r="D8" s="9">
        <v>19</v>
      </c>
      <c r="E8" s="10">
        <v>200000</v>
      </c>
      <c r="F8" s="9" t="s">
        <v>101</v>
      </c>
      <c r="G8" s="9">
        <v>1</v>
      </c>
      <c r="H8" s="4" t="s">
        <v>108</v>
      </c>
      <c r="I8" s="5">
        <f t="shared" si="0"/>
        <v>3800000</v>
      </c>
    </row>
    <row r="9" spans="1:9" ht="15" customHeight="1" x14ac:dyDescent="0.25">
      <c r="A9" t="s">
        <v>98</v>
      </c>
      <c r="B9" s="4" t="s">
        <v>323</v>
      </c>
      <c r="C9" t="s">
        <v>104</v>
      </c>
      <c r="D9" s="9">
        <v>5</v>
      </c>
      <c r="E9" s="10">
        <v>500000</v>
      </c>
      <c r="F9" s="9" t="s">
        <v>101</v>
      </c>
      <c r="G9" s="9">
        <v>1</v>
      </c>
      <c r="H9" s="4" t="s">
        <v>109</v>
      </c>
      <c r="I9" s="5">
        <f t="shared" si="0"/>
        <v>2500000</v>
      </c>
    </row>
    <row r="10" spans="1:9" ht="15" customHeight="1" x14ac:dyDescent="0.25">
      <c r="A10" t="s">
        <v>98</v>
      </c>
      <c r="B10" s="4" t="s">
        <v>110</v>
      </c>
      <c r="C10" t="s">
        <v>104</v>
      </c>
      <c r="D10" s="9">
        <v>1</v>
      </c>
      <c r="E10" s="10">
        <v>800000</v>
      </c>
      <c r="F10" s="9" t="s">
        <v>101</v>
      </c>
      <c r="G10" s="9">
        <v>1</v>
      </c>
      <c r="H10" s="4"/>
      <c r="I10" s="5">
        <f t="shared" si="0"/>
        <v>800000</v>
      </c>
    </row>
    <row r="11" spans="1:9" ht="15" customHeight="1" x14ac:dyDescent="0.25">
      <c r="A11" t="s">
        <v>98</v>
      </c>
      <c r="B11" s="4" t="s">
        <v>378</v>
      </c>
      <c r="C11" t="s">
        <v>104</v>
      </c>
      <c r="D11" s="9">
        <v>1</v>
      </c>
      <c r="E11" s="10">
        <v>250000</v>
      </c>
      <c r="F11" s="9" t="s">
        <v>101</v>
      </c>
      <c r="G11" s="9">
        <v>1</v>
      </c>
      <c r="H11" s="4"/>
      <c r="I11" s="5">
        <f t="shared" si="0"/>
        <v>250000</v>
      </c>
    </row>
    <row r="12" spans="1:9" ht="15" customHeight="1" x14ac:dyDescent="0.25">
      <c r="A12" t="s">
        <v>98</v>
      </c>
      <c r="B12" s="4" t="s">
        <v>225</v>
      </c>
      <c r="C12" t="s">
        <v>104</v>
      </c>
      <c r="D12" s="9">
        <v>1</v>
      </c>
      <c r="E12" s="10">
        <v>450000</v>
      </c>
      <c r="F12" s="9" t="s">
        <v>101</v>
      </c>
      <c r="G12" s="9">
        <v>1</v>
      </c>
      <c r="H12" s="4" t="s">
        <v>226</v>
      </c>
      <c r="I12" s="5">
        <f t="shared" si="0"/>
        <v>450000</v>
      </c>
    </row>
    <row r="13" spans="1:9" ht="15" customHeight="1" x14ac:dyDescent="0.25">
      <c r="A13" t="s">
        <v>98</v>
      </c>
      <c r="B13" s="4" t="s">
        <v>224</v>
      </c>
      <c r="C13" t="s">
        <v>100</v>
      </c>
      <c r="D13" s="9">
        <v>2</v>
      </c>
      <c r="E13" s="10">
        <v>60000</v>
      </c>
      <c r="F13" s="9" t="s">
        <v>101</v>
      </c>
      <c r="G13" s="9">
        <v>1</v>
      </c>
      <c r="H13" s="4" t="s">
        <v>233</v>
      </c>
      <c r="I13" s="5">
        <f t="shared" si="0"/>
        <v>120000</v>
      </c>
    </row>
    <row r="14" spans="1:9" ht="15" customHeight="1" x14ac:dyDescent="0.25">
      <c r="A14" t="s">
        <v>98</v>
      </c>
      <c r="B14" s="4" t="s">
        <v>222</v>
      </c>
      <c r="C14" t="s">
        <v>104</v>
      </c>
      <c r="D14" s="9">
        <v>1</v>
      </c>
      <c r="E14" s="10">
        <f>(D8*E8+D9*E9+D10*E10+D11*E11+D12*E12+D13*E13)*Сборка_мебели_проц</f>
        <v>792000</v>
      </c>
      <c r="F14" s="9" t="s">
        <v>101</v>
      </c>
      <c r="G14" s="9">
        <v>1</v>
      </c>
      <c r="H14" s="4" t="s">
        <v>227</v>
      </c>
      <c r="I14" s="5">
        <f t="shared" si="0"/>
        <v>792000</v>
      </c>
    </row>
    <row r="15" spans="1:9" ht="27.75" customHeight="1" x14ac:dyDescent="0.25">
      <c r="A15" t="s">
        <v>98</v>
      </c>
      <c r="B15" s="4" t="s">
        <v>174</v>
      </c>
      <c r="C15" t="s">
        <v>100</v>
      </c>
      <c r="D15" s="9">
        <v>1</v>
      </c>
      <c r="E15" s="10">
        <v>2500000</v>
      </c>
      <c r="F15" s="9" t="s">
        <v>101</v>
      </c>
      <c r="G15" s="9">
        <v>1</v>
      </c>
      <c r="H15" s="4" t="s">
        <v>175</v>
      </c>
      <c r="I15" s="5">
        <f t="shared" si="0"/>
        <v>2500000</v>
      </c>
    </row>
    <row r="16" spans="1:9" ht="15" customHeight="1" x14ac:dyDescent="0.25">
      <c r="A16" t="s">
        <v>98</v>
      </c>
      <c r="B16" s="4" t="s">
        <v>176</v>
      </c>
      <c r="C16" t="s">
        <v>104</v>
      </c>
      <c r="D16" s="9">
        <v>1</v>
      </c>
      <c r="E16" s="10">
        <v>300000</v>
      </c>
      <c r="F16" s="9" t="s">
        <v>101</v>
      </c>
      <c r="G16" s="9">
        <v>1</v>
      </c>
      <c r="H16" s="4"/>
      <c r="I16" s="5">
        <f t="shared" si="0"/>
        <v>300000</v>
      </c>
    </row>
    <row r="17" spans="1:9" ht="15" customHeight="1" x14ac:dyDescent="0.25">
      <c r="A17" t="s">
        <v>98</v>
      </c>
      <c r="B17" s="4" t="s">
        <v>177</v>
      </c>
      <c r="C17" t="s">
        <v>100</v>
      </c>
      <c r="D17" s="9">
        <v>2</v>
      </c>
      <c r="E17" s="10">
        <v>280000</v>
      </c>
      <c r="F17" s="9" t="s">
        <v>101</v>
      </c>
      <c r="G17" s="9">
        <v>1</v>
      </c>
      <c r="H17" s="4" t="s">
        <v>234</v>
      </c>
      <c r="I17" s="5">
        <f t="shared" si="0"/>
        <v>560000</v>
      </c>
    </row>
    <row r="18" spans="1:9" ht="15" customHeight="1" x14ac:dyDescent="0.25">
      <c r="A18" t="s">
        <v>98</v>
      </c>
      <c r="B18" s="4" t="s">
        <v>178</v>
      </c>
      <c r="C18" t="s">
        <v>100</v>
      </c>
      <c r="D18" s="9">
        <v>4</v>
      </c>
      <c r="E18" s="10">
        <v>55000</v>
      </c>
      <c r="F18" s="9" t="s">
        <v>101</v>
      </c>
      <c r="G18" s="9">
        <v>1</v>
      </c>
      <c r="H18" s="4" t="s">
        <v>179</v>
      </c>
      <c r="I18" s="5">
        <f t="shared" si="0"/>
        <v>220000</v>
      </c>
    </row>
    <row r="19" spans="1:9" ht="15" customHeight="1" x14ac:dyDescent="0.25">
      <c r="A19" t="s">
        <v>98</v>
      </c>
      <c r="B19" s="4" t="s">
        <v>180</v>
      </c>
      <c r="C19" t="s">
        <v>104</v>
      </c>
      <c r="D19" s="9">
        <v>1</v>
      </c>
      <c r="E19" s="10">
        <v>300000</v>
      </c>
      <c r="F19" s="9" t="s">
        <v>101</v>
      </c>
      <c r="G19" s="9">
        <v>1</v>
      </c>
      <c r="H19" s="4" t="s">
        <v>181</v>
      </c>
      <c r="I19" s="5">
        <f t="shared" si="0"/>
        <v>300000</v>
      </c>
    </row>
    <row r="20" spans="1:9" ht="15" customHeight="1" x14ac:dyDescent="0.25">
      <c r="A20" t="s">
        <v>98</v>
      </c>
      <c r="B20" s="4" t="s">
        <v>235</v>
      </c>
      <c r="C20" t="s">
        <v>100</v>
      </c>
      <c r="D20" s="9">
        <v>1</v>
      </c>
      <c r="E20" s="10">
        <f>ROUND(42340/(1+НДС),0)</f>
        <v>36500</v>
      </c>
      <c r="F20" s="9" t="s">
        <v>101</v>
      </c>
      <c r="G20" s="9">
        <v>1</v>
      </c>
      <c r="H20" s="4" t="s">
        <v>236</v>
      </c>
      <c r="I20" s="5">
        <f t="shared" si="0"/>
        <v>36500</v>
      </c>
    </row>
    <row r="21" spans="1:9" ht="15" customHeight="1" x14ac:dyDescent="0.25">
      <c r="A21" t="s">
        <v>98</v>
      </c>
      <c r="B21" s="4" t="s">
        <v>237</v>
      </c>
      <c r="C21" t="s">
        <v>238</v>
      </c>
      <c r="D21" s="9">
        <v>1</v>
      </c>
      <c r="E21" s="10">
        <f>ROUND(6000/(1+НДС),0)</f>
        <v>5172</v>
      </c>
      <c r="F21" s="9" t="s">
        <v>101</v>
      </c>
      <c r="G21" s="9">
        <v>1</v>
      </c>
      <c r="H21" s="4" t="s">
        <v>239</v>
      </c>
      <c r="I21" s="5">
        <f t="shared" si="0"/>
        <v>5172</v>
      </c>
    </row>
    <row r="22" spans="1:9" ht="15" customHeight="1" x14ac:dyDescent="0.25">
      <c r="A22" t="s">
        <v>98</v>
      </c>
      <c r="B22" s="4" t="s">
        <v>240</v>
      </c>
      <c r="C22" t="s">
        <v>100</v>
      </c>
      <c r="D22" s="9">
        <v>1</v>
      </c>
      <c r="E22" s="10">
        <f>ROUND(114327/(1+НДС),0)</f>
        <v>98558</v>
      </c>
      <c r="F22" s="9" t="s">
        <v>101</v>
      </c>
      <c r="G22" s="9">
        <v>1</v>
      </c>
      <c r="H22" s="4" t="s">
        <v>241</v>
      </c>
      <c r="I22" s="5">
        <f t="shared" si="0"/>
        <v>98558</v>
      </c>
    </row>
    <row r="23" spans="1:9" ht="15" customHeight="1" x14ac:dyDescent="0.25">
      <c r="A23" t="s">
        <v>98</v>
      </c>
      <c r="B23" s="4" t="s">
        <v>242</v>
      </c>
      <c r="C23" t="s">
        <v>104</v>
      </c>
      <c r="D23" s="9">
        <v>1</v>
      </c>
      <c r="E23" s="10">
        <f>ROUND((100*55+100*68+100*26+100*37+100*57+100*244)/(1+НДС),0)</f>
        <v>41983</v>
      </c>
      <c r="F23" s="9" t="s">
        <v>101</v>
      </c>
      <c r="G23" s="9">
        <v>1</v>
      </c>
      <c r="H23" s="4" t="s">
        <v>243</v>
      </c>
      <c r="I23" s="5">
        <f t="shared" si="0"/>
        <v>41983</v>
      </c>
    </row>
    <row r="24" spans="1:9" ht="15" customHeight="1" x14ac:dyDescent="0.25">
      <c r="A24" t="s">
        <v>98</v>
      </c>
      <c r="B24" s="4" t="s">
        <v>275</v>
      </c>
      <c r="C24" t="s">
        <v>100</v>
      </c>
      <c r="D24" s="9">
        <v>16</v>
      </c>
      <c r="E24" s="10">
        <f>ROUND(4118/(1+НДС),0)</f>
        <v>3550</v>
      </c>
      <c r="F24" s="9" t="s">
        <v>101</v>
      </c>
      <c r="G24" s="9">
        <v>1</v>
      </c>
      <c r="H24" s="4" t="s">
        <v>379</v>
      </c>
      <c r="I24" s="5">
        <f t="shared" si="0"/>
        <v>56800</v>
      </c>
    </row>
    <row r="25" spans="1:9" ht="15" customHeight="1" x14ac:dyDescent="0.25">
      <c r="A25" t="s">
        <v>98</v>
      </c>
      <c r="B25" s="4" t="s">
        <v>274</v>
      </c>
      <c r="C25" t="s">
        <v>100</v>
      </c>
      <c r="D25" s="9">
        <v>3</v>
      </c>
      <c r="E25" s="10">
        <f>ROUND(6101/(1+НДС),0)</f>
        <v>5259</v>
      </c>
      <c r="F25" s="9" t="s">
        <v>101</v>
      </c>
      <c r="G25" s="9">
        <v>1</v>
      </c>
      <c r="H25" s="4" t="s">
        <v>380</v>
      </c>
      <c r="I25" s="5">
        <f t="shared" si="0"/>
        <v>15777</v>
      </c>
    </row>
    <row r="26" spans="1:9" ht="15" customHeight="1" x14ac:dyDescent="0.25">
      <c r="A26" t="s">
        <v>98</v>
      </c>
      <c r="B26" s="4" t="s">
        <v>276</v>
      </c>
      <c r="C26" t="s">
        <v>100</v>
      </c>
      <c r="D26" s="9">
        <v>4</v>
      </c>
      <c r="E26" s="10">
        <f>ROUND(7235/(1+НДС),0)</f>
        <v>6237</v>
      </c>
      <c r="F26" s="9" t="s">
        <v>101</v>
      </c>
      <c r="G26" s="9">
        <v>1</v>
      </c>
      <c r="H26" s="4" t="s">
        <v>277</v>
      </c>
      <c r="I26" s="5">
        <f t="shared" si="0"/>
        <v>24948</v>
      </c>
    </row>
    <row r="27" spans="1:9" ht="15" customHeight="1" x14ac:dyDescent="0.25">
      <c r="A27" t="s">
        <v>98</v>
      </c>
      <c r="B27" s="4" t="s">
        <v>278</v>
      </c>
      <c r="C27" t="s">
        <v>100</v>
      </c>
      <c r="D27" s="9">
        <v>5</v>
      </c>
      <c r="E27" s="10">
        <f>ROUND(9039/(1+НДС),0)</f>
        <v>7792</v>
      </c>
      <c r="F27" s="9" t="s">
        <v>101</v>
      </c>
      <c r="G27" s="9">
        <v>1</v>
      </c>
      <c r="H27" s="4" t="s">
        <v>279</v>
      </c>
      <c r="I27" s="5">
        <f t="shared" si="0"/>
        <v>38960</v>
      </c>
    </row>
    <row r="28" spans="1:9" ht="15" customHeight="1" x14ac:dyDescent="0.25">
      <c r="A28" t="s">
        <v>98</v>
      </c>
      <c r="B28" s="4" t="s">
        <v>331</v>
      </c>
      <c r="C28" t="s">
        <v>100</v>
      </c>
      <c r="D28" s="9">
        <v>10</v>
      </c>
      <c r="E28" s="10">
        <f>ROUND(89302/(1+НДС),0)</f>
        <v>76984</v>
      </c>
      <c r="F28" s="9" t="s">
        <v>101</v>
      </c>
      <c r="G28" s="9">
        <v>1</v>
      </c>
      <c r="H28" s="4" t="s">
        <v>332</v>
      </c>
      <c r="I28" s="5">
        <f t="shared" ref="I28" si="1">IF(F28="разово",IF(G28&lt;=3,D28*E28,0),IF(F28="мес",D28*E28*MAX(0,4-G28),D28*E28*MAX(0,4-G28)/12))</f>
        <v>769840</v>
      </c>
    </row>
    <row r="29" spans="1:9" ht="15" customHeight="1" x14ac:dyDescent="0.25">
      <c r="A29" t="s">
        <v>98</v>
      </c>
      <c r="B29" s="4" t="s">
        <v>334</v>
      </c>
      <c r="C29" t="s">
        <v>100</v>
      </c>
      <c r="D29" s="9">
        <v>1</v>
      </c>
      <c r="E29" s="10">
        <f>ROUND(989997/(1+НДС),0)</f>
        <v>853446</v>
      </c>
      <c r="F29" s="9" t="s">
        <v>101</v>
      </c>
      <c r="G29" s="9">
        <v>1</v>
      </c>
      <c r="H29" s="4" t="s">
        <v>335</v>
      </c>
      <c r="I29" s="5">
        <f t="shared" si="0"/>
        <v>853446</v>
      </c>
    </row>
    <row r="30" spans="1:9" ht="15" customHeight="1" x14ac:dyDescent="0.25">
      <c r="A30" t="s">
        <v>98</v>
      </c>
      <c r="B30" s="4" t="s">
        <v>336</v>
      </c>
      <c r="C30" t="s">
        <v>100</v>
      </c>
      <c r="D30" s="9">
        <v>1</v>
      </c>
      <c r="E30" s="10">
        <f>ROUND(49990/(1+НДС),0)</f>
        <v>43095</v>
      </c>
      <c r="F30" s="9" t="s">
        <v>101</v>
      </c>
      <c r="G30" s="9">
        <v>1</v>
      </c>
      <c r="H30" s="4" t="s">
        <v>337</v>
      </c>
      <c r="I30" s="5">
        <f t="shared" si="0"/>
        <v>43095</v>
      </c>
    </row>
    <row r="31" spans="1:9" ht="15" customHeight="1" x14ac:dyDescent="0.25">
      <c r="A31" t="s">
        <v>98</v>
      </c>
      <c r="B31" s="4" t="s">
        <v>111</v>
      </c>
      <c r="C31" t="s">
        <v>104</v>
      </c>
      <c r="D31" s="9">
        <v>1</v>
      </c>
      <c r="E31" s="10">
        <v>300000</v>
      </c>
      <c r="F31" s="9" t="s">
        <v>101</v>
      </c>
      <c r="G31" s="9">
        <v>1</v>
      </c>
      <c r="H31" s="4" t="s">
        <v>112</v>
      </c>
      <c r="I31" s="5">
        <f t="shared" si="0"/>
        <v>300000</v>
      </c>
    </row>
    <row r="32" spans="1:9" ht="15" customHeight="1" x14ac:dyDescent="0.25">
      <c r="A32" t="s">
        <v>98</v>
      </c>
      <c r="B32" s="4" t="s">
        <v>113</v>
      </c>
      <c r="C32" t="s">
        <v>104</v>
      </c>
      <c r="D32" s="9">
        <v>1</v>
      </c>
      <c r="E32" s="10">
        <v>800000</v>
      </c>
      <c r="F32" s="9" t="s">
        <v>101</v>
      </c>
      <c r="G32" s="9">
        <v>1</v>
      </c>
      <c r="H32" s="4" t="s">
        <v>109</v>
      </c>
      <c r="I32" s="5">
        <f t="shared" si="0"/>
        <v>800000</v>
      </c>
    </row>
    <row r="33" spans="1:9" ht="15" customHeight="1" x14ac:dyDescent="0.25">
      <c r="A33" t="s">
        <v>98</v>
      </c>
      <c r="B33" s="4" t="s">
        <v>114</v>
      </c>
      <c r="C33" t="s">
        <v>100</v>
      </c>
      <c r="D33" s="9">
        <v>1</v>
      </c>
      <c r="E33" s="10">
        <v>700000</v>
      </c>
      <c r="F33" s="9" t="s">
        <v>101</v>
      </c>
      <c r="G33" s="9">
        <v>1</v>
      </c>
      <c r="H33" s="4"/>
      <c r="I33" s="5">
        <f t="shared" si="0"/>
        <v>700000</v>
      </c>
    </row>
    <row r="34" spans="1:9" ht="27.75" customHeight="1" x14ac:dyDescent="0.25">
      <c r="A34" t="s">
        <v>98</v>
      </c>
      <c r="B34" s="4" t="s">
        <v>381</v>
      </c>
      <c r="C34" t="s">
        <v>115</v>
      </c>
      <c r="D34" s="9">
        <v>1</v>
      </c>
      <c r="E34" s="10">
        <f>'Смета фото-видео'!G24</f>
        <v>3591930</v>
      </c>
      <c r="F34" s="9" t="s">
        <v>101</v>
      </c>
      <c r="G34" s="9">
        <v>1</v>
      </c>
      <c r="H34" s="4" t="s">
        <v>382</v>
      </c>
      <c r="I34" s="5">
        <f t="shared" si="0"/>
        <v>3591930</v>
      </c>
    </row>
    <row r="35" spans="1:9" ht="15" customHeight="1" x14ac:dyDescent="0.25">
      <c r="A35" t="s">
        <v>98</v>
      </c>
      <c r="B35" s="4" t="s">
        <v>340</v>
      </c>
      <c r="C35" t="s">
        <v>104</v>
      </c>
      <c r="D35" s="9">
        <v>1</v>
      </c>
      <c r="E35" s="10">
        <v>400000</v>
      </c>
      <c r="F35" s="9" t="s">
        <v>101</v>
      </c>
      <c r="G35" s="9">
        <v>1</v>
      </c>
      <c r="H35" s="4"/>
      <c r="I35" s="5">
        <f t="shared" si="0"/>
        <v>400000</v>
      </c>
    </row>
    <row r="36" spans="1:9" ht="15" customHeight="1" x14ac:dyDescent="0.25">
      <c r="A36" t="s">
        <v>98</v>
      </c>
      <c r="B36" s="4" t="s">
        <v>341</v>
      </c>
      <c r="C36" t="s">
        <v>100</v>
      </c>
      <c r="D36" s="9">
        <v>1</v>
      </c>
      <c r="E36" s="10">
        <f>ROUND(35990/(1+НДС),0)</f>
        <v>31026</v>
      </c>
      <c r="F36" s="9" t="s">
        <v>101</v>
      </c>
      <c r="G36" s="9">
        <v>1</v>
      </c>
      <c r="H36" s="4" t="s">
        <v>342</v>
      </c>
      <c r="I36" s="5">
        <f t="shared" ref="I36" si="2">IF(F36="разово",IF(G36&lt;=3,D36*E36,0),IF(F36="мес",D36*E36*MAX(0,4-G36),D36*E36*MAX(0,4-G36)/12))</f>
        <v>31026</v>
      </c>
    </row>
    <row r="37" spans="1:9" ht="15" customHeight="1" x14ac:dyDescent="0.25">
      <c r="A37" t="s">
        <v>98</v>
      </c>
      <c r="B37" s="4" t="s">
        <v>116</v>
      </c>
      <c r="C37" t="s">
        <v>104</v>
      </c>
      <c r="D37" s="9">
        <v>1</v>
      </c>
      <c r="E37" s="10">
        <v>150000</v>
      </c>
      <c r="F37" s="9" t="s">
        <v>101</v>
      </c>
      <c r="G37" s="9">
        <v>1</v>
      </c>
      <c r="H37" s="4"/>
      <c r="I37" s="5">
        <f t="shared" si="0"/>
        <v>150000</v>
      </c>
    </row>
    <row r="38" spans="1:9" ht="15" customHeight="1" x14ac:dyDescent="0.25">
      <c r="A38" t="s">
        <v>98</v>
      </c>
      <c r="B38" s="4" t="s">
        <v>117</v>
      </c>
      <c r="C38" t="s">
        <v>104</v>
      </c>
      <c r="D38" s="9">
        <v>1</v>
      </c>
      <c r="E38" s="10">
        <v>400000</v>
      </c>
      <c r="F38" s="9" t="s">
        <v>101</v>
      </c>
      <c r="G38" s="9">
        <v>1</v>
      </c>
      <c r="H38" s="4"/>
      <c r="I38" s="5">
        <f t="shared" si="0"/>
        <v>400000</v>
      </c>
    </row>
    <row r="39" spans="1:9" ht="15" customHeight="1" x14ac:dyDescent="0.25">
      <c r="A39" t="s">
        <v>98</v>
      </c>
      <c r="B39" s="4" t="s">
        <v>383</v>
      </c>
      <c r="C39" t="s">
        <v>100</v>
      </c>
      <c r="D39" s="9">
        <v>2</v>
      </c>
      <c r="E39" s="10">
        <v>10000</v>
      </c>
      <c r="F39" s="9" t="s">
        <v>101</v>
      </c>
      <c r="G39" s="9">
        <v>1</v>
      </c>
      <c r="H39" s="4"/>
      <c r="I39" s="5">
        <f t="shared" si="0"/>
        <v>20000</v>
      </c>
    </row>
    <row r="40" spans="1:9" ht="27.75" customHeight="1" x14ac:dyDescent="0.25">
      <c r="A40" t="s">
        <v>118</v>
      </c>
      <c r="B40" s="4" t="s">
        <v>119</v>
      </c>
      <c r="C40" t="s">
        <v>120</v>
      </c>
      <c r="D40" s="9">
        <v>1</v>
      </c>
      <c r="E40" s="10">
        <f>Аренда_мес</f>
        <v>4909152.0999999996</v>
      </c>
      <c r="F40" s="9" t="s">
        <v>121</v>
      </c>
      <c r="G40" s="9">
        <v>1</v>
      </c>
      <c r="H40" s="4" t="s">
        <v>330</v>
      </c>
      <c r="I40" s="5">
        <f>D40*E40*Аренда_мес_2026</f>
        <v>11560261.396774193</v>
      </c>
    </row>
    <row r="41" spans="1:9" ht="15" customHeight="1" x14ac:dyDescent="0.25">
      <c r="A41" t="s">
        <v>118</v>
      </c>
      <c r="B41" s="4" t="s">
        <v>223</v>
      </c>
      <c r="C41" t="s">
        <v>122</v>
      </c>
      <c r="D41" s="9">
        <v>1</v>
      </c>
      <c r="E41" s="10">
        <f>Аренда_мес*Депозит_мес</f>
        <v>4909152.0999999996</v>
      </c>
      <c r="F41" s="9" t="s">
        <v>101</v>
      </c>
      <c r="G41" s="9">
        <v>1</v>
      </c>
      <c r="H41" s="4" t="s">
        <v>273</v>
      </c>
      <c r="I41" s="5">
        <f t="shared" ref="I41:I57" si="3">IF(F41="разово",IF(G41&lt;=3,D41*E41,0),IF(F41="мес",D41*E41*MAX(0,4-G41),D41*E41*MAX(0,4-G41)/12))</f>
        <v>4909152.0999999996</v>
      </c>
    </row>
    <row r="42" spans="1:9" ht="15" customHeight="1" x14ac:dyDescent="0.25">
      <c r="A42" t="s">
        <v>118</v>
      </c>
      <c r="B42" s="4" t="s">
        <v>123</v>
      </c>
      <c r="C42" t="s">
        <v>120</v>
      </c>
      <c r="D42" s="9">
        <v>1</v>
      </c>
      <c r="E42" s="10">
        <v>50000</v>
      </c>
      <c r="F42" s="9" t="s">
        <v>121</v>
      </c>
      <c r="G42" s="9">
        <v>1</v>
      </c>
      <c r="H42" s="4"/>
      <c r="I42" s="5">
        <f t="shared" si="3"/>
        <v>150000</v>
      </c>
    </row>
    <row r="43" spans="1:9" ht="15" customHeight="1" x14ac:dyDescent="0.25">
      <c r="A43" t="s">
        <v>118</v>
      </c>
      <c r="B43" s="4" t="s">
        <v>124</v>
      </c>
      <c r="C43" t="s">
        <v>120</v>
      </c>
      <c r="D43" s="9">
        <v>1</v>
      </c>
      <c r="E43" s="10">
        <v>60000</v>
      </c>
      <c r="F43" s="9" t="s">
        <v>121</v>
      </c>
      <c r="G43" s="9">
        <v>1</v>
      </c>
      <c r="H43" s="4"/>
      <c r="I43" s="5">
        <f t="shared" si="3"/>
        <v>180000</v>
      </c>
    </row>
    <row r="44" spans="1:9" ht="15" customHeight="1" x14ac:dyDescent="0.25">
      <c r="A44" t="s">
        <v>118</v>
      </c>
      <c r="B44" s="4" t="s">
        <v>125</v>
      </c>
      <c r="C44" t="s">
        <v>120</v>
      </c>
      <c r="D44" s="9">
        <v>1</v>
      </c>
      <c r="E44" s="10">
        <v>50000</v>
      </c>
      <c r="F44" s="9" t="s">
        <v>121</v>
      </c>
      <c r="G44" s="9">
        <v>1</v>
      </c>
      <c r="H44" s="4"/>
      <c r="I44" s="5">
        <f t="shared" si="3"/>
        <v>150000</v>
      </c>
    </row>
    <row r="45" spans="1:9" ht="15" customHeight="1" x14ac:dyDescent="0.25">
      <c r="A45" t="s">
        <v>118</v>
      </c>
      <c r="B45" s="4" t="s">
        <v>126</v>
      </c>
      <c r="C45" t="s">
        <v>120</v>
      </c>
      <c r="D45" s="9">
        <v>1</v>
      </c>
      <c r="E45" s="10">
        <v>30000</v>
      </c>
      <c r="F45" s="9" t="s">
        <v>121</v>
      </c>
      <c r="G45" s="9">
        <v>1</v>
      </c>
      <c r="H45" s="4"/>
      <c r="I45" s="5">
        <f t="shared" si="3"/>
        <v>90000</v>
      </c>
    </row>
    <row r="46" spans="1:9" ht="15" customHeight="1" x14ac:dyDescent="0.25">
      <c r="A46" t="s">
        <v>118</v>
      </c>
      <c r="B46" s="4" t="s">
        <v>391</v>
      </c>
      <c r="C46" t="s">
        <v>120</v>
      </c>
      <c r="D46" s="9">
        <v>1</v>
      </c>
      <c r="E46" s="10">
        <f>Канцелярия!F11</f>
        <v>37375</v>
      </c>
      <c r="F46" s="9" t="s">
        <v>121</v>
      </c>
      <c r="G46" s="9">
        <v>1</v>
      </c>
      <c r="H46" s="4" t="s">
        <v>392</v>
      </c>
      <c r="I46" s="5">
        <f t="shared" si="3"/>
        <v>112125</v>
      </c>
    </row>
    <row r="47" spans="1:9" ht="15" customHeight="1" x14ac:dyDescent="0.25">
      <c r="A47" t="s">
        <v>118</v>
      </c>
      <c r="B47" s="4" t="s">
        <v>393</v>
      </c>
      <c r="C47" t="s">
        <v>104</v>
      </c>
      <c r="D47" s="9">
        <v>1</v>
      </c>
      <c r="E47" s="10">
        <f>Канцелярия!F20</f>
        <v>78500</v>
      </c>
      <c r="F47" s="9" t="s">
        <v>101</v>
      </c>
      <c r="G47" s="9">
        <v>1</v>
      </c>
      <c r="H47" s="4" t="s">
        <v>394</v>
      </c>
      <c r="I47" s="5">
        <f t="shared" ref="I47" si="4">IF(F47="разово",IF(G47&lt;=3,D47*E47,0),IF(F47="мес",D47*E47*MAX(0,4-G47),D47*E47*MAX(0,4-G47)/12))</f>
        <v>78500</v>
      </c>
    </row>
    <row r="48" spans="1:9" ht="15" customHeight="1" x14ac:dyDescent="0.25">
      <c r="A48" t="s">
        <v>118</v>
      </c>
      <c r="B48" s="4" t="s">
        <v>127</v>
      </c>
      <c r="C48" t="s">
        <v>120</v>
      </c>
      <c r="D48" s="9">
        <v>1</v>
      </c>
      <c r="E48" s="10">
        <v>100000</v>
      </c>
      <c r="F48" s="9" t="s">
        <v>121</v>
      </c>
      <c r="G48" s="9">
        <v>1</v>
      </c>
      <c r="H48" s="4"/>
      <c r="I48" s="5">
        <f t="shared" si="3"/>
        <v>300000</v>
      </c>
    </row>
    <row r="49" spans="1:9" ht="15" customHeight="1" x14ac:dyDescent="0.25">
      <c r="A49" t="s">
        <v>128</v>
      </c>
      <c r="B49" s="4" t="s">
        <v>129</v>
      </c>
      <c r="C49" t="s">
        <v>130</v>
      </c>
      <c r="D49" s="9">
        <v>14</v>
      </c>
      <c r="E49" s="10">
        <v>7000</v>
      </c>
      <c r="F49" s="9" t="s">
        <v>121</v>
      </c>
      <c r="G49" s="9">
        <v>1</v>
      </c>
      <c r="H49" s="4" t="s">
        <v>384</v>
      </c>
      <c r="I49" s="5">
        <f t="shared" si="3"/>
        <v>294000</v>
      </c>
    </row>
    <row r="50" spans="1:9" ht="15" customHeight="1" x14ac:dyDescent="0.25">
      <c r="A50" t="s">
        <v>128</v>
      </c>
      <c r="B50" s="4" t="s">
        <v>131</v>
      </c>
      <c r="C50" t="s">
        <v>130</v>
      </c>
      <c r="D50" s="9">
        <v>3</v>
      </c>
      <c r="E50" s="10">
        <v>7500</v>
      </c>
      <c r="F50" s="9" t="s">
        <v>121</v>
      </c>
      <c r="G50" s="9">
        <v>1</v>
      </c>
      <c r="H50" s="4"/>
      <c r="I50" s="5">
        <f t="shared" si="3"/>
        <v>67500</v>
      </c>
    </row>
    <row r="51" spans="1:9" ht="15" customHeight="1" x14ac:dyDescent="0.25">
      <c r="A51" t="s">
        <v>128</v>
      </c>
      <c r="B51" s="4" t="s">
        <v>132</v>
      </c>
      <c r="C51" t="s">
        <v>133</v>
      </c>
      <c r="D51" s="9">
        <v>2</v>
      </c>
      <c r="E51" s="10">
        <v>30000</v>
      </c>
      <c r="F51" s="9" t="s">
        <v>121</v>
      </c>
      <c r="G51" s="9">
        <v>1</v>
      </c>
      <c r="H51" s="4" t="s">
        <v>134</v>
      </c>
      <c r="I51" s="5">
        <f t="shared" si="3"/>
        <v>180000</v>
      </c>
    </row>
    <row r="52" spans="1:9" ht="15" customHeight="1" x14ac:dyDescent="0.25">
      <c r="A52" t="s">
        <v>128</v>
      </c>
      <c r="B52" s="4" t="s">
        <v>135</v>
      </c>
      <c r="C52" t="s">
        <v>133</v>
      </c>
      <c r="D52" s="9">
        <v>2</v>
      </c>
      <c r="E52" s="10">
        <v>8000</v>
      </c>
      <c r="F52" s="9" t="s">
        <v>121</v>
      </c>
      <c r="G52" s="9">
        <v>1</v>
      </c>
      <c r="H52" s="4"/>
      <c r="I52" s="5">
        <f t="shared" si="3"/>
        <v>48000</v>
      </c>
    </row>
    <row r="53" spans="1:9" ht="15" customHeight="1" x14ac:dyDescent="0.25">
      <c r="A53" t="s">
        <v>136</v>
      </c>
      <c r="B53" s="4" t="s">
        <v>321</v>
      </c>
      <c r="C53" t="s">
        <v>246</v>
      </c>
      <c r="D53" s="9"/>
      <c r="E53" s="10"/>
      <c r="F53" s="9" t="s">
        <v>244</v>
      </c>
      <c r="G53" s="9"/>
      <c r="H53" s="4"/>
      <c r="I53" s="5">
        <v>2000000</v>
      </c>
    </row>
    <row r="54" spans="1:9" ht="15" customHeight="1" x14ac:dyDescent="0.25">
      <c r="A54" t="s">
        <v>136</v>
      </c>
      <c r="B54" s="4" t="s">
        <v>137</v>
      </c>
      <c r="C54" t="s">
        <v>120</v>
      </c>
      <c r="D54" s="9">
        <v>1</v>
      </c>
      <c r="E54" s="10">
        <v>150000</v>
      </c>
      <c r="F54" s="9" t="s">
        <v>121</v>
      </c>
      <c r="G54" s="9">
        <v>1</v>
      </c>
      <c r="H54" s="4"/>
      <c r="I54" s="5">
        <f t="shared" si="3"/>
        <v>450000</v>
      </c>
    </row>
    <row r="55" spans="1:9" ht="15" customHeight="1" x14ac:dyDescent="0.25">
      <c r="A55" t="s">
        <v>136</v>
      </c>
      <c r="B55" s="4" t="s">
        <v>139</v>
      </c>
      <c r="C55" t="s">
        <v>120</v>
      </c>
      <c r="D55" s="9">
        <v>1</v>
      </c>
      <c r="E55" s="10">
        <v>25000</v>
      </c>
      <c r="F55" s="9" t="s">
        <v>121</v>
      </c>
      <c r="G55" s="9">
        <v>1</v>
      </c>
      <c r="H55" s="4"/>
      <c r="I55" s="5">
        <f t="shared" si="3"/>
        <v>75000</v>
      </c>
    </row>
    <row r="56" spans="1:9" ht="15" customHeight="1" x14ac:dyDescent="0.25">
      <c r="A56" t="s">
        <v>140</v>
      </c>
      <c r="B56" s="4" t="s">
        <v>385</v>
      </c>
      <c r="C56" t="s">
        <v>104</v>
      </c>
      <c r="D56" s="9">
        <v>1</v>
      </c>
      <c r="E56" s="10">
        <v>50000</v>
      </c>
      <c r="F56" s="9" t="s">
        <v>101</v>
      </c>
      <c r="G56" s="9">
        <v>1</v>
      </c>
      <c r="H56" s="4"/>
      <c r="I56" s="5">
        <f t="shared" si="3"/>
        <v>50000</v>
      </c>
    </row>
    <row r="57" spans="1:9" ht="15" customHeight="1" x14ac:dyDescent="0.25">
      <c r="A57" t="s">
        <v>140</v>
      </c>
      <c r="B57" s="4" t="s">
        <v>386</v>
      </c>
      <c r="C57" t="s">
        <v>138</v>
      </c>
      <c r="D57" s="9">
        <v>1</v>
      </c>
      <c r="E57" s="10">
        <v>100000</v>
      </c>
      <c r="F57" s="9" t="s">
        <v>138</v>
      </c>
      <c r="G57" s="9">
        <v>1</v>
      </c>
      <c r="H57" s="4"/>
      <c r="I57" s="5">
        <f t="shared" si="3"/>
        <v>25000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3"/>
  <sheetViews>
    <sheetView workbookViewId="0">
      <selection activeCell="B26" sqref="B26"/>
    </sheetView>
  </sheetViews>
  <sheetFormatPr defaultRowHeight="15" x14ac:dyDescent="0.25"/>
  <cols>
    <col min="1" max="1" width="12.7109375" customWidth="1"/>
    <col min="2" max="2" width="66.7109375" customWidth="1"/>
    <col min="3" max="3" width="8.7109375" customWidth="1"/>
    <col min="4" max="4" width="10.7109375" hidden="1" customWidth="1"/>
    <col min="5" max="5" width="13.7109375" hidden="1" customWidth="1"/>
    <col min="6" max="6" width="10.7109375" hidden="1" customWidth="1"/>
    <col min="7" max="7" width="14.7109375" customWidth="1"/>
    <col min="8" max="12" width="8.7109375" customWidth="1"/>
  </cols>
  <sheetData>
    <row r="1" spans="1:7" ht="17.25" x14ac:dyDescent="0.3">
      <c r="A1" s="1" t="s">
        <v>360</v>
      </c>
    </row>
    <row r="2" spans="1:7" x14ac:dyDescent="0.25">
      <c r="A2" s="2"/>
    </row>
    <row r="4" spans="1:7" ht="31.5" customHeight="1" x14ac:dyDescent="0.25">
      <c r="A4" s="3" t="s">
        <v>93</v>
      </c>
      <c r="B4" s="3" t="s">
        <v>0</v>
      </c>
      <c r="C4" s="3" t="s">
        <v>94</v>
      </c>
      <c r="D4" s="3" t="s">
        <v>72</v>
      </c>
      <c r="E4" s="3" t="s">
        <v>95</v>
      </c>
      <c r="F4" s="3" t="s">
        <v>96</v>
      </c>
      <c r="G4" s="34" t="s">
        <v>91</v>
      </c>
    </row>
    <row r="5" spans="1:7" ht="30" x14ac:dyDescent="0.25">
      <c r="A5" t="s">
        <v>291</v>
      </c>
      <c r="B5" s="4" t="s">
        <v>292</v>
      </c>
      <c r="C5" t="s">
        <v>246</v>
      </c>
      <c r="D5" s="9"/>
      <c r="E5" s="10"/>
      <c r="F5" s="9" t="s">
        <v>244</v>
      </c>
      <c r="G5" s="5">
        <v>3600000</v>
      </c>
    </row>
    <row r="6" spans="1:7" x14ac:dyDescent="0.25">
      <c r="A6" t="s">
        <v>291</v>
      </c>
      <c r="B6" s="4" t="s">
        <v>248</v>
      </c>
      <c r="C6" t="s">
        <v>246</v>
      </c>
      <c r="D6" s="9"/>
      <c r="E6" s="10"/>
      <c r="F6" s="9" t="s">
        <v>244</v>
      </c>
      <c r="G6" s="5">
        <v>1200000</v>
      </c>
    </row>
    <row r="7" spans="1:7" x14ac:dyDescent="0.25">
      <c r="A7" t="s">
        <v>291</v>
      </c>
      <c r="B7" s="4" t="s">
        <v>339</v>
      </c>
      <c r="C7" t="s">
        <v>246</v>
      </c>
      <c r="D7" s="9"/>
      <c r="E7" s="10"/>
      <c r="F7" s="9" t="s">
        <v>244</v>
      </c>
      <c r="G7" s="5">
        <v>6100000</v>
      </c>
    </row>
    <row r="8" spans="1:7" ht="30" x14ac:dyDescent="0.25">
      <c r="A8" t="s">
        <v>291</v>
      </c>
      <c r="B8" s="4" t="s">
        <v>338</v>
      </c>
      <c r="C8" t="s">
        <v>246</v>
      </c>
      <c r="D8" s="9"/>
      <c r="E8" s="10"/>
      <c r="F8" s="9" t="s">
        <v>244</v>
      </c>
      <c r="G8" s="5">
        <v>18400000</v>
      </c>
    </row>
    <row r="9" spans="1:7" x14ac:dyDescent="0.25">
      <c r="A9" t="s">
        <v>291</v>
      </c>
      <c r="B9" s="4" t="s">
        <v>247</v>
      </c>
      <c r="C9" t="s">
        <v>246</v>
      </c>
      <c r="D9" s="9"/>
      <c r="E9" s="10"/>
      <c r="F9" s="9" t="s">
        <v>244</v>
      </c>
      <c r="G9" s="5">
        <v>9200000</v>
      </c>
    </row>
    <row r="10" spans="1:7" x14ac:dyDescent="0.25">
      <c r="A10" t="s">
        <v>291</v>
      </c>
      <c r="B10" s="4" t="s">
        <v>249</v>
      </c>
      <c r="C10" t="s">
        <v>246</v>
      </c>
      <c r="D10" s="9"/>
      <c r="E10" s="10"/>
      <c r="F10" s="9" t="s">
        <v>244</v>
      </c>
      <c r="G10" s="5">
        <v>30504855.379999999</v>
      </c>
    </row>
    <row r="11" spans="1:7" x14ac:dyDescent="0.25">
      <c r="A11" t="s">
        <v>291</v>
      </c>
      <c r="B11" s="4" t="s">
        <v>245</v>
      </c>
      <c r="C11" t="s">
        <v>246</v>
      </c>
      <c r="D11" s="9"/>
      <c r="E11" s="10"/>
      <c r="F11" s="9" t="s">
        <v>244</v>
      </c>
      <c r="G11" s="5">
        <v>18400000</v>
      </c>
    </row>
    <row r="12" spans="1:7" x14ac:dyDescent="0.25">
      <c r="G12" s="5"/>
    </row>
    <row r="13" spans="1:7" x14ac:dyDescent="0.25">
      <c r="B13" s="7" t="s">
        <v>361</v>
      </c>
      <c r="C13" s="7"/>
      <c r="D13" s="7"/>
      <c r="E13" s="7"/>
      <c r="F13" s="7"/>
      <c r="G13" s="6">
        <f>SUM(G5:G11)</f>
        <v>87404855.379999995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workbookViewId="0">
      <selection activeCell="A13" sqref="A13:G20"/>
    </sheetView>
  </sheetViews>
  <sheetFormatPr defaultRowHeight="15" x14ac:dyDescent="0.25"/>
  <cols>
    <col min="1" max="1" width="18.7109375" customWidth="1"/>
    <col min="2" max="2" width="62.7109375" customWidth="1"/>
    <col min="3" max="3" width="10.7109375" customWidth="1"/>
    <col min="4" max="4" width="16.7109375" customWidth="1"/>
    <col min="5" max="5" width="12.7109375" customWidth="1"/>
    <col min="6" max="6" width="18.7109375" customWidth="1"/>
    <col min="7" max="7" width="48.7109375" customWidth="1"/>
  </cols>
  <sheetData>
    <row r="1" spans="1:7" s="7" customFormat="1" x14ac:dyDescent="0.25">
      <c r="A1" s="7" t="s">
        <v>390</v>
      </c>
    </row>
    <row r="4" spans="1:7" s="7" customFormat="1" x14ac:dyDescent="0.25">
      <c r="A4" s="7" t="s">
        <v>182</v>
      </c>
      <c r="B4" s="7" t="s">
        <v>183</v>
      </c>
      <c r="C4" s="7" t="s">
        <v>94</v>
      </c>
      <c r="D4" s="7" t="s">
        <v>184</v>
      </c>
      <c r="E4" s="7" t="s">
        <v>95</v>
      </c>
      <c r="F4" s="7" t="s">
        <v>185</v>
      </c>
      <c r="G4" s="7" t="s">
        <v>97</v>
      </c>
    </row>
    <row r="5" spans="1:7" x14ac:dyDescent="0.25">
      <c r="A5" t="s">
        <v>186</v>
      </c>
      <c r="B5" t="s">
        <v>187</v>
      </c>
      <c r="C5" t="s">
        <v>188</v>
      </c>
      <c r="D5" s="13">
        <v>3.5</v>
      </c>
      <c r="E5" s="5">
        <v>3000</v>
      </c>
      <c r="F5" s="5">
        <f t="shared" ref="F5:F10" si="0">D5*E5</f>
        <v>10500</v>
      </c>
      <c r="G5" t="s">
        <v>322</v>
      </c>
    </row>
    <row r="6" spans="1:7" x14ac:dyDescent="0.25">
      <c r="A6" t="s">
        <v>186</v>
      </c>
      <c r="B6" t="s">
        <v>189</v>
      </c>
      <c r="C6" t="s">
        <v>188</v>
      </c>
      <c r="D6" s="13">
        <v>0.25</v>
      </c>
      <c r="E6" s="5">
        <v>6500</v>
      </c>
      <c r="F6" s="5">
        <f t="shared" si="0"/>
        <v>1625</v>
      </c>
      <c r="G6" t="s">
        <v>190</v>
      </c>
    </row>
    <row r="7" spans="1:7" x14ac:dyDescent="0.25">
      <c r="A7" t="s">
        <v>186</v>
      </c>
      <c r="B7" t="s">
        <v>191</v>
      </c>
      <c r="C7" t="s">
        <v>192</v>
      </c>
      <c r="D7" s="13">
        <v>0.5</v>
      </c>
      <c r="E7" s="5">
        <v>6000</v>
      </c>
      <c r="F7" s="5">
        <f t="shared" si="0"/>
        <v>3000</v>
      </c>
      <c r="G7" t="s">
        <v>193</v>
      </c>
    </row>
    <row r="8" spans="1:7" x14ac:dyDescent="0.25">
      <c r="A8" t="s">
        <v>186</v>
      </c>
      <c r="B8" t="s">
        <v>194</v>
      </c>
      <c r="C8" t="s">
        <v>104</v>
      </c>
      <c r="D8" s="13">
        <v>0.25</v>
      </c>
      <c r="E8" s="5">
        <v>5000</v>
      </c>
      <c r="F8" s="5">
        <f t="shared" si="0"/>
        <v>1250</v>
      </c>
      <c r="G8" t="s">
        <v>195</v>
      </c>
    </row>
    <row r="9" spans="1:7" x14ac:dyDescent="0.25">
      <c r="A9" t="s">
        <v>196</v>
      </c>
      <c r="B9" t="s">
        <v>197</v>
      </c>
      <c r="C9" t="s">
        <v>104</v>
      </c>
      <c r="D9" s="13">
        <v>10</v>
      </c>
      <c r="E9" s="5">
        <v>1200</v>
      </c>
      <c r="F9" s="5">
        <f t="shared" si="0"/>
        <v>12000</v>
      </c>
      <c r="G9" t="s">
        <v>198</v>
      </c>
    </row>
    <row r="10" spans="1:7" x14ac:dyDescent="0.25">
      <c r="A10" t="s">
        <v>196</v>
      </c>
      <c r="B10" t="s">
        <v>199</v>
      </c>
      <c r="C10" t="s">
        <v>104</v>
      </c>
      <c r="D10" s="13">
        <v>10</v>
      </c>
      <c r="E10" s="5">
        <v>900</v>
      </c>
      <c r="F10" s="5">
        <f t="shared" si="0"/>
        <v>9000</v>
      </c>
      <c r="G10" t="s">
        <v>198</v>
      </c>
    </row>
    <row r="11" spans="1:7" s="7" customFormat="1" x14ac:dyDescent="0.25">
      <c r="B11" s="7" t="s">
        <v>211</v>
      </c>
      <c r="D11" s="32"/>
      <c r="E11" s="6"/>
      <c r="F11" s="6">
        <f>SUM(F5:F10)</f>
        <v>37375</v>
      </c>
    </row>
    <row r="13" spans="1:7" x14ac:dyDescent="0.25">
      <c r="A13" s="7" t="s">
        <v>388</v>
      </c>
      <c r="B13" s="7"/>
      <c r="C13" s="7"/>
      <c r="D13" s="32" t="s">
        <v>72</v>
      </c>
      <c r="E13" s="6"/>
      <c r="F13" s="6" t="s">
        <v>146</v>
      </c>
      <c r="G13" s="7"/>
    </row>
    <row r="14" spans="1:7" x14ac:dyDescent="0.25">
      <c r="A14" t="s">
        <v>196</v>
      </c>
      <c r="B14" t="s">
        <v>200</v>
      </c>
      <c r="C14" t="s">
        <v>104</v>
      </c>
      <c r="D14" s="45">
        <v>15</v>
      </c>
      <c r="E14" s="5">
        <v>1500</v>
      </c>
      <c r="F14" s="5">
        <f t="shared" ref="F14:F19" si="1">D14*E14</f>
        <v>22500</v>
      </c>
      <c r="G14" t="s">
        <v>201</v>
      </c>
    </row>
    <row r="15" spans="1:7" x14ac:dyDescent="0.25">
      <c r="A15" t="s">
        <v>196</v>
      </c>
      <c r="B15" t="s">
        <v>202</v>
      </c>
      <c r="C15" t="s">
        <v>104</v>
      </c>
      <c r="D15" s="45">
        <v>1</v>
      </c>
      <c r="E15" s="5">
        <v>8000</v>
      </c>
      <c r="F15" s="5">
        <f t="shared" si="1"/>
        <v>8000</v>
      </c>
      <c r="G15" t="s">
        <v>203</v>
      </c>
    </row>
    <row r="16" spans="1:7" x14ac:dyDescent="0.25">
      <c r="A16" t="s">
        <v>196</v>
      </c>
      <c r="B16" t="s">
        <v>204</v>
      </c>
      <c r="C16" t="s">
        <v>104</v>
      </c>
      <c r="D16" s="45">
        <v>1</v>
      </c>
      <c r="E16" s="5">
        <v>10000</v>
      </c>
      <c r="F16" s="5">
        <f t="shared" si="1"/>
        <v>10000</v>
      </c>
      <c r="G16" t="s">
        <v>205</v>
      </c>
    </row>
    <row r="17" spans="1:7" x14ac:dyDescent="0.25">
      <c r="A17" t="s">
        <v>196</v>
      </c>
      <c r="B17" t="s">
        <v>206</v>
      </c>
      <c r="C17" t="s">
        <v>104</v>
      </c>
      <c r="D17" s="45">
        <v>1</v>
      </c>
      <c r="E17" s="5">
        <v>6000</v>
      </c>
      <c r="F17" s="5">
        <f t="shared" si="1"/>
        <v>6000</v>
      </c>
    </row>
    <row r="18" spans="1:7" x14ac:dyDescent="0.25">
      <c r="A18" t="s">
        <v>196</v>
      </c>
      <c r="B18" t="s">
        <v>207</v>
      </c>
      <c r="C18" t="s">
        <v>104</v>
      </c>
      <c r="D18" s="45">
        <v>2</v>
      </c>
      <c r="E18" s="5">
        <v>12000</v>
      </c>
      <c r="F18" s="5">
        <f t="shared" si="1"/>
        <v>24000</v>
      </c>
      <c r="G18" t="s">
        <v>208</v>
      </c>
    </row>
    <row r="19" spans="1:7" x14ac:dyDescent="0.25">
      <c r="A19" t="s">
        <v>196</v>
      </c>
      <c r="B19" t="s">
        <v>209</v>
      </c>
      <c r="C19" t="s">
        <v>104</v>
      </c>
      <c r="D19" s="45">
        <v>1</v>
      </c>
      <c r="E19" s="5">
        <v>8000</v>
      </c>
      <c r="F19" s="5">
        <f t="shared" si="1"/>
        <v>8000</v>
      </c>
      <c r="G19" t="s">
        <v>210</v>
      </c>
    </row>
    <row r="20" spans="1:7" x14ac:dyDescent="0.25">
      <c r="A20" s="7"/>
      <c r="B20" s="7" t="s">
        <v>389</v>
      </c>
      <c r="C20" s="7"/>
      <c r="D20" s="32"/>
      <c r="E20" s="6"/>
      <c r="F20" s="6">
        <f>SUM(F14:F19)</f>
        <v>78500</v>
      </c>
      <c r="G20" s="7"/>
    </row>
  </sheetData>
  <pageMargins left="0.7" right="0.7" top="0.75" bottom="0.75" header="0.3" footer="0.3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zoomScaleNormal="100" workbookViewId="0">
      <selection activeCell="D39" sqref="D39"/>
    </sheetView>
  </sheetViews>
  <sheetFormatPr defaultColWidth="8.7109375" defaultRowHeight="15" x14ac:dyDescent="0.25"/>
  <cols>
    <col min="1" max="1" width="5.7109375" customWidth="1"/>
    <col min="2" max="2" width="62.7109375" customWidth="1"/>
    <col min="3" max="3" width="10.7109375" customWidth="1"/>
    <col min="4" max="4" width="22.7109375" customWidth="1"/>
    <col min="5" max="5" width="7.7109375" customWidth="1"/>
    <col min="6" max="6" width="13.7109375" customWidth="1"/>
    <col min="7" max="7" width="14.7109375" customWidth="1"/>
  </cols>
  <sheetData>
    <row r="1" spans="1:7" ht="15.75" customHeight="1" x14ac:dyDescent="0.3">
      <c r="A1" s="1" t="s">
        <v>141</v>
      </c>
    </row>
    <row r="2" spans="1:7" ht="15" customHeight="1" x14ac:dyDescent="0.25">
      <c r="A2" s="2" t="s">
        <v>142</v>
      </c>
    </row>
    <row r="4" spans="1:7" ht="27.75" customHeight="1" x14ac:dyDescent="0.25">
      <c r="A4" s="3" t="s">
        <v>66</v>
      </c>
      <c r="B4" s="3" t="s">
        <v>143</v>
      </c>
      <c r="C4" s="3" t="s">
        <v>144</v>
      </c>
      <c r="D4" s="3" t="s">
        <v>145</v>
      </c>
      <c r="E4" s="3" t="s">
        <v>72</v>
      </c>
      <c r="F4" s="3" t="s">
        <v>95</v>
      </c>
      <c r="G4" s="3" t="s">
        <v>146</v>
      </c>
    </row>
    <row r="5" spans="1:7" ht="15" customHeight="1" x14ac:dyDescent="0.25">
      <c r="A5" s="7" t="s">
        <v>147</v>
      </c>
      <c r="B5" s="7"/>
      <c r="C5" s="7"/>
      <c r="D5" s="7"/>
      <c r="E5" s="7"/>
      <c r="F5" s="7"/>
      <c r="G5" s="7"/>
    </row>
    <row r="6" spans="1:7" ht="15" customHeight="1" x14ac:dyDescent="0.25">
      <c r="A6">
        <v>1</v>
      </c>
      <c r="B6" t="s">
        <v>148</v>
      </c>
      <c r="C6">
        <v>5659</v>
      </c>
      <c r="D6" t="s">
        <v>149</v>
      </c>
      <c r="E6">
        <v>1</v>
      </c>
      <c r="F6" s="5">
        <v>1669990</v>
      </c>
      <c r="G6" s="5">
        <f t="shared" ref="G6:G12" si="0">E6*F6</f>
        <v>1669990</v>
      </c>
    </row>
    <row r="7" spans="1:7" ht="15" customHeight="1" x14ac:dyDescent="0.25">
      <c r="A7">
        <v>2</v>
      </c>
      <c r="B7" t="s">
        <v>150</v>
      </c>
      <c r="C7">
        <v>2584</v>
      </c>
      <c r="D7" t="s">
        <v>151</v>
      </c>
      <c r="E7">
        <v>1</v>
      </c>
      <c r="F7" s="5">
        <v>485990</v>
      </c>
      <c r="G7" s="5">
        <f t="shared" si="0"/>
        <v>485990</v>
      </c>
    </row>
    <row r="8" spans="1:7" ht="15" customHeight="1" x14ac:dyDescent="0.25">
      <c r="A8">
        <v>4</v>
      </c>
      <c r="B8" t="s">
        <v>152</v>
      </c>
      <c r="C8">
        <v>6218</v>
      </c>
      <c r="D8" t="s">
        <v>151</v>
      </c>
      <c r="E8">
        <v>1</v>
      </c>
      <c r="F8" s="5">
        <v>479990</v>
      </c>
      <c r="G8" s="5">
        <f t="shared" si="0"/>
        <v>479990</v>
      </c>
    </row>
    <row r="9" spans="1:7" ht="15" customHeight="1" x14ac:dyDescent="0.25">
      <c r="A9">
        <v>6</v>
      </c>
      <c r="B9" t="s">
        <v>153</v>
      </c>
      <c r="C9">
        <v>4240</v>
      </c>
      <c r="D9" t="s">
        <v>151</v>
      </c>
      <c r="E9">
        <v>1</v>
      </c>
      <c r="F9" s="5">
        <v>104990</v>
      </c>
      <c r="G9" s="5">
        <f t="shared" si="0"/>
        <v>104990</v>
      </c>
    </row>
    <row r="10" spans="1:7" ht="15" customHeight="1" x14ac:dyDescent="0.25">
      <c r="A10">
        <v>7</v>
      </c>
      <c r="B10" t="s">
        <v>154</v>
      </c>
      <c r="C10">
        <v>6976</v>
      </c>
      <c r="D10" t="s">
        <v>151</v>
      </c>
      <c r="E10">
        <v>1</v>
      </c>
      <c r="F10" s="5">
        <v>119990</v>
      </c>
      <c r="G10" s="5">
        <f t="shared" si="0"/>
        <v>119990</v>
      </c>
    </row>
    <row r="11" spans="1:7" ht="15" customHeight="1" x14ac:dyDescent="0.25">
      <c r="A11">
        <v>9</v>
      </c>
      <c r="B11" t="s">
        <v>155</v>
      </c>
      <c r="C11">
        <v>3288</v>
      </c>
      <c r="D11" t="s">
        <v>151</v>
      </c>
      <c r="E11">
        <v>1</v>
      </c>
      <c r="F11" s="5">
        <v>58990</v>
      </c>
      <c r="G11" s="5">
        <f t="shared" si="0"/>
        <v>58990</v>
      </c>
    </row>
    <row r="12" spans="1:7" ht="15" customHeight="1" x14ac:dyDescent="0.25">
      <c r="A12">
        <v>10</v>
      </c>
      <c r="B12" t="s">
        <v>156</v>
      </c>
      <c r="C12">
        <v>1756</v>
      </c>
      <c r="D12" t="s">
        <v>151</v>
      </c>
      <c r="E12">
        <v>1</v>
      </c>
      <c r="F12" s="5">
        <v>31990</v>
      </c>
      <c r="G12" s="5">
        <f t="shared" si="0"/>
        <v>31990</v>
      </c>
    </row>
    <row r="13" spans="1:7" ht="15" customHeight="1" x14ac:dyDescent="0.25">
      <c r="A13" s="7"/>
      <c r="B13" s="7" t="s">
        <v>157</v>
      </c>
      <c r="C13" s="7"/>
      <c r="D13" s="7"/>
      <c r="E13" s="7"/>
      <c r="F13" s="6"/>
      <c r="G13" s="6">
        <f>SUM(G6:G12)</f>
        <v>2951930</v>
      </c>
    </row>
    <row r="14" spans="1:7" ht="15" customHeight="1" x14ac:dyDescent="0.25">
      <c r="F14" s="5"/>
      <c r="G14" s="5"/>
    </row>
    <row r="15" spans="1:7" ht="15" customHeight="1" x14ac:dyDescent="0.25">
      <c r="A15" s="7" t="s">
        <v>377</v>
      </c>
      <c r="B15" s="7"/>
      <c r="C15" s="7"/>
      <c r="D15" s="7"/>
      <c r="E15" s="7"/>
      <c r="F15" s="6"/>
      <c r="G15" s="6"/>
    </row>
    <row r="16" spans="1:7" ht="15" customHeight="1" x14ac:dyDescent="0.25">
      <c r="A16">
        <v>2.1</v>
      </c>
      <c r="B16" t="s">
        <v>158</v>
      </c>
      <c r="D16" t="s">
        <v>159</v>
      </c>
      <c r="E16">
        <v>1</v>
      </c>
      <c r="F16" s="5">
        <v>240000</v>
      </c>
      <c r="G16" s="5">
        <f t="shared" ref="G16" si="1">E16*F16</f>
        <v>240000</v>
      </c>
    </row>
    <row r="17" spans="1:7" ht="15" customHeight="1" x14ac:dyDescent="0.25">
      <c r="A17" s="7"/>
      <c r="B17" s="7" t="s">
        <v>160</v>
      </c>
      <c r="C17" s="7"/>
      <c r="D17" s="7"/>
      <c r="E17" s="7"/>
      <c r="F17" s="6"/>
      <c r="G17" s="6">
        <f>SUM(G16:G16)</f>
        <v>240000</v>
      </c>
    </row>
    <row r="18" spans="1:7" ht="15" customHeight="1" x14ac:dyDescent="0.25">
      <c r="F18" s="5"/>
      <c r="G18" s="5"/>
    </row>
    <row r="19" spans="1:7" ht="15" customHeight="1" x14ac:dyDescent="0.25">
      <c r="A19" s="7" t="s">
        <v>161</v>
      </c>
      <c r="B19" s="7"/>
      <c r="C19" s="7"/>
      <c r="D19" s="7"/>
      <c r="E19" s="7"/>
      <c r="F19" s="6"/>
      <c r="G19" s="6"/>
    </row>
    <row r="20" spans="1:7" ht="15" customHeight="1" x14ac:dyDescent="0.25">
      <c r="A20">
        <v>3.3</v>
      </c>
      <c r="B20" t="s">
        <v>162</v>
      </c>
      <c r="D20" t="s">
        <v>159</v>
      </c>
      <c r="E20">
        <v>1</v>
      </c>
      <c r="F20" s="5">
        <v>250000</v>
      </c>
      <c r="G20" s="5">
        <f>E20*F20</f>
        <v>250000</v>
      </c>
    </row>
    <row r="21" spans="1:7" ht="15" customHeight="1" x14ac:dyDescent="0.25">
      <c r="A21">
        <v>3.4</v>
      </c>
      <c r="B21" t="s">
        <v>163</v>
      </c>
      <c r="D21" t="s">
        <v>159</v>
      </c>
      <c r="E21">
        <v>1</v>
      </c>
      <c r="F21" s="5">
        <v>150000</v>
      </c>
      <c r="G21" s="5">
        <f>E21*F21</f>
        <v>150000</v>
      </c>
    </row>
    <row r="22" spans="1:7" ht="15" customHeight="1" x14ac:dyDescent="0.25">
      <c r="A22" s="7"/>
      <c r="B22" s="7" t="s">
        <v>164</v>
      </c>
      <c r="C22" s="7"/>
      <c r="D22" s="7"/>
      <c r="E22" s="7"/>
      <c r="F22" s="6"/>
      <c r="G22" s="6">
        <f>SUM(G20:G21)</f>
        <v>400000</v>
      </c>
    </row>
    <row r="23" spans="1:7" ht="15" customHeight="1" x14ac:dyDescent="0.25">
      <c r="F23" s="5"/>
      <c r="G23" s="5"/>
    </row>
    <row r="24" spans="1:7" ht="15" customHeight="1" x14ac:dyDescent="0.25">
      <c r="A24" s="11"/>
      <c r="B24" s="11" t="s">
        <v>165</v>
      </c>
      <c r="C24" s="11"/>
      <c r="D24" s="11"/>
      <c r="E24" s="11"/>
      <c r="F24" s="12"/>
      <c r="G24" s="12">
        <f>G13+G17+G22</f>
        <v>3591930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42</vt:i4>
      </vt:variant>
    </vt:vector>
  </HeadingPairs>
  <TitlesOfParts>
    <vt:vector size="51" baseType="lpstr">
      <vt:lpstr>Свод</vt:lpstr>
      <vt:lpstr>Параметры</vt:lpstr>
      <vt:lpstr>Штат</vt:lpstr>
      <vt:lpstr>Аутсорс</vt:lpstr>
      <vt:lpstr>Командировки</vt:lpstr>
      <vt:lpstr>Оснащение и офис</vt:lpstr>
      <vt:lpstr>Проекты</vt:lpstr>
      <vt:lpstr>Канцелярия</vt:lpstr>
      <vt:lpstr>Смета фото-видео</vt:lpstr>
      <vt:lpstr>Авиа_межд</vt:lpstr>
      <vt:lpstr>Авиа_РК</vt:lpstr>
      <vt:lpstr>Аренда_депозит</vt:lpstr>
      <vt:lpstr>Аренда_мес</vt:lpstr>
      <vt:lpstr>Аренда_мес_2026</vt:lpstr>
      <vt:lpstr>Аренда_с_НДС</vt:lpstr>
      <vt:lpstr>Депозит_мес</vt:lpstr>
      <vt:lpstr>Дней_межд</vt:lpstr>
      <vt:lpstr>Дней_РК</vt:lpstr>
      <vt:lpstr>Кап_ООСМС</vt:lpstr>
      <vt:lpstr>Кап_СО</vt:lpstr>
      <vt:lpstr>Коммун_мес</vt:lpstr>
      <vt:lpstr>Курс</vt:lpstr>
      <vt:lpstr>Мес_2026_новые</vt:lpstr>
      <vt:lpstr>МЗП</vt:lpstr>
      <vt:lpstr>МРП</vt:lpstr>
      <vt:lpstr>НДС</vt:lpstr>
      <vt:lpstr>Ночей_межд</vt:lpstr>
      <vt:lpstr>Ночей_РК</vt:lpstr>
      <vt:lpstr>ОСНС</vt:lpstr>
      <vt:lpstr>ОСНС_полис</vt:lpstr>
      <vt:lpstr>Отель_межд</vt:lpstr>
      <vt:lpstr>Отель_РК</vt:lpstr>
      <vt:lpstr>Парковка_мест</vt:lpstr>
      <vt:lpstr>Парковка_цена</vt:lpstr>
      <vt:lpstr>Площадь_офиса</vt:lpstr>
      <vt:lpstr>Поездка_межд</vt:lpstr>
      <vt:lpstr>Поездка_местн</vt:lpstr>
      <vt:lpstr>Поездка_РК</vt:lpstr>
      <vt:lpstr>Резерв</vt:lpstr>
      <vt:lpstr>Сборка_мебели_проц</vt:lpstr>
      <vt:lpstr>Ставка_аренды_м2</vt:lpstr>
      <vt:lpstr>Ставка_ВОСМС</vt:lpstr>
      <vt:lpstr>Ставка_ООСМС</vt:lpstr>
      <vt:lpstr>Ставка_ОПВ</vt:lpstr>
      <vt:lpstr>Ставка_ОПВР</vt:lpstr>
      <vt:lpstr>Ставка_СН</vt:lpstr>
      <vt:lpstr>Ставка_СО</vt:lpstr>
      <vt:lpstr>Страх_межд</vt:lpstr>
      <vt:lpstr>Сут_межд</vt:lpstr>
      <vt:lpstr>Сут_РК</vt:lpstr>
      <vt:lpstr>Трансп_РК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Temirbekov</cp:lastModifiedBy>
  <cp:revision>0</cp:revision>
  <cp:lastPrinted>2026-10-10T04:31:58Z</cp:lastPrinted>
  <dcterms:created xsi:type="dcterms:W3CDTF">2026-09-12T13:59:35Z</dcterms:created>
  <dcterms:modified xsi:type="dcterms:W3CDTF">2026-10-19T11:42:06Z</dcterms:modified>
  <dc:language>en-US</dc:language>
</cp:coreProperties>
</file>