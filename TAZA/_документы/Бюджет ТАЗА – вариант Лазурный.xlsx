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0" windowWidth="21570" windowHeight="8055" tabRatio="500" firstSheet="3" activeTab="6"/>
  </bookViews>
  <sheets>
    <sheet name="Свод" sheetId="1" r:id="rId1"/>
    <sheet name="Параметры" sheetId="2" r:id="rId2"/>
    <sheet name="Штат" sheetId="3" r:id="rId3"/>
    <sheet name="Аутсорс" sheetId="9" r:id="rId4"/>
    <sheet name="Командировки" sheetId="4" r:id="rId5"/>
    <sheet name="Оснащение и офис" sheetId="5" r:id="rId6"/>
    <sheet name="Проекты (вне бюджета)" sheetId="8" r:id="rId7"/>
    <sheet name="Канцелярия" sheetId="7" r:id="rId8"/>
    <sheet name="Смета фото-видео" sheetId="6" r:id="rId9"/>
  </sheets>
  <definedNames>
    <definedName name="Авиа_межд">Параметры!$B$27</definedName>
    <definedName name="Авиа_РК">Параметры!$B$20</definedName>
    <definedName name="Аренда_депозит">Параметры!$B$54</definedName>
    <definedName name="Аренда_мес">Параметры!$B$34</definedName>
    <definedName name="Аренда_мес_2026">Параметры!$B$55</definedName>
    <definedName name="Аренда_с_НДС">Параметры!$B$53</definedName>
    <definedName name="Депозит_мес">Параметры!$B$35</definedName>
    <definedName name="ДМС">Параметры!$B$16</definedName>
    <definedName name="Дней_межд">Параметры!$B$30</definedName>
    <definedName name="Дней_РК">Параметры!$B$23</definedName>
    <definedName name="Индекс_МРП_2027">Параметры!$B$42</definedName>
    <definedName name="Кап_ООСМС">Параметры!$B$11</definedName>
    <definedName name="Кап_СО">Параметры!$B$9</definedName>
    <definedName name="Коммун_мес">Параметры!$B$50</definedName>
    <definedName name="Курс">Параметры!$B$18</definedName>
    <definedName name="Мес_2026_новые">Параметры!$B$58</definedName>
    <definedName name="МЗП">Параметры!$B$4</definedName>
    <definedName name="МРП">Параметры!$B$5</definedName>
    <definedName name="МРП_2027">Параметры!$B$43</definedName>
    <definedName name="НДС">Параметры!$B$37</definedName>
    <definedName name="Ночей_межд">Параметры!$B$31</definedName>
    <definedName name="Ночей_РК">Параметры!$B$24</definedName>
    <definedName name="ОСНС">Параметры!$B$17</definedName>
    <definedName name="Отель_межд">Параметры!$B$28</definedName>
    <definedName name="Отель_РК">Параметры!$B$21</definedName>
    <definedName name="Парковка_мест">Параметры!$B$51</definedName>
    <definedName name="Парковка_цена">Параметры!$B$52</definedName>
    <definedName name="Площадь_офиса">Параметры!$B$48</definedName>
    <definedName name="Поездка_межд">Параметры!$B$33</definedName>
    <definedName name="Поездка_местн">Параметры!$B$26</definedName>
    <definedName name="Поездка_местн_2027">Параметры!$B$45</definedName>
    <definedName name="Поездка_РК">Параметры!$B$25</definedName>
    <definedName name="Поездка_РК_2027">Параметры!$B$44</definedName>
    <definedName name="Премия_KPI">Параметры!$B$15</definedName>
    <definedName name="Премия_НГ">Параметры!$B$14</definedName>
    <definedName name="Резерв">Параметры!$B$36</definedName>
    <definedName name="Сборка_мебели_проц">Параметры!$B$57</definedName>
    <definedName name="Ставка_аренды_м2">Параметры!$B$49</definedName>
    <definedName name="Ставка_ВОСМС">Параметры!$B$13</definedName>
    <definedName name="Ставка_ООСМС">Параметры!$B$10</definedName>
    <definedName name="Ставка_ОПВ">Параметры!$B$12</definedName>
    <definedName name="Ставка_ОПВР">Параметры!$B$7</definedName>
    <definedName name="Ставка_СН">Параметры!$B$6</definedName>
    <definedName name="Ставка_СО">Параметры!$B$8</definedName>
    <definedName name="Страх_межд">Параметры!$B$32</definedName>
    <definedName name="Сут_межд">Параметры!$B$29</definedName>
    <definedName name="Сут_РК">Параметры!$B$19</definedName>
    <definedName name="Трансп_РК">Параметры!$B$22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3" i="1" l="1"/>
  <c r="D62" i="1"/>
  <c r="D61" i="1"/>
  <c r="D60" i="1"/>
  <c r="D59" i="1"/>
  <c r="D58" i="1"/>
  <c r="D57" i="1"/>
  <c r="D56" i="1"/>
  <c r="D55" i="1"/>
  <c r="D54" i="1"/>
  <c r="D51" i="1"/>
  <c r="D50" i="1"/>
  <c r="D49" i="1"/>
  <c r="D48" i="1"/>
  <c r="E28" i="5"/>
  <c r="I28" i="5" s="1"/>
  <c r="J28" i="5"/>
  <c r="B48" i="2"/>
  <c r="E11" i="9" l="1"/>
  <c r="J10" i="9"/>
  <c r="F10" i="9"/>
  <c r="G10" i="9" s="1"/>
  <c r="J9" i="9"/>
  <c r="F9" i="9"/>
  <c r="G9" i="9" s="1"/>
  <c r="J8" i="9"/>
  <c r="F8" i="9"/>
  <c r="G8" i="9" s="1"/>
  <c r="J7" i="9"/>
  <c r="F7" i="9"/>
  <c r="G7" i="9" s="1"/>
  <c r="J6" i="9"/>
  <c r="F6" i="9"/>
  <c r="G6" i="9" s="1"/>
  <c r="J5" i="9"/>
  <c r="F5" i="9"/>
  <c r="G5" i="9" s="1"/>
  <c r="J4" i="9"/>
  <c r="F4" i="9"/>
  <c r="F11" i="9" l="1"/>
  <c r="L10" i="9"/>
  <c r="L6" i="9"/>
  <c r="L8" i="9"/>
  <c r="L5" i="9"/>
  <c r="L7" i="9"/>
  <c r="L9" i="9"/>
  <c r="G4" i="9"/>
  <c r="H16" i="8"/>
  <c r="C19" i="1" s="1"/>
  <c r="G16" i="8"/>
  <c r="B19" i="1" l="1"/>
  <c r="G18" i="8"/>
  <c r="G11" i="9"/>
  <c r="L4" i="9"/>
  <c r="L11" i="9" s="1"/>
  <c r="C9" i="1" s="1"/>
  <c r="C15" i="4"/>
  <c r="C14" i="4"/>
  <c r="C13" i="4"/>
  <c r="C12" i="4"/>
  <c r="C11" i="4"/>
  <c r="C10" i="4"/>
  <c r="A10" i="4"/>
  <c r="C9" i="4"/>
  <c r="A9" i="4"/>
  <c r="C8" i="4"/>
  <c r="A8" i="4"/>
  <c r="C7" i="4"/>
  <c r="A7" i="4"/>
  <c r="C6" i="4"/>
  <c r="A6" i="4"/>
  <c r="C5" i="4"/>
  <c r="A5" i="4"/>
  <c r="H44" i="3" l="1"/>
  <c r="G44" i="3"/>
  <c r="H43" i="3"/>
  <c r="G43" i="3"/>
  <c r="C27" i="1" l="1"/>
  <c r="E27" i="5" l="1"/>
  <c r="I27" i="5" s="1"/>
  <c r="E26" i="5"/>
  <c r="I26" i="5" s="1"/>
  <c r="J27" i="5"/>
  <c r="J26" i="5"/>
  <c r="E24" i="5"/>
  <c r="E30" i="5" l="1"/>
  <c r="I30" i="5" s="1"/>
  <c r="J30" i="5"/>
  <c r="E25" i="5" l="1"/>
  <c r="I25" i="5" s="1"/>
  <c r="I24" i="5"/>
  <c r="J25" i="5"/>
  <c r="J24" i="5"/>
  <c r="B39" i="1" l="1"/>
  <c r="M27" i="3" l="1"/>
  <c r="J27" i="3"/>
  <c r="S27" i="3" l="1"/>
  <c r="H14" i="4"/>
  <c r="Q27" i="3"/>
  <c r="K27" i="3"/>
  <c r="S32" i="3"/>
  <c r="R32" i="3"/>
  <c r="M32" i="3"/>
  <c r="J32" i="3"/>
  <c r="Q32" i="3" s="1"/>
  <c r="M18" i="3"/>
  <c r="S18" i="3" s="1"/>
  <c r="J18" i="3"/>
  <c r="M17" i="3"/>
  <c r="S17" i="3" s="1"/>
  <c r="J17" i="3"/>
  <c r="Q17" i="3" l="1"/>
  <c r="O27" i="3"/>
  <c r="U27" i="3" s="1"/>
  <c r="Q18" i="3"/>
  <c r="K32" i="3"/>
  <c r="K17" i="3"/>
  <c r="K18" i="3"/>
  <c r="M26" i="3"/>
  <c r="S26" i="3" s="1"/>
  <c r="L26" i="3"/>
  <c r="J26" i="3"/>
  <c r="M25" i="3"/>
  <c r="S25" i="3" s="1"/>
  <c r="J25" i="3"/>
  <c r="K25" i="3" s="1"/>
  <c r="M11" i="3"/>
  <c r="S11" i="3" s="1"/>
  <c r="L11" i="3"/>
  <c r="J11" i="3"/>
  <c r="Q11" i="3" l="1"/>
  <c r="R11" i="3"/>
  <c r="P11" i="3"/>
  <c r="R26" i="3"/>
  <c r="P26" i="3"/>
  <c r="Q26" i="3"/>
  <c r="O32" i="3"/>
  <c r="U32" i="3" s="1"/>
  <c r="O18" i="3"/>
  <c r="U18" i="3" s="1"/>
  <c r="O17" i="3"/>
  <c r="U17" i="3" s="1"/>
  <c r="O25" i="3"/>
  <c r="Q25" i="3"/>
  <c r="K26" i="3"/>
  <c r="K11" i="3"/>
  <c r="O26" i="3" l="1"/>
  <c r="U26" i="3" s="1"/>
  <c r="N26" i="3"/>
  <c r="T26" i="3" s="1"/>
  <c r="U25" i="3"/>
  <c r="N11" i="3"/>
  <c r="T11" i="3" s="1"/>
  <c r="O11" i="3"/>
  <c r="U11" i="3" s="1"/>
  <c r="L7" i="3"/>
  <c r="G7" i="4" s="1"/>
  <c r="L6" i="3"/>
  <c r="G6" i="4" s="1"/>
  <c r="L5" i="3"/>
  <c r="G5" i="4" s="1"/>
  <c r="B55" i="2" l="1"/>
  <c r="B58" i="2" s="1"/>
  <c r="I9" i="9" l="1"/>
  <c r="K9" i="9" s="1"/>
  <c r="I7" i="9"/>
  <c r="K7" i="9" s="1"/>
  <c r="I5" i="9"/>
  <c r="K5" i="9" s="1"/>
  <c r="I4" i="9"/>
  <c r="K4" i="9" s="1"/>
  <c r="I10" i="9"/>
  <c r="K10" i="9" s="1"/>
  <c r="I8" i="9"/>
  <c r="K8" i="9" s="1"/>
  <c r="I6" i="9"/>
  <c r="K6" i="9" s="1"/>
  <c r="L27" i="3"/>
  <c r="G14" i="4" s="1"/>
  <c r="L8" i="3"/>
  <c r="G10" i="4" s="1"/>
  <c r="L32" i="3"/>
  <c r="P32" i="3" s="1"/>
  <c r="L18" i="3"/>
  <c r="P18" i="3" s="1"/>
  <c r="L17" i="3"/>
  <c r="P17" i="3" s="1"/>
  <c r="L25" i="3"/>
  <c r="P25" i="3" s="1"/>
  <c r="L41" i="3"/>
  <c r="P41" i="3" s="1"/>
  <c r="L37" i="3"/>
  <c r="G8" i="4" s="1"/>
  <c r="L33" i="3"/>
  <c r="P33" i="3" s="1"/>
  <c r="L28" i="3"/>
  <c r="P28" i="3" s="1"/>
  <c r="L21" i="3"/>
  <c r="L19" i="3"/>
  <c r="G12" i="4" s="1"/>
  <c r="L13" i="3"/>
  <c r="L40" i="3"/>
  <c r="P40" i="3" s="1"/>
  <c r="L36" i="3"/>
  <c r="L31" i="3"/>
  <c r="L24" i="3"/>
  <c r="L20" i="3"/>
  <c r="P20" i="3" s="1"/>
  <c r="L16" i="3"/>
  <c r="G13" i="4" s="1"/>
  <c r="L12" i="3"/>
  <c r="L39" i="3"/>
  <c r="G9" i="4" s="1"/>
  <c r="L35" i="3"/>
  <c r="L30" i="3"/>
  <c r="L23" i="3"/>
  <c r="L15" i="3"/>
  <c r="L10" i="3"/>
  <c r="G11" i="4" s="1"/>
  <c r="L38" i="3"/>
  <c r="L34" i="3"/>
  <c r="L29" i="3"/>
  <c r="G15" i="4" s="1"/>
  <c r="L22" i="3"/>
  <c r="L14" i="3"/>
  <c r="L9" i="3"/>
  <c r="E23" i="5"/>
  <c r="I23" i="5" s="1"/>
  <c r="E22" i="5"/>
  <c r="I22" i="5" s="1"/>
  <c r="E21" i="5"/>
  <c r="I21" i="5" s="1"/>
  <c r="E20" i="5"/>
  <c r="I20" i="5" s="1"/>
  <c r="J23" i="5"/>
  <c r="J22" i="5"/>
  <c r="J21" i="5"/>
  <c r="J20" i="5"/>
  <c r="K11" i="9" l="1"/>
  <c r="B9" i="1" s="1"/>
  <c r="R27" i="3"/>
  <c r="P27" i="3"/>
  <c r="N27" i="3"/>
  <c r="R18" i="3"/>
  <c r="N18" i="3"/>
  <c r="R17" i="3"/>
  <c r="N17" i="3"/>
  <c r="N32" i="3"/>
  <c r="R25" i="3"/>
  <c r="N25" i="3"/>
  <c r="B43" i="1"/>
  <c r="E14" i="5"/>
  <c r="B41" i="1" s="1"/>
  <c r="J13" i="5"/>
  <c r="I13" i="5"/>
  <c r="B40" i="1" s="1"/>
  <c r="T27" i="3" l="1"/>
  <c r="T18" i="3"/>
  <c r="T32" i="3"/>
  <c r="T17" i="3"/>
  <c r="T25" i="3"/>
  <c r="J14" i="5"/>
  <c r="B34" i="2"/>
  <c r="B37" i="1" s="1"/>
  <c r="B38" i="1" l="1"/>
  <c r="I14" i="5"/>
  <c r="B7" i="1"/>
  <c r="C7" i="1" s="1"/>
  <c r="M41" i="3" l="1"/>
  <c r="S41" i="3" s="1"/>
  <c r="R41" i="3"/>
  <c r="J41" i="3"/>
  <c r="Q41" i="3" s="1"/>
  <c r="M40" i="3"/>
  <c r="S40" i="3" s="1"/>
  <c r="R40" i="3"/>
  <c r="J40" i="3"/>
  <c r="M39" i="3"/>
  <c r="R39" i="3"/>
  <c r="J39" i="3"/>
  <c r="P39" i="3" s="1"/>
  <c r="M38" i="3"/>
  <c r="S38" i="3" s="1"/>
  <c r="R38" i="3"/>
  <c r="J38" i="3"/>
  <c r="P38" i="3" s="1"/>
  <c r="M37" i="3"/>
  <c r="R37" i="3"/>
  <c r="J37" i="3"/>
  <c r="P37" i="3" s="1"/>
  <c r="M36" i="3"/>
  <c r="S36" i="3" s="1"/>
  <c r="R36" i="3"/>
  <c r="J36" i="3"/>
  <c r="P36" i="3" s="1"/>
  <c r="M35" i="3"/>
  <c r="J35" i="3"/>
  <c r="P35" i="3" s="1"/>
  <c r="S39" i="3" l="1"/>
  <c r="H9" i="4"/>
  <c r="S37" i="3"/>
  <c r="H8" i="4"/>
  <c r="Q36" i="3"/>
  <c r="Q40" i="3"/>
  <c r="Q35" i="3"/>
  <c r="Q39" i="3"/>
  <c r="R35" i="3"/>
  <c r="S35" i="3"/>
  <c r="Q38" i="3"/>
  <c r="Q37" i="3"/>
  <c r="K35" i="3"/>
  <c r="K36" i="3"/>
  <c r="K37" i="3"/>
  <c r="K38" i="3"/>
  <c r="K39" i="3"/>
  <c r="K40" i="3"/>
  <c r="K41" i="3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J19" i="5"/>
  <c r="I19" i="5"/>
  <c r="J18" i="5"/>
  <c r="I18" i="5"/>
  <c r="J17" i="5"/>
  <c r="I17" i="5"/>
  <c r="B54" i="2"/>
  <c r="B36" i="1" s="1"/>
  <c r="F22" i="7" l="1"/>
  <c r="B42" i="1" s="1"/>
  <c r="O38" i="3"/>
  <c r="U38" i="3" s="1"/>
  <c r="N38" i="3"/>
  <c r="T38" i="3" s="1"/>
  <c r="N37" i="3"/>
  <c r="T37" i="3" s="1"/>
  <c r="O37" i="3"/>
  <c r="U37" i="3" s="1"/>
  <c r="O41" i="3"/>
  <c r="U41" i="3" s="1"/>
  <c r="N41" i="3"/>
  <c r="T41" i="3" s="1"/>
  <c r="O40" i="3"/>
  <c r="U40" i="3" s="1"/>
  <c r="N40" i="3"/>
  <c r="T40" i="3" s="1"/>
  <c r="N36" i="3"/>
  <c r="T36" i="3" s="1"/>
  <c r="O36" i="3"/>
  <c r="U36" i="3" s="1"/>
  <c r="N39" i="3"/>
  <c r="T39" i="3" s="1"/>
  <c r="O39" i="3"/>
  <c r="U39" i="3" s="1"/>
  <c r="O35" i="3"/>
  <c r="U35" i="3" s="1"/>
  <c r="N35" i="3"/>
  <c r="T35" i="3" s="1"/>
  <c r="B34" i="1"/>
  <c r="B53" i="2"/>
  <c r="B35" i="1" s="1"/>
  <c r="G32" i="6"/>
  <c r="G31" i="6"/>
  <c r="G30" i="6"/>
  <c r="G29" i="6"/>
  <c r="G25" i="6"/>
  <c r="G24" i="6"/>
  <c r="G23" i="6"/>
  <c r="G22" i="6"/>
  <c r="G21" i="6"/>
  <c r="G20" i="6"/>
  <c r="G16" i="6"/>
  <c r="G15" i="6"/>
  <c r="G14" i="6"/>
  <c r="G13" i="6"/>
  <c r="G12" i="6"/>
  <c r="G11" i="6"/>
  <c r="G10" i="6"/>
  <c r="G9" i="6"/>
  <c r="G8" i="6"/>
  <c r="G7" i="6"/>
  <c r="G6" i="6"/>
  <c r="J66" i="5"/>
  <c r="I66" i="5"/>
  <c r="J65" i="5"/>
  <c r="I65" i="5"/>
  <c r="J63" i="5"/>
  <c r="I63" i="5"/>
  <c r="J62" i="5"/>
  <c r="I62" i="5"/>
  <c r="J61" i="5"/>
  <c r="I61" i="5"/>
  <c r="J60" i="5"/>
  <c r="I60" i="5"/>
  <c r="J59" i="5"/>
  <c r="I59" i="5"/>
  <c r="J58" i="5"/>
  <c r="I58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C16" i="1" s="1"/>
  <c r="E40" i="5"/>
  <c r="I40" i="5" s="1"/>
  <c r="B16" i="1" s="1"/>
  <c r="E39" i="5"/>
  <c r="J38" i="5"/>
  <c r="I38" i="5"/>
  <c r="J37" i="5"/>
  <c r="I37" i="5"/>
  <c r="J36" i="5"/>
  <c r="I36" i="5"/>
  <c r="J35" i="5"/>
  <c r="I35" i="5"/>
  <c r="J34" i="5"/>
  <c r="J33" i="5"/>
  <c r="I33" i="5"/>
  <c r="J32" i="5"/>
  <c r="I32" i="5"/>
  <c r="J31" i="5"/>
  <c r="I31" i="5"/>
  <c r="J29" i="5"/>
  <c r="I29" i="5"/>
  <c r="J16" i="5"/>
  <c r="I16" i="5"/>
  <c r="J15" i="5"/>
  <c r="I15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H42" i="3"/>
  <c r="G42" i="3"/>
  <c r="M34" i="3"/>
  <c r="J34" i="3"/>
  <c r="P34" i="3" s="1"/>
  <c r="M33" i="3"/>
  <c r="S33" i="3" s="1"/>
  <c r="R33" i="3"/>
  <c r="J33" i="3"/>
  <c r="M31" i="3"/>
  <c r="J31" i="3"/>
  <c r="P31" i="3" s="1"/>
  <c r="M30" i="3"/>
  <c r="S30" i="3" s="1"/>
  <c r="R30" i="3"/>
  <c r="J30" i="3"/>
  <c r="P30" i="3" s="1"/>
  <c r="M29" i="3"/>
  <c r="H15" i="4" s="1"/>
  <c r="J29" i="3"/>
  <c r="P29" i="3" s="1"/>
  <c r="M28" i="3"/>
  <c r="J28" i="3"/>
  <c r="M24" i="3"/>
  <c r="S24" i="3" s="1"/>
  <c r="R24" i="3"/>
  <c r="J24" i="3"/>
  <c r="P24" i="3" s="1"/>
  <c r="M23" i="3"/>
  <c r="J23" i="3"/>
  <c r="P23" i="3" s="1"/>
  <c r="M22" i="3"/>
  <c r="S22" i="3" s="1"/>
  <c r="R22" i="3"/>
  <c r="J22" i="3"/>
  <c r="P22" i="3" s="1"/>
  <c r="M21" i="3"/>
  <c r="J21" i="3"/>
  <c r="P21" i="3" s="1"/>
  <c r="M20" i="3"/>
  <c r="J20" i="3"/>
  <c r="M19" i="3"/>
  <c r="H12" i="4" s="1"/>
  <c r="J19" i="3"/>
  <c r="P19" i="3" s="1"/>
  <c r="M16" i="3"/>
  <c r="R16" i="3"/>
  <c r="J16" i="3"/>
  <c r="P16" i="3" s="1"/>
  <c r="M15" i="3"/>
  <c r="J15" i="3"/>
  <c r="P15" i="3" s="1"/>
  <c r="M14" i="3"/>
  <c r="S14" i="3" s="1"/>
  <c r="R14" i="3"/>
  <c r="J14" i="3"/>
  <c r="P14" i="3" s="1"/>
  <c r="M13" i="3"/>
  <c r="J13" i="3"/>
  <c r="P13" i="3" s="1"/>
  <c r="M12" i="3"/>
  <c r="J12" i="3"/>
  <c r="P12" i="3" s="1"/>
  <c r="M10" i="3"/>
  <c r="H11" i="4" s="1"/>
  <c r="J10" i="3"/>
  <c r="P10" i="3" s="1"/>
  <c r="M9" i="3"/>
  <c r="J9" i="3"/>
  <c r="P9" i="3" s="1"/>
  <c r="M8" i="3"/>
  <c r="H10" i="4" s="1"/>
  <c r="J8" i="3"/>
  <c r="P8" i="3" s="1"/>
  <c r="M7" i="3"/>
  <c r="H7" i="4" s="1"/>
  <c r="J7" i="3"/>
  <c r="P7" i="3" s="1"/>
  <c r="M6" i="3"/>
  <c r="H6" i="4" s="1"/>
  <c r="J6" i="3"/>
  <c r="P6" i="3" s="1"/>
  <c r="M5" i="3"/>
  <c r="H5" i="4" s="1"/>
  <c r="J5" i="3"/>
  <c r="P5" i="3" s="1"/>
  <c r="B43" i="2"/>
  <c r="B44" i="2" s="1"/>
  <c r="B33" i="2"/>
  <c r="B26" i="2"/>
  <c r="B25" i="2"/>
  <c r="B6" i="1"/>
  <c r="B5" i="1"/>
  <c r="C5" i="1" s="1"/>
  <c r="S16" i="3" l="1"/>
  <c r="H13" i="4"/>
  <c r="B17" i="1"/>
  <c r="B18" i="1"/>
  <c r="F23" i="7"/>
  <c r="F24" i="7"/>
  <c r="C20" i="1"/>
  <c r="D20" i="1" s="1"/>
  <c r="D19" i="1"/>
  <c r="C17" i="1"/>
  <c r="D17" i="1" s="1"/>
  <c r="C18" i="1"/>
  <c r="D18" i="1" s="1"/>
  <c r="B20" i="1"/>
  <c r="C13" i="1"/>
  <c r="J39" i="5"/>
  <c r="I39" i="5"/>
  <c r="E47" i="5"/>
  <c r="I47" i="5" s="1"/>
  <c r="S5" i="3"/>
  <c r="R8" i="3"/>
  <c r="I8" i="4"/>
  <c r="S29" i="3"/>
  <c r="S34" i="3"/>
  <c r="S8" i="3"/>
  <c r="R12" i="3"/>
  <c r="I10" i="4"/>
  <c r="R20" i="3"/>
  <c r="I12" i="4"/>
  <c r="R5" i="3"/>
  <c r="I5" i="4"/>
  <c r="S6" i="3"/>
  <c r="R29" i="3"/>
  <c r="I13" i="4"/>
  <c r="R34" i="3"/>
  <c r="I15" i="4"/>
  <c r="R6" i="3"/>
  <c r="I6" i="4"/>
  <c r="R10" i="3"/>
  <c r="I9" i="4"/>
  <c r="S12" i="3"/>
  <c r="S20" i="3"/>
  <c r="S10" i="3"/>
  <c r="G33" i="6"/>
  <c r="J25" i="4"/>
  <c r="I18" i="4"/>
  <c r="I20" i="4"/>
  <c r="I14" i="4"/>
  <c r="I16" i="4"/>
  <c r="G17" i="6"/>
  <c r="G26" i="6"/>
  <c r="I22" i="4"/>
  <c r="B45" i="2"/>
  <c r="J7" i="4" s="1"/>
  <c r="I24" i="4"/>
  <c r="I25" i="4"/>
  <c r="K13" i="3"/>
  <c r="Q13" i="3"/>
  <c r="K22" i="3"/>
  <c r="Q22" i="3"/>
  <c r="K28" i="3"/>
  <c r="Q28" i="3"/>
  <c r="Q19" i="3"/>
  <c r="K19" i="3"/>
  <c r="K23" i="3"/>
  <c r="Q23" i="3"/>
  <c r="K6" i="3"/>
  <c r="Q6" i="3"/>
  <c r="Q10" i="3"/>
  <c r="K10" i="3"/>
  <c r="Q20" i="3"/>
  <c r="K20" i="3"/>
  <c r="Q29" i="3"/>
  <c r="K29" i="3"/>
  <c r="K9" i="3"/>
  <c r="Q9" i="3"/>
  <c r="K16" i="3"/>
  <c r="Q16" i="3"/>
  <c r="K31" i="3"/>
  <c r="Q31" i="3"/>
  <c r="Q7" i="3"/>
  <c r="K7" i="3"/>
  <c r="Q14" i="3"/>
  <c r="K14" i="3"/>
  <c r="K33" i="3"/>
  <c r="Q33" i="3"/>
  <c r="Q5" i="3"/>
  <c r="K5" i="3"/>
  <c r="Q8" i="3"/>
  <c r="K8" i="3"/>
  <c r="Q12" i="3"/>
  <c r="K12" i="3"/>
  <c r="Q15" i="3"/>
  <c r="K15" i="3"/>
  <c r="Q21" i="3"/>
  <c r="K21" i="3"/>
  <c r="Q24" i="3"/>
  <c r="K24" i="3"/>
  <c r="Q30" i="3"/>
  <c r="K30" i="3"/>
  <c r="Q34" i="3"/>
  <c r="K34" i="3"/>
  <c r="I7" i="4"/>
  <c r="I11" i="4"/>
  <c r="I19" i="4"/>
  <c r="I21" i="4"/>
  <c r="I23" i="4"/>
  <c r="I17" i="4"/>
  <c r="R7" i="3"/>
  <c r="R9" i="3"/>
  <c r="R13" i="3"/>
  <c r="R15" i="3"/>
  <c r="R19" i="3"/>
  <c r="R21" i="3"/>
  <c r="R23" i="3"/>
  <c r="R28" i="3"/>
  <c r="R31" i="3"/>
  <c r="S7" i="3"/>
  <c r="S9" i="3"/>
  <c r="S13" i="3"/>
  <c r="S15" i="3"/>
  <c r="S19" i="3"/>
  <c r="S21" i="3"/>
  <c r="S23" i="3"/>
  <c r="S28" i="3"/>
  <c r="S31" i="3"/>
  <c r="O7" i="3" l="1"/>
  <c r="U7" i="3" s="1"/>
  <c r="N7" i="3"/>
  <c r="N6" i="3"/>
  <c r="T6" i="3" s="1"/>
  <c r="O6" i="3"/>
  <c r="U6" i="3" s="1"/>
  <c r="J21" i="4"/>
  <c r="J5" i="4"/>
  <c r="J11" i="4"/>
  <c r="J20" i="4"/>
  <c r="J47" i="5"/>
  <c r="B14" i="1"/>
  <c r="J19" i="4"/>
  <c r="J13" i="4"/>
  <c r="C15" i="1"/>
  <c r="D15" i="1" s="1"/>
  <c r="C14" i="1"/>
  <c r="D14" i="1" s="1"/>
  <c r="J17" i="4"/>
  <c r="J9" i="4"/>
  <c r="J23" i="4"/>
  <c r="J15" i="4"/>
  <c r="J6" i="4"/>
  <c r="B15" i="1"/>
  <c r="J24" i="4"/>
  <c r="R42" i="3"/>
  <c r="B11" i="1" s="1"/>
  <c r="S42" i="3"/>
  <c r="C11" i="1" s="1"/>
  <c r="D11" i="1" s="1"/>
  <c r="J22" i="4"/>
  <c r="J18" i="4"/>
  <c r="J8" i="4"/>
  <c r="J16" i="4"/>
  <c r="G35" i="6"/>
  <c r="E34" i="5" s="1"/>
  <c r="I34" i="5" s="1"/>
  <c r="B13" i="1" s="1"/>
  <c r="Q42" i="3"/>
  <c r="C10" i="1" s="1"/>
  <c r="D10" i="1" s="1"/>
  <c r="J10" i="4"/>
  <c r="J12" i="4"/>
  <c r="J14" i="4"/>
  <c r="O21" i="3"/>
  <c r="U21" i="3" s="1"/>
  <c r="N21" i="3"/>
  <c r="T21" i="3" s="1"/>
  <c r="O20" i="3"/>
  <c r="U20" i="3" s="1"/>
  <c r="N20" i="3"/>
  <c r="T20" i="3" s="1"/>
  <c r="O31" i="3"/>
  <c r="U31" i="3" s="1"/>
  <c r="N31" i="3"/>
  <c r="T31" i="3" s="1"/>
  <c r="O15" i="3"/>
  <c r="U15" i="3" s="1"/>
  <c r="N15" i="3"/>
  <c r="T15" i="3" s="1"/>
  <c r="I26" i="4"/>
  <c r="B12" i="1" s="1"/>
  <c r="O34" i="3"/>
  <c r="U34" i="3" s="1"/>
  <c r="N34" i="3"/>
  <c r="T34" i="3" s="1"/>
  <c r="O12" i="3"/>
  <c r="U12" i="3" s="1"/>
  <c r="N12" i="3"/>
  <c r="T12" i="3" s="1"/>
  <c r="T7" i="3"/>
  <c r="O9" i="3"/>
  <c r="U9" i="3" s="1"/>
  <c r="N9" i="3"/>
  <c r="T9" i="3" s="1"/>
  <c r="O28" i="3"/>
  <c r="U28" i="3" s="1"/>
  <c r="N28" i="3"/>
  <c r="T28" i="3" s="1"/>
  <c r="O33" i="3"/>
  <c r="U33" i="3" s="1"/>
  <c r="N33" i="3"/>
  <c r="T33" i="3" s="1"/>
  <c r="O14" i="3"/>
  <c r="U14" i="3" s="1"/>
  <c r="N14" i="3"/>
  <c r="T14" i="3" s="1"/>
  <c r="O16" i="3"/>
  <c r="U16" i="3" s="1"/>
  <c r="N16" i="3"/>
  <c r="O19" i="3"/>
  <c r="U19" i="3" s="1"/>
  <c r="N19" i="3"/>
  <c r="T19" i="3" s="1"/>
  <c r="O10" i="3"/>
  <c r="U10" i="3" s="1"/>
  <c r="N10" i="3"/>
  <c r="T10" i="3" s="1"/>
  <c r="P42" i="3"/>
  <c r="B10" i="1" s="1"/>
  <c r="O30" i="3"/>
  <c r="U30" i="3" s="1"/>
  <c r="N30" i="3"/>
  <c r="T30" i="3" s="1"/>
  <c r="O8" i="3"/>
  <c r="U8" i="3" s="1"/>
  <c r="N8" i="3"/>
  <c r="T8" i="3" s="1"/>
  <c r="O29" i="3"/>
  <c r="U29" i="3" s="1"/>
  <c r="N29" i="3"/>
  <c r="T29" i="3" s="1"/>
  <c r="O22" i="3"/>
  <c r="U22" i="3" s="1"/>
  <c r="N22" i="3"/>
  <c r="T22" i="3" s="1"/>
  <c r="O24" i="3"/>
  <c r="U24" i="3" s="1"/>
  <c r="N24" i="3"/>
  <c r="T24" i="3" s="1"/>
  <c r="O5" i="3"/>
  <c r="K42" i="3"/>
  <c r="N5" i="3"/>
  <c r="O23" i="3"/>
  <c r="U23" i="3" s="1"/>
  <c r="N23" i="3"/>
  <c r="T23" i="3" s="1"/>
  <c r="O13" i="3"/>
  <c r="U13" i="3" s="1"/>
  <c r="N13" i="3"/>
  <c r="T13" i="3" s="1"/>
  <c r="T16" i="3" l="1"/>
  <c r="N42" i="3"/>
  <c r="D9" i="1"/>
  <c r="J26" i="4"/>
  <c r="C12" i="1" s="1"/>
  <c r="D12" i="1" s="1"/>
  <c r="C8" i="1"/>
  <c r="O42" i="3"/>
  <c r="U5" i="3"/>
  <c r="U42" i="3" s="1"/>
  <c r="T5" i="3"/>
  <c r="T42" i="3" s="1"/>
  <c r="B8" i="1"/>
  <c r="B21" i="1" l="1"/>
  <c r="B22" i="1" s="1"/>
  <c r="B23" i="1" s="1"/>
  <c r="B24" i="1" s="1"/>
  <c r="C21" i="1"/>
  <c r="D8" i="1"/>
  <c r="B25" i="1" l="1"/>
  <c r="C22" i="1"/>
  <c r="D22" i="1" s="1"/>
  <c r="D21" i="1"/>
  <c r="C23" i="1" l="1"/>
  <c r="C24" i="1" s="1"/>
  <c r="D24" i="1" l="1"/>
  <c r="D23" i="1"/>
  <c r="C25" i="1" l="1"/>
  <c r="D25" i="1" l="1"/>
  <c r="C26" i="1"/>
</calcChain>
</file>

<file path=xl/comments1.xml><?xml version="1.0" encoding="utf-8"?>
<comments xmlns="http://schemas.openxmlformats.org/spreadsheetml/2006/main">
  <authors>
    <author>Unknown Author</author>
  </authors>
  <commentList>
    <comment ref="B11" authorId="0" shapeId="0">
      <text>
        <r>
          <rPr>
            <sz val="10"/>
            <rFont val="Arial"/>
            <family val="2"/>
          </rPr>
          <t>Исправлено 12.09.2026: было 10 МЗП (устаревшее значение до 2026 г.). С 1 января 2026 года предел для исчисления отчислений работодателя на ОСМС увеличен до 40 МЗП (лимит по взносам работника/ВОСМС — 20 МЗП, это другая величина и здесь не используется).</t>
        </r>
      </text>
    </comment>
    <comment ref="B19" authorId="0" shapeId="0">
      <text>
        <r>
          <rPr>
            <sz val="10"/>
            <rFont val="Arial"/>
            <family val="2"/>
          </rPr>
          <t>Исправлено 12.09.2026: было 6 МРП. Суточные в размере 2 МРП/день — прямая норма п.3 Правил возмещения командировочных расходов (пост. Правительства РК №256 от 11.05.2018 в ред. пост. №934 от 29.12.2018). 6 МРП — это лимит, при котором суточные НЕ облагаются ИПН (ст.319 НК РК), это другая величина.</t>
        </r>
      </text>
    </comment>
    <comment ref="B36" authorId="0" shapeId="0">
      <text>
        <r>
          <rPr>
            <sz val="10"/>
            <rFont val="Arial"/>
            <family val="2"/>
          </rPr>
          <t>Изменено 12.09.2026 по запросу: было 5%, стало 10% от ПРЯМЫХ ЗАТРАТ.</t>
        </r>
      </text>
    </comment>
  </commentList>
</comments>
</file>

<file path=xl/sharedStrings.xml><?xml version="1.0" encoding="utf-8"?>
<sst xmlns="http://schemas.openxmlformats.org/spreadsheetml/2006/main" count="965" uniqueCount="567">
  <si>
    <t>Бюджет проектного офиса «Таза Қазақстан» (ЦАКФ) на октябрь–декабрь 2026 и 2027 год — СВОД, ₸</t>
  </si>
  <si>
    <t>Статья</t>
  </si>
  <si>
    <t>Октябрь–декабрь 2026</t>
  </si>
  <si>
    <t>В среднем в месяц 2027</t>
  </si>
  <si>
    <t>Штатная численность, чел.</t>
  </si>
  <si>
    <t xml:space="preserve">  из них нанять (новые позиции), чел.</t>
  </si>
  <si>
    <t>4. ДМС и ОСНС штатных сотрудников</t>
  </si>
  <si>
    <t>5. Командировки (по РК, по макрорегионам, зарубежные)</t>
  </si>
  <si>
    <t>7. Офис: аренда, депозит, ремонт, хозрасходы, курьер, связь, уборка</t>
  </si>
  <si>
    <t>11. Прочие: найм, обучение, перевод, аудит, юруслуги, страхование</t>
  </si>
  <si>
    <t>ПРЯМЫЕ ЗАТРАТЫ</t>
  </si>
  <si>
    <t>ИТОГО без НДС</t>
  </si>
  <si>
    <t>НДС 16% (если финансирование — по договору услуг)</t>
  </si>
  <si>
    <t>ИТОГО с НДС</t>
  </si>
  <si>
    <t>Источники финансирования:</t>
  </si>
  <si>
    <t>1. Спонсоры ЦАКФ.</t>
  </si>
  <si>
    <t>2. Транши от АО «Жасыл Даму».</t>
  </si>
  <si>
    <t>3. Спонсоры проводимых мероприятий.</t>
  </si>
  <si>
    <t>Параметры расчёта (меняйте значения в колонке B — всё пересчитается)</t>
  </si>
  <si>
    <t>Имя</t>
  </si>
  <si>
    <t>Значение</t>
  </si>
  <si>
    <t>Пояснение</t>
  </si>
  <si>
    <t>МЗП</t>
  </si>
  <si>
    <t>МЗП 2026, ₸</t>
  </si>
  <si>
    <t>МРП</t>
  </si>
  <si>
    <t>МРП 2026, ₸</t>
  </si>
  <si>
    <t>Ставка_СН</t>
  </si>
  <si>
    <t>Социальный налог — 6% (НК с 01.01.2026), база: оклад − ОПВ 10% − ВОСМС 2%</t>
  </si>
  <si>
    <t>Ставка_ОПВР</t>
  </si>
  <si>
    <t>Пенсионные взносы работодателя — 3,5% (2026)</t>
  </si>
  <si>
    <t>Ставка_СО</t>
  </si>
  <si>
    <t>Социальные отчисления — 5%, база до 7 МЗП</t>
  </si>
  <si>
    <t>Кап_СО</t>
  </si>
  <si>
    <t>Предел базы СО, в МЗП</t>
  </si>
  <si>
    <t>Ставка_ООСМС</t>
  </si>
  <si>
    <t>Отчисления на ОСМС работодателя — 3%</t>
  </si>
  <si>
    <t>Кап_ООСМС</t>
  </si>
  <si>
    <t>Предел базы ООСМС, в МЗП (с 01.01.2026 предел вырос с 10 до 40 МЗП — изм. в Закон РК "Об обязательном соц. мед. страховании"; было 10 МЗП — это предел до 2025 г.)</t>
  </si>
  <si>
    <t>Ставка_ОПВ</t>
  </si>
  <si>
    <t>ОПВ работника 10% — удерживается из оклада (для базы СН и СО)</t>
  </si>
  <si>
    <t>Ставка_ВОСМС</t>
  </si>
  <si>
    <t>ВОСМС работника 2% — удерживается из оклада</t>
  </si>
  <si>
    <t>Премия_НГ</t>
  </si>
  <si>
    <t>Премия_KPI</t>
  </si>
  <si>
    <t>ДМС</t>
  </si>
  <si>
    <t>ДМС на штатного сотрудника в год, ₸</t>
  </si>
  <si>
    <t>ОСНС</t>
  </si>
  <si>
    <t>ОСНС на штатного сотрудника в год, ₸</t>
  </si>
  <si>
    <t>Курс</t>
  </si>
  <si>
    <t>₸ за 1 $</t>
  </si>
  <si>
    <t>Сут_РК</t>
  </si>
  <si>
    <t>Суточные по РК, МРП в день (норма 2 МРП/день — п.3 Правил, утв. пост. Правительства РК от 11.05.2018 № 256, с изм. от 29.12.2018 № 934; было 6 МРП — это порог необлагаемости суточных по ст.319 НК РК, а не норма возмещения)</t>
  </si>
  <si>
    <t>Авиа_РК</t>
  </si>
  <si>
    <t>Авиабилет Астана — областной центр, туда-обратно, ₸</t>
  </si>
  <si>
    <t>Отель_РК</t>
  </si>
  <si>
    <t>Гостиница в регионе, ₸ за ночь</t>
  </si>
  <si>
    <t>Трансп_РК</t>
  </si>
  <si>
    <t>Местный транспорт в поездке, ₸</t>
  </si>
  <si>
    <t>Дней_РК</t>
  </si>
  <si>
    <t>Длительность типовой поездки по РК, дней</t>
  </si>
  <si>
    <t>Ночей_РК</t>
  </si>
  <si>
    <t>Ночей в типовой поездке</t>
  </si>
  <si>
    <t>Поездка_РК</t>
  </si>
  <si>
    <t>Одна поездка по РК на человека, ₸</t>
  </si>
  <si>
    <t>Поездка_местн</t>
  </si>
  <si>
    <t>Выезд регионального координатора внутри макрорегиона (1 день), ₸</t>
  </si>
  <si>
    <t>Авиа_межд</t>
  </si>
  <si>
    <t>Международный перелёт эконом, $</t>
  </si>
  <si>
    <t>Отель_межд</t>
  </si>
  <si>
    <t>Гостиница за рубежом, $ за ночь</t>
  </si>
  <si>
    <t>Сут_межд</t>
  </si>
  <si>
    <t>Суточные за рубежом, $ в день</t>
  </si>
  <si>
    <t>Дней_межд</t>
  </si>
  <si>
    <t>Длительность загранпоездки, дней</t>
  </si>
  <si>
    <t>Ночей_межд</t>
  </si>
  <si>
    <t>Ночей</t>
  </si>
  <si>
    <t>Страх_межд</t>
  </si>
  <si>
    <t>Страховка/виза, $</t>
  </si>
  <si>
    <t>Поездка_межд</t>
  </si>
  <si>
    <t>Одна загранпоездка на человека, ₸</t>
  </si>
  <si>
    <t>Аренда_мес</t>
  </si>
  <si>
    <t>Депозит_мес</t>
  </si>
  <si>
    <t>Резерв</t>
  </si>
  <si>
    <t>Резерв на непредвиденные расходы (10% — по требованию, было 5%)</t>
  </si>
  <si>
    <t>НДС</t>
  </si>
  <si>
    <t>НДС 16% — для аутсорса (ТОО — плательщик НДС) и справочно для договора услуг</t>
  </si>
  <si>
    <t>Периоды: октябрь–декабрь 2026 (3 мес.) и 2027 (12 мес.).</t>
  </si>
  <si>
    <t>Старт позиции/расхода: 1 = октябрь 2026, 2 = ноябрь, 3 = декабрь, 4 = январь 2027 … 15 = декабрь 2027.</t>
  </si>
  <si>
    <t>Индекс_МРП_2027</t>
  </si>
  <si>
    <t>Индексация МРП на 2027 год, +7% (по запросу)</t>
  </si>
  <si>
    <t>МРП_2027</t>
  </si>
  <si>
    <t>МРП на 2027 год с учётом индексации +7%, ₸ (4325*1.07)</t>
  </si>
  <si>
    <t>Поездка_РК_2027</t>
  </si>
  <si>
    <t>Поездка по РК на человека в 2027 году — суточные считаются от МРП_2027 (2 МРП х проиндексированный МРП), ₸</t>
  </si>
  <si>
    <t>Поездка_местн_2027</t>
  </si>
  <si>
    <t>Выезд по макрорегиону на человека в 2027 году — суточные от МРП_2027, ₸</t>
  </si>
  <si>
    <t>№</t>
  </si>
  <si>
    <t>Блок</t>
  </si>
  <si>
    <t>Должность</t>
  </si>
  <si>
    <t>Подчиняется</t>
  </si>
  <si>
    <t>Форма</t>
  </si>
  <si>
    <t>Статус</t>
  </si>
  <si>
    <t>Кол-во</t>
  </si>
  <si>
    <t>Оклад за ед., гросс в мес. (аутсорс — без НДС)</t>
  </si>
  <si>
    <t>Старт (1=окт-26, 4=янв-27)</t>
  </si>
  <si>
    <t>Отчисления работодателя / НДС на ед. в мес.</t>
  </si>
  <si>
    <t>Стоимость строки в мес.</t>
  </si>
  <si>
    <t>Мес. 2026</t>
  </si>
  <si>
    <t>Мес. 2027</t>
  </si>
  <si>
    <t>ФОТ+отчисл. окт–дек 2026</t>
  </si>
  <si>
    <t>ФОТ+отчисл. 2027</t>
  </si>
  <si>
    <t>ДМС+ОСНС 2026</t>
  </si>
  <si>
    <t>ДМС+ОСНС 2027</t>
  </si>
  <si>
    <t>Итого окт–дек 2026</t>
  </si>
  <si>
    <t>Итого 2027</t>
  </si>
  <si>
    <t>Ключевые функции</t>
  </si>
  <si>
    <t>—</t>
  </si>
  <si>
    <t>штат</t>
  </si>
  <si>
    <t>действующий</t>
  </si>
  <si>
    <t>ГИД</t>
  </si>
  <si>
    <t>новая</t>
  </si>
  <si>
    <t>Финансовый директор</t>
  </si>
  <si>
    <t>Бухгалтер</t>
  </si>
  <si>
    <t>Командировки, ₸</t>
  </si>
  <si>
    <t>Роль</t>
  </si>
  <si>
    <t>Строка «Штат»</t>
  </si>
  <si>
    <t>Кол-во чел.</t>
  </si>
  <si>
    <t>Поездок по РК в год на чел.</t>
  </si>
  <si>
    <t>Выездов по макрорегиону в мес. на чел.</t>
  </si>
  <si>
    <t>Загранпоездок в год на чел.</t>
  </si>
  <si>
    <t>Окт–дек 2026</t>
  </si>
  <si>
    <t>ИТОГО</t>
  </si>
  <si>
    <t>Оснащение, офис, цифровые инструменты, медиа и прочие расходы, ₸</t>
  </si>
  <si>
    <t>Тип: разово — в месяц старта; мес — ежемесячно с месяца старта; год — годовая сумма (в окт–дек 2026 — 3/12).</t>
  </si>
  <si>
    <t>Раздел</t>
  </si>
  <si>
    <t>Ед.</t>
  </si>
  <si>
    <t>Цена, ₸</t>
  </si>
  <si>
    <t>Тип</t>
  </si>
  <si>
    <t>Старт (1=окт-26)</t>
  </si>
  <si>
    <t>Примечание</t>
  </si>
  <si>
    <t>Оснащение</t>
  </si>
  <si>
    <t>Ноутбук стандартный (Core i5 / Ryzen 5, 16 ГБ, SSD 512 ГБ)</t>
  </si>
  <si>
    <t>шт.</t>
  </si>
  <si>
    <t>разово</t>
  </si>
  <si>
    <t>новые сотрудники (21) без 3 производительных; 4 действующих — со своей техникой</t>
  </si>
  <si>
    <t>Ноутбук производительный</t>
  </si>
  <si>
    <t>программист ИИ, разработчик веб-продуктов, старший аналитик</t>
  </si>
  <si>
    <t>Монитор 24" + клавиатура, мышь, гарнитура</t>
  </si>
  <si>
    <t>компл.</t>
  </si>
  <si>
    <t>новые сотрудники в офисе (рег. координаторы — удалённо)</t>
  </si>
  <si>
    <t>Рабочее место: стол, кресло, тумба</t>
  </si>
  <si>
    <t>место</t>
  </si>
  <si>
    <t>16 сотрудников в open space + 3 гостевых (продакшн-группа, координаторы в приезд)</t>
  </si>
  <si>
    <t>новый офис</t>
  </si>
  <si>
    <t>Переговорная: стол + 12 стульев</t>
  </si>
  <si>
    <t>Зона ресепшн (стойка, диван для посетителей)</t>
  </si>
  <si>
    <t>ТВ-панель 65" для переговорной</t>
  </si>
  <si>
    <t>Конференц-камера и спикерфон</t>
  </si>
  <si>
    <t>ВКС с акиматами и координаторами</t>
  </si>
  <si>
    <t>Сетевое оборудование и СКС (роутер, коммутатор, Wi-Fi, монтаж)</t>
  </si>
  <si>
    <t>Сетевой накопитель (NAS) с дисками — архив фото/видео и документов</t>
  </si>
  <si>
    <t>Фото- и видеооборудование (КП PSP Digital), аккумуляторы на год, доп. оборудование</t>
  </si>
  <si>
    <t>смета</t>
  </si>
  <si>
    <t>лист «Смета фото-видео»: КП 5 517 890 + аккумуляторы на год 970 000 + доп. оборудование 574 990</t>
  </si>
  <si>
    <t>Бытовая техника (кулер, холодильник, микроволновка, кофемашина)</t>
  </si>
  <si>
    <t>Лицензии 1С на дополнительные рабочие места</t>
  </si>
  <si>
    <t>Вывеска и брендирование офиса</t>
  </si>
  <si>
    <t>Пожарная безопасность и аптечки (огнетушители, знаки, аптечки)</t>
  </si>
  <si>
    <t>Офис</t>
  </si>
  <si>
    <t>Аренда офиса</t>
  </si>
  <si>
    <t>мес.</t>
  </si>
  <si>
    <t>мес</t>
  </si>
  <si>
    <t>депозит</t>
  </si>
  <si>
    <t>Косметический ремонт помещения при заезде (покраска, свет, розетки, перегородки)</t>
  </si>
  <si>
    <t>работы</t>
  </si>
  <si>
    <t>оценка; уточнить после осмотра помещения</t>
  </si>
  <si>
    <t>Текущий мелкий ремонт и хозяйственные расходы</t>
  </si>
  <si>
    <t>Курьерские и почтовые услуги (МЭПР, акиматы, партнёры)</t>
  </si>
  <si>
    <t>Интернет (выделенный канал)</t>
  </si>
  <si>
    <t>Корпоративная мобильная связь</t>
  </si>
  <si>
    <t>SIM</t>
  </si>
  <si>
    <t>на весь штат</t>
  </si>
  <si>
    <t>Обслуживание МФУ и расходники</t>
  </si>
  <si>
    <t>Уборка помещения (клининг)</t>
  </si>
  <si>
    <t>Такси и транспорт по городу</t>
  </si>
  <si>
    <t>Представительские расходы (встречи, кофе-брейки)</t>
  </si>
  <si>
    <t>Цифровые</t>
  </si>
  <si>
    <t>Microsoft 365 Business Standard (почта, Teams, OneDrive)</t>
  </si>
  <si>
    <t>польз.</t>
  </si>
  <si>
    <t>Power BI Pro (дашборды)</t>
  </si>
  <si>
    <t>Canva Teams / Adobe CC (дизайн)</t>
  </si>
  <si>
    <t>лиц.</t>
  </si>
  <si>
    <t>PR-менеджер, пресс-секретарь</t>
  </si>
  <si>
    <t>Zoom Pro (ВКС с регионами)</t>
  </si>
  <si>
    <t>Хостинг, домен, SSL, облачные серверы (сайт, хранилища)</t>
  </si>
  <si>
    <t>с января 2027 — после разработки сайта</t>
  </si>
  <si>
    <t>API ИИ-моделей и облачные вычисления (ИИ-продукты)</t>
  </si>
  <si>
    <t>с января 2027; ориентир</t>
  </si>
  <si>
    <t>Медиа</t>
  </si>
  <si>
    <t>Полиграфия и брендированная продукция</t>
  </si>
  <si>
    <t>год</t>
  </si>
  <si>
    <t>Фотобанк, музыка (подписки)</t>
  </si>
  <si>
    <t>Заказ видеороликов в удалённых регионах (местные студии)</t>
  </si>
  <si>
    <t>Прочие</t>
  </si>
  <si>
    <t>Подбор персонала (hh.kz: публикации, доступ к базе резюме)</t>
  </si>
  <si>
    <t>пакет</t>
  </si>
  <si>
    <t>найм 21 человека</t>
  </si>
  <si>
    <t>Обучение и повышение квалификации</t>
  </si>
  <si>
    <t>чел.</t>
  </si>
  <si>
    <t>Перевод материалов KZ/EN</t>
  </si>
  <si>
    <t>Аудит проекта (если требует источник финансирования)</t>
  </si>
  <si>
    <t>Юридические и нотариальные расходы</t>
  </si>
  <si>
    <t>Страхование оборудования (фото-видео, дрон, техника)</t>
  </si>
  <si>
    <t>Смета фото- и видеооборудования, ₸</t>
  </si>
  <si>
    <t>Раздел 1 — КП PSP Digital / Photo Plus от 12.09.2026; разделы 2–3 — ориентировочные цены, уточняются КП.</t>
  </si>
  <si>
    <t>Наименование</t>
  </si>
  <si>
    <t>Артикул</t>
  </si>
  <si>
    <t>Наличие / источник цены</t>
  </si>
  <si>
    <t>Сумма, ₸</t>
  </si>
  <si>
    <t>1. Оборудование по КП PSP Digital / Photo Plus</t>
  </si>
  <si>
    <t>Кинокамера Canon EOS C70 Cinema Camera</t>
  </si>
  <si>
    <t>Предзаказ</t>
  </si>
  <si>
    <t>Объектив Canon RF 24-105mm f/4L IS USM</t>
  </si>
  <si>
    <t>В наличии</t>
  </si>
  <si>
    <t>Объектив Canon EF 70-200mm f/2.8L IS III USM</t>
  </si>
  <si>
    <t>Нет в наличии</t>
  </si>
  <si>
    <t>Электронный стабилизатор DJI RS 4 Pro Combo</t>
  </si>
  <si>
    <t>Дрон DJI Mini 5 Pro Fly More Combo Plus (RC 2)</t>
  </si>
  <si>
    <t>Карта памяти Sony 128GB SF-G Tough UHS-II SDXC 299Mb/s</t>
  </si>
  <si>
    <t>DJI Mic 3 2-Person Compact Digital Wireless Microphone System</t>
  </si>
  <si>
    <t>Светодиодная панель Aputure MC Pro RGB LED Light Panel 8-Light Kit</t>
  </si>
  <si>
    <t>Монопод E-Image MA600+610FH</t>
  </si>
  <si>
    <t>Сумка для видеокамер E-Image OSCAR S50 (EB0925)</t>
  </si>
  <si>
    <t>Телесуфлёр FeelWorld Portable TP2A</t>
  </si>
  <si>
    <t>Итого раздел 1</t>
  </si>
  <si>
    <t>2. Аккумуляторы и элементы питания — на год</t>
  </si>
  <si>
    <t>Аккумулятор Canon BP-A30 для Canon EOS C70 — запасной</t>
  </si>
  <si>
    <t>ориентир</t>
  </si>
  <si>
    <t>Зарядное устройство Canon CG-A20 (на 2 аккумулятора)</t>
  </si>
  <si>
    <t>Батарейная рукоятка DJI RS BG70 для стабилизатора</t>
  </si>
  <si>
    <t>ориентир (DJI $149)</t>
  </si>
  <si>
    <t>Аккумулятор DJI Mini 5 Pro Intelligent Flight Battery Plus</t>
  </si>
  <si>
    <t>ориентир (DJI $145)</t>
  </si>
  <si>
    <t>Аккумуляторы Ni-MH AA/AAA (16 шт.) + зарядное</t>
  </si>
  <si>
    <t>Батарейки одноразовые (AA, AAA, CR2032) — 5 000 ₸ в месяц × 12</t>
  </si>
  <si>
    <t>Итого раздел 2</t>
  </si>
  <si>
    <t>3. Дополнительное оборудование</t>
  </si>
  <si>
    <t>Адаптер Canon Mount Adapter EF-EOS R (для объектива EF 70-200 на камере C70)</t>
  </si>
  <si>
    <t>Вторая карта памяти Sony 128GB SF-G Tough (второй слот C70)</t>
  </si>
  <si>
    <t>цена PSP</t>
  </si>
  <si>
    <t>Видеоштатив с видеоголовой</t>
  </si>
  <si>
    <t>Внешний SSD 2 ТБ для исходников</t>
  </si>
  <si>
    <t>Итого раздел 3</t>
  </si>
  <si>
    <t>ИТОГО смета (1 + 2 + 3)</t>
  </si>
  <si>
    <t>Площадь_офиса</t>
  </si>
  <si>
    <t>Ставка_аренды_м2</t>
  </si>
  <si>
    <t>Парковка_мест</t>
  </si>
  <si>
    <t>Парковка_цена</t>
  </si>
  <si>
    <t>Аренда_с_НДС</t>
  </si>
  <si>
    <t>Справочно: аренда с коммунальными и парковкой, ₸ в месяц с НДС 16%</t>
  </si>
  <si>
    <t>Аренда_депозит</t>
  </si>
  <si>
    <t>Справочно: гарантийный депозит (возвратный), ₸</t>
  </si>
  <si>
    <t>МФУ цветное А3 (класс Kyocera TASKalfa 2554ci) с Wi-Fi, тумбой, доставкой и установкой</t>
  </si>
  <si>
    <t>печать/копия/скан А3; сетевой и Wi-Fi модуль — обязательно; уточнить КП</t>
  </si>
  <si>
    <t>Стартовый комплект тонеров CMYK для МФУ А3</t>
  </si>
  <si>
    <t>МФУ А4 чёрно-белое с Wi-Fi, дуплексом и автоподатчиком (класс HP LaserJet Pro MFP 4103fdw / Kyocera ECOSYS MA4000fx)</t>
  </si>
  <si>
    <t>Резервные картриджи для МФУ А4 (по 2 на аппарат)</t>
  </si>
  <si>
    <t>ресурс ≈3 000 страниц; запас на первый год</t>
  </si>
  <si>
    <t>Резервный комплект тонеров CMYK для МФУ А3</t>
  </si>
  <si>
    <t>второй комплект вслед за стартовым</t>
  </si>
  <si>
    <t>Канцелярия, бумага и хозяйственные товары — расчёт в месяц, ₸</t>
  </si>
  <si>
    <t>Офис 310,9 м², 20 сотрудников в офисе (25 в штате − 5 региональных координаторов). Итог переносится в лист «Оснащение и офис» (раздел «Офис»).</t>
  </si>
  <si>
    <t>Группа</t>
  </si>
  <si>
    <t>Позиция</t>
  </si>
  <si>
    <t>Кол-во в месяц</t>
  </si>
  <si>
    <t>Сумма в месяц, ₸</t>
  </si>
  <si>
    <t>Бумага и печать</t>
  </si>
  <si>
    <t>Бумага А4, 80 г/м² (пачка 500 л.)</t>
  </si>
  <si>
    <t>пачка</t>
  </si>
  <si>
    <t>Бумага А3 (пачка 500 л.)</t>
  </si>
  <si>
    <t>схемы, плакаты, раздаточные материалы</t>
  </si>
  <si>
    <t>Бумага для флипчарта (блок)</t>
  </si>
  <si>
    <t>блок</t>
  </si>
  <si>
    <t>совещания, семинары</t>
  </si>
  <si>
    <t>Плотная бумага и обложки для брошюровки</t>
  </si>
  <si>
    <t>отчёты, методические материалы</t>
  </si>
  <si>
    <t>Канцелярия</t>
  </si>
  <si>
    <t>Ручки, карандаши, маркеры, текстовыделители</t>
  </si>
  <si>
    <t>на сотрудника в офисе</t>
  </si>
  <si>
    <t>Блокноты, стикеры, закладки</t>
  </si>
  <si>
    <t>Папки-регистраторы, скоросшиватели, файлы А4</t>
  </si>
  <si>
    <t>делопроизводство, договоры, кадры</t>
  </si>
  <si>
    <t>Конверты, почтовые пакеты, бумага для заметок</t>
  </si>
  <si>
    <t>переписка с МЭПР и акиматами</t>
  </si>
  <si>
    <t>Скобы, скрепки, клей, ножницы, ножи, линейки</t>
  </si>
  <si>
    <t>пополнение</t>
  </si>
  <si>
    <t>Степлеры, дыроколы, лотки, органайзеры (пополнение)</t>
  </si>
  <si>
    <t>Архивные короба и файлы для архива</t>
  </si>
  <si>
    <t>хранение документов проекта</t>
  </si>
  <si>
    <t>Батарейки, удлинители, мелкая электрика</t>
  </si>
  <si>
    <t>техника, пульты, микрофоны</t>
  </si>
  <si>
    <t>Хозтовары</t>
  </si>
  <si>
    <t>Бытовая химия и средства для уборки</t>
  </si>
  <si>
    <t>сверх договора клининга</t>
  </si>
  <si>
    <t>Санитарно-гигиенические товары (бумага, полотенца, мыло)</t>
  </si>
  <si>
    <t>на 310,9 м², с/у и кухня</t>
  </si>
  <si>
    <t>Мешки для мусора, перчатки, губки</t>
  </si>
  <si>
    <t>Питьевая вода (бутыль 19 л)</t>
  </si>
  <si>
    <t>бутыль</t>
  </si>
  <si>
    <t>кулеры в офисе</t>
  </si>
  <si>
    <t>Чай, кофе, сахар, одноразовая посуда</t>
  </si>
  <si>
    <t>для сотрудников; приём гостей — в представительских</t>
  </si>
  <si>
    <t>ИТОГО в месяц</t>
  </si>
  <si>
    <t>В год (12 месяцев)</t>
  </si>
  <si>
    <t>На 1 сотрудника в офисе (20 чел.), в месяц</t>
  </si>
  <si>
    <t>Канцелярия, бумага и хозтовары (расчёт — лист «Канцелярия»)</t>
  </si>
  <si>
    <t>То же с НДС 16% (если БЦ — плательщик НДС)</t>
  </si>
  <si>
    <t>Гарантийный депозит (разово, возвратный)</t>
  </si>
  <si>
    <t>Канцелярия, бумага и хозтовары, ₸ в месяц (лист «Канцелярия»)</t>
  </si>
  <si>
    <t>Резерв на непредвиденные расходы (10%)</t>
  </si>
  <si>
    <t>ИТОГО с НДС 3 мес 2026 + 2027</t>
  </si>
  <si>
    <t>[Қаражан Е.Н.] Общее руководство Фондом и проектным офисом, соглашение с МЭПР, отчётность перед органами Фонда</t>
  </si>
  <si>
    <t>[Оразбаева М.К.] Бюджет проекта, раздельный учёт, работа со спонсорами, финансовая отчётность, налоги</t>
  </si>
  <si>
    <t>Финансовому директору</t>
  </si>
  <si>
    <t>[вакансия] Первичные документы, платежи, зарплата, авансовые отчёты, учёт основных средств</t>
  </si>
  <si>
    <t>Заместителю ГИД (адм.-хоз.)</t>
  </si>
  <si>
    <t>Проектный офис — руководство</t>
  </si>
  <si>
    <t>Руководителю группы</t>
  </si>
  <si>
    <t>Нормы поездок — на человека; стоимость поездки — лист «Параметры»; количество и старт — с листа «Штат» (структура от 16.09.2026).</t>
  </si>
  <si>
    <t xml:space="preserve">   в том числе проектный офис «Таза Қазақстан», чел.</t>
  </si>
  <si>
    <t>Коммун_мес</t>
  </si>
  <si>
    <t>Оснащение офиса</t>
  </si>
  <si>
    <t>Сборка_мебели_проц</t>
  </si>
  <si>
    <t>Сборка, доставка и подъём мебели — доля от стоимости мебели; ориентир 10%, уточнить в коммерческих предложениях</t>
  </si>
  <si>
    <t>Сборка, доставка и подъём мебели</t>
  </si>
  <si>
    <t>Гарантийный депозит по аренде (1 месячная ставка, возвратный)</t>
  </si>
  <si>
    <t>Бумага А4/А3, канцтовары на рабочие места, хозтовары и питьевая вода на офис</t>
  </si>
  <si>
    <t xml:space="preserve">     в т.ч. гарантийный депозит (1 месяц, возвратный)</t>
  </si>
  <si>
    <t>Стеллажи для складов и архивов (склад техники, архив документов, архив основного блока)</t>
  </si>
  <si>
    <t>Шкафы для документов и сейф</t>
  </si>
  <si>
    <t>Сейф офисный для документов и печатей входит в этот комплект</t>
  </si>
  <si>
    <t>Сборка и занос: рабочие места, кабинеты руководства, переговорная, ресепшн, шкафы и сейф, стеллажи. Ориентир 10% от стоимости мебели и стеллажей (лист «Параметры»), уточнить в КП</t>
  </si>
  <si>
    <t>Стеллажи для складов и архива, ₸ разово</t>
  </si>
  <si>
    <t>Сборка, доставка и подъём мебели и стеллажей, ₸ разово (10%)</t>
  </si>
  <si>
    <t>Аренда_мес_2026</t>
  </si>
  <si>
    <t>Месяцев аренды в 2026: заезд ориентировочно 21.10.2026 (III декада) — 11 дней октября + ноябрь + декабрь ≈ 2,35 мес.</t>
  </si>
  <si>
    <t>Мес_2026_новые</t>
  </si>
  <si>
    <t>Месяцев 2026 для новых сотрудников (зарплата, отчисления, ДМС): приём одновременно с заездом в офис — с 21.10.2026, ≈2,35 мес. Действующие — 3 мес.</t>
  </si>
  <si>
    <t>Мес. 2026 (новые — с 21.10)</t>
  </si>
  <si>
    <t>1. Персонал штата: оклады + отчисления работодателя (СН, ОПВР, СО, ООСМС) — новые с 21.10</t>
  </si>
  <si>
    <t>Металлические стеллажи 2000×1000×500, 4–5 полок. По 2 шт.: склад фото- и видеотехники, архив документов, серверная (в БЦ «Санкт-Петербург» — помещение без окна 701Г или по месту). Цена ориентировочная, уточнить в КП</t>
  </si>
  <si>
    <t>ресепшн и кабинет аппарата: печать, копия, скан; работа по Wi-Fi и по сети</t>
  </si>
  <si>
    <t>Ламинатор Deli ET104, А3, 300 мм/мин</t>
  </si>
  <si>
    <t>План закупок 2026, поз. 57 (ламинатор Deli А3 — 25 980 ₸). Цена b2bcompany.kz на 24.09.2026 — 42 340 ₸ с НДС, в бюджете без НДС (÷1,16): https://b2bcompany.kz/catalog/ofisnaya_tekhnika_i_aksessuary/laminatory/99742/</t>
  </si>
  <si>
    <t>Плёнка для ламинирования А4, 100 мкм, 100 шт. в упаковке (OfficeSpace)</t>
  </si>
  <si>
    <t>уп.</t>
  </si>
  <si>
    <t>План закупок 2026, поз. 58 (8 880 ₸/уп.). b2bcompany.kz на 24.09.2026: 60 ₸/шт × 100 = 6 000 ₸ с НДС, в бюджете без НДС (÷1,16) — https://b2bcompany.kz/catalog/ofisnaya_tekhnika_i_aksessuary/pruzhiny_oblozhki_plyenka/plyenka_dlya_laminirovaniya/94307/</t>
  </si>
  <si>
    <t>Переплётная машина Deli 3873 для пластиковой пружины (перфорирует до 18 л., сшивает до 425 л.)</t>
  </si>
  <si>
    <t>План закупок 2026, поз. 50 (77 105 ₸). Цена b2bcompany.kz на 24.09.2026 — 114 327 ₸ с НДС, в бюджете без НДС (÷1,16): https://b2bcompany.kz/catalog/ofisnaya_tekhnika_i_aksessuary/pereplyetchiki/98863/</t>
  </si>
  <si>
    <t>Расходники для переплёта: обложки А4 картонные и пластиковые, пружины 6, 10, 14 и 51 мм (по 100 шт.)</t>
  </si>
  <si>
    <t>План закупок 2026, поз. 51–56. Итого 48 700 ₸ с НДС, в бюджете без НДС (÷1,16). Цены b2bcompany.kz на 24.09.2026, ₸/шт × 100 шт. (код товара на сайте): обложки картонные OfficeSpace А4 230 г/м² синие — 55 (94290); обложки пластиковые А4 200 мкм прозрачные — 68 (Brauberg 98583; OfficeSpace 200 мкм прозрачных нет); пружины Brauberg 6 мм — 26 (61538); OfficeSpace 10 мм — 37 (101049); 14 мм — 57 (81143); 51 мм, 2 уп. по 50 — 244 (81145)</t>
  </si>
  <si>
    <t>Ламинатор, переплётчик и расходники к ним, ₸ разово без НДС (цены b2bcompany.kz на 24.09.2026)</t>
  </si>
  <si>
    <t>по ПО</t>
  </si>
  <si>
    <t>Учтено в строке «Информационное сопровождение» (сумма ПО 30 / 120 млн ₸ больше нашей 2,5 / 10 млн)</t>
  </si>
  <si>
    <t>Разработка и техническое сопровождение цифровой платформы</t>
  </si>
  <si>
    <t>сумма</t>
  </si>
  <si>
    <t>Привлечение инфлюенсеров</t>
  </si>
  <si>
    <t>Подготовка ежегодного доклада</t>
  </si>
  <si>
    <t>9. Медиа: таргет, полиграфия, подписки</t>
  </si>
  <si>
    <t>Реализация проекта «TAZA OI»</t>
  </si>
  <si>
    <t>Проведение международного эко-лагеря для школьников</t>
  </si>
  <si>
    <t>Проведение социологических исследований</t>
  </si>
  <si>
    <t>Реализация специальных / креативных проектов</t>
  </si>
  <si>
    <t>Департамент социологических исследований и аналитики</t>
  </si>
  <si>
    <t>Руководитель департамента</t>
  </si>
  <si>
    <t>[Ахантаева] Социологические исследования, методология оценки</t>
  </si>
  <si>
    <t>Главный специалист — социолог</t>
  </si>
  <si>
    <t>Руководителю департамента</t>
  </si>
  <si>
    <t>[Тленчиева Ш.] Исследования восприятия акции, опросы</t>
  </si>
  <si>
    <t>Главный специалист — аналитик</t>
  </si>
  <si>
    <t>Ведущий специалист — социолог</t>
  </si>
  <si>
    <t>Ведущий специалист — аналитик</t>
  </si>
  <si>
    <t>Департамент проектного управления и региональной координации</t>
  </si>
  <si>
    <t>Директор департамента</t>
  </si>
  <si>
    <t>Главный специалист</t>
  </si>
  <si>
    <t>Директору департамента</t>
  </si>
  <si>
    <t>[Қуандық Ж.] Ведение проектов, координация регионов</t>
  </si>
  <si>
    <t>[Жандилдаев Б.] Координация регионов, взаимодействие с госорганами и общественными организациями</t>
  </si>
  <si>
    <t>Ведущий специалист</t>
  </si>
  <si>
    <t>[Шербаева Б.] Ведение проектов календаря, планы и отчёты, взаимодействие с акиматами</t>
  </si>
  <si>
    <t>[Абенов А.] Аналитическое сопровождение проектов, методические материалы</t>
  </si>
  <si>
    <t>Департамент цифрового развития</t>
  </si>
  <si>
    <t>[Тастан] Платформа TAZA.KZ, цифровой мониторинг, работа с подрядчиком платформы</t>
  </si>
  <si>
    <t>аутсорс</t>
  </si>
  <si>
    <t>Группа «Коммуникация и креатив»</t>
  </si>
  <si>
    <t>Руководитель группы</t>
  </si>
  <si>
    <t>[Сундетбай С.] Коммуникационная стратегия, медиаплан, работа со СМИ</t>
  </si>
  <si>
    <t>Главный специалист — PR, пресс-секретарь</t>
  </si>
  <si>
    <t>[Талғат А.] Пресс-служба, тексты и материалы для СМИ</t>
  </si>
  <si>
    <t>Ведущий специалист — фотограф, рилсмейкер</t>
  </si>
  <si>
    <t>[Жумабай] Фотосъёмка, короткие видео</t>
  </si>
  <si>
    <t>Ведущий специалист — менеджер по блогерам</t>
  </si>
  <si>
    <t>[Дутбаева] Работа с блогерами и лидерами мнений</t>
  </si>
  <si>
    <t>Режиссёр, видеограф-монтажёр — аутсорс</t>
  </si>
  <si>
    <t>Копирайтер — аутсорс</t>
  </si>
  <si>
    <t>Дизайнер — аутсорс</t>
  </si>
  <si>
    <t>Менеджер по креаторам и креативным проектам — аутсорс</t>
  </si>
  <si>
    <t>ИТОГО (штат), оклады — ставки с 02.2027</t>
  </si>
  <si>
    <t>Группа «Коммуникация и креатив» (4 чел.): съёмки и освещение мероприятий в регионах</t>
  </si>
  <si>
    <t>Ведущий специалист (молодёжь, НПО)</t>
  </si>
  <si>
    <t>[Темирбеков М.Е.] Наём, закупки, офис, договоры с поставщиками</t>
  </si>
  <si>
    <t>Заместитель ГИД (адм.-хоз. вопросы, закупки, кадры, проекты)</t>
  </si>
  <si>
    <t>Эксперт по отходам, воде, воздуху</t>
  </si>
  <si>
    <t>Эксперт-эколог</t>
  </si>
  <si>
    <t>Не используется: новогодняя премия (декабрь 2026) — 1 оклад на штатного сотрудника (формула в листе «Штат», столбец P)</t>
  </si>
  <si>
    <t>Квартальная премия, согласно KPI: 1 оклад за квартал, 4 оклада в год — пропорционально месяцам работы в 2027 году</t>
  </si>
  <si>
    <t>Новогодняя премия 2026 (1 оклад)</t>
  </si>
  <si>
    <t>Квартальная премия, согласно KPI (2027): 1 оклад за квартал</t>
  </si>
  <si>
    <t>3. Премии с отчислениями — по 1 окладу: новогодняя (декабрь 2026) и квартальная, согласно KPI (2027, 1 оклад за квартал)</t>
  </si>
  <si>
    <t>не учтено</t>
  </si>
  <si>
    <t>Сетевые фильтры на общие зоны: 6 розеток, 5 м (Defender DFS 155)</t>
  </si>
  <si>
    <t>Стол совещаний на 12 — 2 (ноутбуки участников), ТВ и ВКС — 1, МФУ и сетевое оборудование — 1, кухонная зона — 1. b2bcompany.kz на 30.09.2026 — 6 101 ₸ с НДС (код 51417), в бюджете без НДС (÷1,16): https://b2bcompany.kz/catalog/ofisnaya_tekhnika_i_aksessuary/elektrotovary/setevye_filtry/51417/</t>
  </si>
  <si>
    <t>Мобильная стойка для ТВ на колёсах, 32–65″ (A-case AVA1500-60-1P)</t>
  </si>
  <si>
    <t>ТВ для видеоконференций — на передвижной стойке у стола совещаний. Цена Kaspi.kz (Астана) на 30.09.2026 — 57 852 ₸ с НДС, в бюджете без НДС (÷1,16): https://kaspi.kz/shop/p/a-case-ava1500-60-1p--135144097/ ; у b2bcompany.kz стоек нет</t>
  </si>
  <si>
    <t>для стола совещаний / видеоконференций; ставится на мобильную стойку (строка ниже)</t>
  </si>
  <si>
    <t>Сетевые фильтры на рабочие места: 5 розеток, 3 м, с заземлением (Defender ES)</t>
  </si>
  <si>
    <t>По 1 на рабочее место: 29 сотрудников + стол сисадмина + резерв/гостевое = 31. Ноутбук, монитор, зарядка телефона, лампа. Столы у стен и колонн — в розетку напрямую, островные блоки — в удлинитель блока (строка ниже). b2bcompany.kz на 30.09.2026 — 4 118 ₸ с НДС (код 9320), в бюджете без НДС (÷1,16): https://b2bcompany.kz/catalog/ofisnaya_tekhnika_i_aksessuary/elektrotovary/setevye_filtry/9320/</t>
  </si>
  <si>
    <t>Удлинители-магистрали 10 м, 3 розетки, с заземлением, ПВС 3×1 мм², 16 А (ЭРА U-3e-10m-3x1)</t>
  </si>
  <si>
    <t>Розетки в офисе — только у стен и на колоннах. От колонны к каждому островному блоку столов: коммуникация — 1, проектное управление — 2 (9 мест), социология — 1. Kaspi.kz (Астана) на 30.09.2026 — 7 235 ₸ с НДС, в бюджете без НДС (÷1,16): https://kaspi.kz/shop/p/udlinitel-era-u-3e-10m-3x1-5055945573695-10-m-120249480/</t>
  </si>
  <si>
    <t>Кабель-канал напольный ПВХ 70×16 мм, секция 2 м (IEK)</t>
  </si>
  <si>
    <t>Прокладка удлинителей по полу через проходы от колонн к блокам столов и к столу совещаний — ≈10 м. Kaspi.kz (Астана) на 30.09.2026 — 9 039 ₸ с НДС за 2 м, в бюджете без НДС (÷1,16): https://kaspi.kz/shop/p/iek-kabel--kanal-profil-pvh-70h16h2000-mm-115737589/</t>
  </si>
  <si>
    <t>Аренда с коммунальными и парковкой, ₸ в месяц без НДС</t>
  </si>
  <si>
    <t>Против ориентира 5 000 000 ₸/мес без НДС — разница, ₸ в месяц (минус — укладываемся)</t>
  </si>
  <si>
    <t>Ставка, при которой укладываемся в 5 000 000 ₸/мес без НДС (коммунальные и парковка внутри), ₸/м²</t>
  </si>
  <si>
    <t>ЦАКФ — руководство Фонда</t>
  </si>
  <si>
    <t>Главный исполнительный директор (ГИД)</t>
  </si>
  <si>
    <t>Заместитель ГИД (стратегия, проекты)</t>
  </si>
  <si>
    <t>[Кононец А.В.] Стратегия и портфель проектов Фонда, партнёрства; экспертная группа; курация проектного управления</t>
  </si>
  <si>
    <t>Национальный координатор проектного офиса</t>
  </si>
  <si>
    <t>[Серикжанова А.] Руководство проектным офисом, календарь мероприятий, работа с акиматами и госорганами</t>
  </si>
  <si>
    <t>Национальному координатору</t>
  </si>
  <si>
    <t>[Сандыбаева С.] Аналитика данных</t>
  </si>
  <si>
    <t>[Ашимханова Д.] Опросы, интерпретация результатов</t>
  </si>
  <si>
    <t>[Мукашев Д.] Сбор и обработка данных регионов</t>
  </si>
  <si>
    <t>Экспертная группа</t>
  </si>
  <si>
    <t>Руководитель экспертной группы</t>
  </si>
  <si>
    <t>Заместителю ГИД (стратегия, проекты)</t>
  </si>
  <si>
    <t>[Юнусов Т.] Научная экспертиза</t>
  </si>
  <si>
    <t>Руководителю экспертной группы</t>
  </si>
  <si>
    <t>[Загирова А.] Экологическая экспертиза</t>
  </si>
  <si>
    <t>[вакансия] Отходы, вода, воздух</t>
  </si>
  <si>
    <t>[Доскалиева] Портфель проектов, координация регионов, контроль KPI</t>
  </si>
  <si>
    <t>Заместитель директора (МЭПР, ЦГО, регионы)</t>
  </si>
  <si>
    <t>Взаимодействие с МЭПР, ЦГО и регионами</t>
  </si>
  <si>
    <t>[Өміртай А.] Энергоэффективность, региональная экономика мероприятий</t>
  </si>
  <si>
    <t>[Тулесова] Ведение проектов</t>
  </si>
  <si>
    <t>[Бекжанова Н.] Молодёжные и общественные проекты, волонтёры</t>
  </si>
  <si>
    <t>[Абулхан Ә.] Молодёжные и общественные проекты</t>
  </si>
  <si>
    <t>Разработчик (ИИ, ГИС), платформа — аутсорс</t>
  </si>
  <si>
    <t>Административный персонал</t>
  </si>
  <si>
    <t>Менеджер международных проектов</t>
  </si>
  <si>
    <t>Международные проекты Фонда</t>
  </si>
  <si>
    <t>Юрист (МФЦА) — аутсорс</t>
  </si>
  <si>
    <t>Администратор (сис.админ) — аутсорс</t>
  </si>
  <si>
    <t>Штатная структура ЦАКФ и проектного офиса «Таза Қазақстан» по штатному расписанию 01.10.2026 и расходы на персонал, ₸</t>
  </si>
  <si>
    <t xml:space="preserve">  в т.ч. проектный офис (21 чел.)</t>
  </si>
  <si>
    <t xml:space="preserve">  в т.ч. Фонд с экспертной группой (9 чел.)</t>
  </si>
  <si>
    <t>ИТОГО проекты и мероприятия</t>
  </si>
  <si>
    <t>Департамент социологических исследований и аналитики (5 чел.)</t>
  </si>
  <si>
    <t>Департамент проектного управления и региональной координации (10 чел.)</t>
  </si>
  <si>
    <t>Экспертная группа (3 чел.)</t>
  </si>
  <si>
    <t>Департамент цифрового развития (1 чел., разработчик — аутсорс)</t>
  </si>
  <si>
    <t>Проекты</t>
  </si>
  <si>
    <t>Реализация проекта «TAZA TALQY» (проведение встреч в регионах), в т.ч. круглые столы и семинары для акиматов</t>
  </si>
  <si>
    <t>Реализация проектов, в т.ч. итоговый форум и слёт волонтёров</t>
  </si>
  <si>
    <t>Информационное сопровождение, в т.ч. презентация проектного офиса, пресс-мероприятия, мобильный брендинг</t>
  </si>
  <si>
    <t>Проекты и мероприятия, не вошедшие в бюджет (по статьям проектного офиса), ₸ — в ИТОГО свода не входят</t>
  </si>
  <si>
    <t>10. Проекты и мероприятия по статьям проектного офиса (лист «Проекты (вне бюджета)») — в ИТОГО не входят</t>
  </si>
  <si>
    <t>Справочно, в ИТОГО не входит: проекты и мероприятия по статьям проектного офиса, 3 мес 2026 + 2027 (лист «Проекты (вне бюджета)»)</t>
  </si>
  <si>
    <t>Аутсорс-услуги: расчёт на октябрь–декабрь 2026 и 2027 год, ₸</t>
  </si>
  <si>
    <t>Функции</t>
  </si>
  <si>
    <t>Ставка в мес. без НДС</t>
  </si>
  <si>
    <t>НДС 16%</t>
  </si>
  <si>
    <t>В мес. с НДС</t>
  </si>
  <si>
    <t>Юрист (МФЦА)</t>
  </si>
  <si>
    <t>Договоры и соглашения, право МФЦА, сопровождение закупок и кадровых документов</t>
  </si>
  <si>
    <t>Администратор (сис.админ)</t>
  </si>
  <si>
    <t>ИТ-инфраструктура, сеть и техника; делопроизводство, хоз. администрирование, ассистирование</t>
  </si>
  <si>
    <t>Разработчик (ИИ, ГИС), платформа</t>
  </si>
  <si>
    <t>Руководителю цифрового развития</t>
  </si>
  <si>
    <t>Разработка и сопровождение ИИ- и ГИС-инструментов, цифровой платформы</t>
  </si>
  <si>
    <t>Режиссёр, видеограф-монтажёр</t>
  </si>
  <si>
    <t>Руководителю группы «Коммуникация и креатив»</t>
  </si>
  <si>
    <t>Съёмка и монтаж видео, ролики</t>
  </si>
  <si>
    <t>Копирайтер</t>
  </si>
  <si>
    <t>Тексты для соцсетей, сайта, СМИ</t>
  </si>
  <si>
    <t>Дизайнер</t>
  </si>
  <si>
    <t>Визуалы, инфографика, макеты</t>
  </si>
  <si>
    <t>Менеджер по креаторам и креативным проектам</t>
  </si>
  <si>
    <t>Работа с креаторами, креативные проекты</t>
  </si>
  <si>
    <t>ИТОГО аутсорс</t>
  </si>
  <si>
    <t>2. Аутсорс-услуги (лист «Аутсорс»): юрист МФЦА, сис.админ, разработчик, режиссёр, копирайтер, дизайнер, менеджер по креаторам — с НДС подрядчика</t>
  </si>
  <si>
    <t>8. Цифровые инструменты: ПО, хостинг, облако, API для ИИ</t>
  </si>
  <si>
    <t>[аутсорс] Разработка и сопровождение ИИ- и ГИС-инструментов, цифровой платформы</t>
  </si>
  <si>
    <t>[аутсорс] Съёмка и монтаж видео, ролики</t>
  </si>
  <si>
    <t>[аутсорс] Тексты для соцсетей, сайта, СМИ</t>
  </si>
  <si>
    <t>[аутсорс] Визуалы, инфографика, макеты</t>
  </si>
  <si>
    <t>[аутсорс] Работа с креаторами, креативные проекты</t>
  </si>
  <si>
    <t>[аутсорс] Договоры и соглашения, право МФЦА, сопровождение закупок и кадровых документов</t>
  </si>
  <si>
    <t>[аутсорс] ИТ-инфраструктура, сеть и техника; делопроизводство, хоз. администрирование, ассистирование</t>
  </si>
  <si>
    <t>Таргетированная реклама (продвижение в соцсетях)</t>
  </si>
  <si>
    <t>≈3 500 страниц в месяц</t>
  </si>
  <si>
    <t>Мебель кабинетов руководства (ГИД, 2 заместителя, Нац.коорд., финдир)</t>
  </si>
  <si>
    <t>2026-2027 гг. всего:</t>
  </si>
  <si>
    <t>Оклады — из штатки 01.10.2026 (обновлённый должностной оклад); состав — по структуре 01.10.2026: 30 человек (Фонд с экспертной группой — 9, проектный офис — 21). Выход: с 21.10.2026 — 18, с 01.2027 — 1 (Ахантаева), с 02.2027 — 11 (в т.ч. экспертная группа и Абулхан). Строки с количеством 0 — аутсорс.</t>
  </si>
  <si>
    <t>ВСЕГО за 2026-27 гг.:</t>
  </si>
  <si>
    <t>Аренда – БЦ «Лазурный», ул. Сарайшык, 7/7, 6 этаж целиком</t>
  </si>
  <si>
    <t>Площадь к оплате, м²: open space 244,37 + залы 93,30, 53,43, 45,85 + кабинет 12,39 + подсобные 11,20 и 8,80 = 469,34 полезной по обмерному плану 6 этажа × коэффициент мест общего пользования 1,4 (≈ весь этаж, 656,41 м²)</t>
  </si>
  <si>
    <t>Ставка аренды, ₸ за 1 м² в месяц без НДС; коммунальные, клининг и охрана – в ставке (условия БЦ «Лазурный» на 10.10.2026)</t>
  </si>
  <si>
    <t>Коммунальные – входят в ставку БЦ «Лазурный»</t>
  </si>
  <si>
    <t>Парковка – 5 мест на этаж</t>
  </si>
  <si>
    <t>Парковка, ₸ за 1 место в месяц без НДС – в условиях БЦ отдельно не указана, уточнить</t>
  </si>
  <si>
    <t>Аренда офисов с коммунальными и парковкой, ₸ в месяц без НДС (БЦ «Лазурный», 6 этаж – расчёт ниже)</t>
  </si>
  <si>
    <t>Гарантийный депозит по аренде, в месячных ставках (возвратный) – условия БЦ «Лазурный» не известны, принят 1 месяц</t>
  </si>
  <si>
    <t>БЦ «Лазурный», ул. Сарайшык, 7/7, 6 этаж: 469,34 м² полезной × 1,4 = 657,08 м² × 15 000 ₸ = 9 856 200 ₸/мес без НДС (11 433 192 ₸ с НДС); коммунальные, клининг и охрана – в ставке; 5 парковочных мест на этаж. Расчёт: D:\Аренда\Сравнение вариантов аренды – Сыганак и Лазурный (2026-10-10).xlsx. В 2026 – с 21.10 (≈2,35 мес.)</t>
  </si>
  <si>
    <t>Возвращается по окончании аренды. Условия депозита БЦ «Лазурный» не известны – принят 1 месяц</t>
  </si>
  <si>
    <t>Клининг входит в ставку БЦ «Лазурный» (условия на 10.10.2026). Было 200 000 ₸/мес</t>
  </si>
  <si>
    <t>оценка; уточнить после осмотра помещений (БЦ «Лазурный», 6 этаж)</t>
  </si>
  <si>
    <t>Проект от 10.10.2026 (v15-2). Штат — по структуре и штатке 01.10.2026: 30 человек (Фонд с экспертной группой — 9, проектный офис — 21); с 21.10.2026 — 18, с 01.2027 — 1 (Ахантаева), с 02.2027 — 11 (в т.ч. экспертная группа и Абулхан); аутсорс — 7 позиций, расчёт — на листе «Аутсорс», в бюджете. Аренда – вариант 2: БЦ «Лазурный», ул. Сарайшык, 7/7, 6 этаж целиком: 469,3 м² полезной по обмерному плану; к оплате 657,1 м² (коэффициент общих зон 1,4); коммунальные, клининг и охрана – в ставке; 5 парковочных мест на этаж; в 2026 – с 21.10. Проекты и мероприятия — по статьям проектного офиса, однотипные объединены, — на листе «Проекты (вне бюджета)», в ИТОГО не входят. В оснащении — ламинатор, переплётчик, сетевые фильтры, удлинители, кабель-канал, стойка для ТВ, источники бесперебойного питания (10 шт.). Суммы пересчитываются от листов «Параметры», «Штат», «Командировки», «Оснащение и офис», «Канцелярия», «Смета фото-видео».</t>
  </si>
  <si>
    <t>6. Оснащение (разово): ноутбуки, мебель и стеллажи с их сборкой, МФУ А3 и 2 МФУ А4, ламинатор и переплётчик, удлинители (сетевые фильтры), ИБП (10 шт.), фото-видео, сеть</t>
  </si>
  <si>
    <t xml:space="preserve">     в т.ч. аренда офисов (БЦ «Лазурный», 6 этаж, 657,1 м² к оплате – ставка 15 000, коммунальные, клининг и охрана в ставке; в 2026 – с 21.10, ≈2,35 мес.)</t>
  </si>
  <si>
    <t>Справка по аренде – вариант 2, БЦ «Лазурный», 6 этаж:</t>
  </si>
  <si>
    <t>Против варианта 1 – БЦ «Сыганак», 701–702 + 710 (4 909 152 ₸/мес без НДС) – разница, ₸ в месяц (минус – дешевле)</t>
  </si>
  <si>
    <t>Источник бесперебойного питания 1200 ВА / 650 Вт, линейно-интерактивный (APC Back-UPS BX1200MI-GR)</t>
  </si>
  <si>
    <t>Kaspi.kz (Астана) на 10.10.2026 – 89 302 ₸ с НДС, в бюджете без НДС (÷1,16): https://kaspi.kz/shop/p/istochnik-bespereboinogo-pitanija-apc-by-schneider-electric-back-ups-bx1200mi-gr-101092827/ ; у b2bcompany.kz ИБП нет</t>
  </si>
  <si>
    <t>Сравнение вариантов аренды: вариант 1 – БЦ «Сыганак» (701–702 + 710), вариант 2 – БЦ «Лазурный» (6 этаж)</t>
  </si>
  <si>
    <t>Показатель</t>
  </si>
  <si>
    <t>Вариант 1 – БЦ «Сыганак»</t>
  </si>
  <si>
    <t>Вариант 2 – БЦ «Лазурный»</t>
  </si>
  <si>
    <t>Помещения</t>
  </si>
  <si>
    <t>7 этаж: 701, 701а, 701б, 702 + зона 710 (10 помещений)</t>
  </si>
  <si>
    <t>6 этаж целиком: open space, 3 зала, кабинет, подсобные</t>
  </si>
  <si>
    <t>Полезная площадь, м²</t>
  </si>
  <si>
    <t>Площадь к оплате, м²</t>
  </si>
  <si>
    <t>Полезной площади на 1 рабочее место (37 мест: 30 штат + 7 аутсорс), м²</t>
  </si>
  <si>
    <t>Ставка, ₸ за м² в месяц без НДС</t>
  </si>
  <si>
    <t>Коммунальные, ₸ в месяц без НДС</t>
  </si>
  <si>
    <t>в ставке</t>
  </si>
  <si>
    <t>Парковка, ₸ в месяц без НДС</t>
  </si>
  <si>
    <t>5 мест, условия уточнить</t>
  </si>
  <si>
    <t>Аренда в месяц без НДС, ₸</t>
  </si>
  <si>
    <t>Аренда в месяц с НДС 16%, ₸</t>
  </si>
  <si>
    <t>Аренда в год с НДС, ₸</t>
  </si>
  <si>
    <t>Против ориентира 5 000 000 ₸/мес без НДС, ₸</t>
  </si>
  <si>
    <t>Аренда в бюджете: октябрь–декабрь 2026 (с 21.10), ₸ без НДС</t>
  </si>
  <si>
    <t>Аренда в бюджете: 2027, ₸ без НДС</t>
  </si>
  <si>
    <t>Гарантийный депозит (1 месяц, возвратный), ₸</t>
  </si>
  <si>
    <t>ИТОГО бюджета с НДС, октябрь–декабрь 2026, ₸</t>
  </si>
  <si>
    <t>ИТОГО бюджета с НДС, 2027, ₸</t>
  </si>
  <si>
    <t>ИТОГО бюджета с НДС, 3 мес. 2026 + 2027, ₸</t>
  </si>
  <si>
    <t>Пояснения к сравнению:</t>
  </si>
  <si>
    <t>1. Вариант 1 дешевле: аренда – на 4,9 млн ₸ в месяц без НДС; бюджет с НДС, резервом и депозитом – на 21,2 млн в 2026, на 75,7 млн в 2027, всего на 96,9 млн ₸.</t>
  </si>
  <si>
    <t>2. Вариант 1 укладывается в ориентир 5 млн ₸/мес без НДС (запас ≈0,09 млн); вариант 2 – выше ориентира почти вдвое (+4,86 млн в месяц).</t>
  </si>
  <si>
    <t>3. Вариант 1 – весь офис на одном 7 этаже, кабинеты под руководство уже есть (702, 701а, 710/3, 710/6), переговорная на 12. Площадь впритык: 8,4 м² полезной на место при норме ≈10; в 2026 (18 человек) – свободно, с 2027 (37 мест) – плотно, резерва под рост нет. Коммунальные и парковка – сверх ставки.</t>
  </si>
  <si>
    <t>4. Вариант 2 – целый этаж, 12,7 м² полезной на место, запас под рост и под мероприятия (зал 93 м²); коммунальные, клининг и охрана – в ставке, 5 парковочных мест. Но платим и за центральный холл (коэффициент 1,4), кабинетов почти нет – под ГИД, заместителей, координатора и бухгалтерию нужны перегородки: в бюджете на ремонт в обоих вариантах 3 млн ₸, для «Лазурного» сумма – после осмотра и сметы.</t>
  </si>
  <si>
    <t>5. Условия «Лазурного» по депозиту и стоимости парковки не известны – в расчёте депозит 1 месяц, парковка без оплаты. ИБП (10 шт., 0,8 млн ₸ без НДС) включены в оснащение в обоих вариантах.</t>
  </si>
  <si>
    <t>Разница (2 –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</si>
</sst>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"/>
    <numFmt numFmtId="165" formatCode="#,##0.0"/>
  </numFmts>
  <fonts count="13" x14ac:knownFonts="1">
    <font>
      <sz val="11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rgb="FF505050"/>
      <name val="Calibri"/>
      <family val="2"/>
      <charset val="204"/>
    </font>
    <font>
      <sz val="10"/>
      <name val="Arial"/>
      <family val="2"/>
    </font>
    <font>
      <b/>
      <i/>
      <sz val="11"/>
      <color theme="1"/>
      <name val="Calibri"/>
      <family val="2"/>
      <charset val="204"/>
    </font>
    <font>
      <sz val="11"/>
      <color rgb="FF606060"/>
      <name val="Calibri"/>
      <family val="2"/>
      <charset val="204"/>
    </font>
    <font>
      <b/>
      <i/>
      <sz val="11"/>
      <color rgb="FFFF0000"/>
      <name val="Calibri"/>
      <family val="2"/>
      <charset val="204"/>
    </font>
    <font>
      <i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0070C0"/>
      <name val="Calibri"/>
      <family val="2"/>
      <charset val="204"/>
    </font>
    <font>
      <b/>
      <sz val="12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CCF2CC"/>
        <bgColor rgb="FFD6E3E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6DF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DEB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3" fillId="0" borderId="0" xfId="0" applyNumberFormat="1" applyFont="1"/>
    <xf numFmtId="0" fontId="3" fillId="3" borderId="0" xfId="0" applyFont="1" applyFill="1" applyAlignment="1">
      <alignment wrapText="1"/>
    </xf>
    <xf numFmtId="0" fontId="3" fillId="0" borderId="0" xfId="0" applyFont="1"/>
    <xf numFmtId="164" fontId="0" fillId="4" borderId="0" xfId="0" applyNumberFormat="1" applyFill="1"/>
    <xf numFmtId="0" fontId="0" fillId="4" borderId="0" xfId="0" applyFill="1"/>
    <xf numFmtId="3" fontId="0" fillId="4" borderId="0" xfId="0" applyNumberFormat="1" applyFill="1"/>
    <xf numFmtId="0" fontId="3" fillId="4" borderId="0" xfId="0" applyFont="1" applyFill="1"/>
    <xf numFmtId="3" fontId="3" fillId="4" borderId="0" xfId="0" applyNumberFormat="1" applyFont="1" applyFill="1"/>
    <xf numFmtId="165" fontId="0" fillId="0" borderId="0" xfId="0" applyNumberFormat="1"/>
    <xf numFmtId="0" fontId="6" fillId="5" borderId="0" xfId="0" applyFont="1" applyFill="1" applyAlignment="1">
      <alignment wrapText="1"/>
    </xf>
    <xf numFmtId="9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2" fontId="0" fillId="0" borderId="0" xfId="0" applyNumberFormat="1" applyFill="1"/>
    <xf numFmtId="0" fontId="0" fillId="6" borderId="0" xfId="0" applyFill="1"/>
    <xf numFmtId="0" fontId="0" fillId="6" borderId="0" xfId="0" applyFill="1" applyAlignment="1">
      <alignment wrapText="1"/>
    </xf>
    <xf numFmtId="3" fontId="0" fillId="6" borderId="0" xfId="0" applyNumberFormat="1" applyFill="1"/>
    <xf numFmtId="2" fontId="0" fillId="6" borderId="0" xfId="0" applyNumberFormat="1" applyFill="1"/>
    <xf numFmtId="0" fontId="0" fillId="7" borderId="0" xfId="0" applyFill="1"/>
    <xf numFmtId="0" fontId="0" fillId="7" borderId="0" xfId="0" applyFill="1" applyAlignment="1">
      <alignment wrapText="1"/>
    </xf>
    <xf numFmtId="3" fontId="0" fillId="7" borderId="0" xfId="0" applyNumberFormat="1" applyFill="1"/>
    <xf numFmtId="2" fontId="0" fillId="7" borderId="0" xfId="0" applyNumberFormat="1" applyFill="1"/>
    <xf numFmtId="0" fontId="0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vertical="center" wrapText="1"/>
    </xf>
    <xf numFmtId="3" fontId="0" fillId="7" borderId="1" xfId="0" applyNumberFormat="1" applyFont="1" applyFill="1" applyBorder="1" applyAlignment="1">
      <alignment vertical="center"/>
    </xf>
    <xf numFmtId="2" fontId="0" fillId="7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8" fillId="5" borderId="0" xfId="0" applyFont="1" applyFill="1" applyAlignment="1">
      <alignment wrapText="1"/>
    </xf>
    <xf numFmtId="165" fontId="3" fillId="0" borderId="0" xfId="0" applyNumberFormat="1" applyFont="1"/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3" fontId="0" fillId="0" borderId="0" xfId="0" applyNumberFormat="1" applyAlignment="1">
      <alignment wrapText="1"/>
    </xf>
    <xf numFmtId="3" fontId="2" fillId="0" borderId="0" xfId="0" applyNumberFormat="1" applyFont="1" applyAlignment="1">
      <alignment wrapText="1"/>
    </xf>
    <xf numFmtId="3" fontId="4" fillId="0" borderId="0" xfId="0" applyNumberFormat="1" applyFont="1" applyAlignment="1">
      <alignment wrapText="1"/>
    </xf>
    <xf numFmtId="3" fontId="9" fillId="0" borderId="3" xfId="0" applyNumberFormat="1" applyFont="1" applyBorder="1" applyAlignment="1">
      <alignment wrapText="1"/>
    </xf>
    <xf numFmtId="3" fontId="9" fillId="0" borderId="4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3" fontId="6" fillId="0" borderId="0" xfId="0" applyNumberFormat="1" applyFont="1" applyAlignment="1">
      <alignment wrapText="1"/>
    </xf>
    <xf numFmtId="3" fontId="3" fillId="3" borderId="0" xfId="0" applyNumberFormat="1" applyFont="1" applyFill="1" applyAlignment="1">
      <alignment wrapText="1"/>
    </xf>
    <xf numFmtId="3" fontId="6" fillId="3" borderId="0" xfId="0" applyNumberFormat="1" applyFont="1" applyFill="1" applyAlignment="1">
      <alignment wrapText="1"/>
    </xf>
    <xf numFmtId="3" fontId="10" fillId="0" borderId="0" xfId="0" applyNumberFormat="1" applyFont="1" applyAlignment="1">
      <alignment wrapText="1"/>
    </xf>
    <xf numFmtId="3" fontId="11" fillId="0" borderId="0" xfId="0" applyNumberFormat="1" applyFont="1" applyAlignment="1">
      <alignment wrapText="1"/>
    </xf>
    <xf numFmtId="0" fontId="2" fillId="5" borderId="0" xfId="0" applyFont="1" applyFill="1" applyAlignment="1">
      <alignment wrapText="1"/>
    </xf>
    <xf numFmtId="3" fontId="6" fillId="5" borderId="0" xfId="0" applyNumberFormat="1" applyFont="1" applyFill="1" applyAlignment="1">
      <alignment wrapText="1"/>
    </xf>
    <xf numFmtId="0" fontId="8" fillId="5" borderId="0" xfId="0" applyFont="1" applyFill="1" applyAlignment="1">
      <alignment horizontal="right" wrapText="1"/>
    </xf>
    <xf numFmtId="3" fontId="8" fillId="5" borderId="0" xfId="0" applyNumberFormat="1" applyFont="1" applyFill="1" applyAlignment="1">
      <alignment horizontal="left" wrapText="1"/>
    </xf>
    <xf numFmtId="0" fontId="12" fillId="0" borderId="0" xfId="0" applyFont="1" applyAlignment="1">
      <alignment wrapText="1"/>
    </xf>
    <xf numFmtId="0" fontId="3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165" fontId="0" fillId="0" borderId="5" xfId="0" applyNumberForma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3" fillId="9" borderId="5" xfId="0" applyFont="1" applyFill="1" applyBorder="1" applyAlignment="1">
      <alignment horizontal="right" vertical="center" wrapText="1"/>
    </xf>
    <xf numFmtId="0" fontId="0" fillId="9" borderId="5" xfId="0" applyFill="1" applyBorder="1" applyAlignment="1">
      <alignment horizontal="left" vertical="center" wrapText="1"/>
    </xf>
    <xf numFmtId="165" fontId="0" fillId="9" borderId="5" xfId="0" applyNumberFormat="1" applyFill="1" applyBorder="1" applyAlignment="1">
      <alignment horizontal="right" vertical="center" wrapText="1"/>
    </xf>
    <xf numFmtId="3" fontId="0" fillId="9" borderId="5" xfId="0" applyNumberFormat="1" applyFill="1" applyBorder="1" applyAlignment="1">
      <alignment horizontal="right" vertical="center" wrapText="1"/>
    </xf>
    <xf numFmtId="3" fontId="3" fillId="9" borderId="5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top" wrapText="1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2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topLeftCell="A13" zoomScaleNormal="100" workbookViewId="0">
      <selection activeCell="D27" sqref="D27"/>
    </sheetView>
  </sheetViews>
  <sheetFormatPr defaultColWidth="8.7109375" defaultRowHeight="15" x14ac:dyDescent="0.25"/>
  <cols>
    <col min="1" max="1" width="72.7109375" style="4" customWidth="1"/>
    <col min="2" max="2" width="19.7109375" style="4" customWidth="1"/>
    <col min="3" max="4" width="17.7109375" style="4" customWidth="1"/>
    <col min="5" max="16384" width="8.7109375" style="4"/>
  </cols>
  <sheetData>
    <row r="1" spans="1:4" ht="34.5" x14ac:dyDescent="0.3">
      <c r="A1" s="47" t="s">
        <v>0</v>
      </c>
    </row>
    <row r="2" spans="1:4" ht="225" x14ac:dyDescent="0.25">
      <c r="A2" s="48" t="s">
        <v>528</v>
      </c>
    </row>
    <row r="4" spans="1:4" ht="30" x14ac:dyDescent="0.25">
      <c r="A4" s="3" t="s">
        <v>1</v>
      </c>
      <c r="B4" s="42" t="s">
        <v>2</v>
      </c>
      <c r="C4" s="43">
        <v>2027</v>
      </c>
      <c r="D4" s="44" t="s">
        <v>3</v>
      </c>
    </row>
    <row r="5" spans="1:4" x14ac:dyDescent="0.25">
      <c r="A5" s="4" t="s">
        <v>4</v>
      </c>
      <c r="B5" s="4">
        <f>SUMIF(Штат!E5:E41,"штат",Штат!G5:G41)</f>
        <v>30</v>
      </c>
      <c r="C5" s="4">
        <f>B5</f>
        <v>30</v>
      </c>
      <c r="D5" s="48"/>
    </row>
    <row r="6" spans="1:4" x14ac:dyDescent="0.25">
      <c r="A6" s="4" t="s">
        <v>5</v>
      </c>
      <c r="B6" s="4">
        <f>SUMIFS(Штат!G5:G41,Штат!E5:E41,"штат",Штат!F5:F41,"новая")</f>
        <v>26</v>
      </c>
      <c r="D6" s="48"/>
    </row>
    <row r="7" spans="1:4" x14ac:dyDescent="0.25">
      <c r="A7" s="4" t="s">
        <v>329</v>
      </c>
      <c r="B7" s="4">
        <f>Штат!G43</f>
        <v>21</v>
      </c>
      <c r="C7" s="4">
        <f>B7</f>
        <v>21</v>
      </c>
      <c r="D7" s="48"/>
    </row>
    <row r="8" spans="1:4" ht="30" x14ac:dyDescent="0.25">
      <c r="A8" s="4" t="s">
        <v>349</v>
      </c>
      <c r="B8" s="49">
        <f>SUMIFS(Штат!N5:N41,Штат!E5:E41,"штат")</f>
        <v>58691747.741935484</v>
      </c>
      <c r="C8" s="49">
        <f>SUMIFS(Штат!O5:O41,Штат!E5:E41,"штат")</f>
        <v>419273990</v>
      </c>
      <c r="D8" s="50">
        <f>C8/12</f>
        <v>34939499.166666664</v>
      </c>
    </row>
    <row r="9" spans="1:4" ht="45" x14ac:dyDescent="0.25">
      <c r="A9" s="4" t="s">
        <v>501</v>
      </c>
      <c r="B9" s="49">
        <f>Аутсорс!K11</f>
        <v>15843354.83870968</v>
      </c>
      <c r="C9" s="49">
        <f>Аутсорс!L11</f>
        <v>80736000</v>
      </c>
      <c r="D9" s="50">
        <f>C9/12</f>
        <v>6728000</v>
      </c>
    </row>
    <row r="10" spans="1:4" ht="30" x14ac:dyDescent="0.25">
      <c r="A10" s="4" t="s">
        <v>418</v>
      </c>
      <c r="B10" s="49">
        <f>Штат!P42</f>
        <v>23115060</v>
      </c>
      <c r="C10" s="49">
        <f>Штат!Q42</f>
        <v>139757996.66666666</v>
      </c>
      <c r="D10" s="50">
        <f>C10/12</f>
        <v>11646499.722222222</v>
      </c>
    </row>
    <row r="11" spans="1:4" x14ac:dyDescent="0.25">
      <c r="A11" s="4" t="s">
        <v>6</v>
      </c>
      <c r="B11" s="49">
        <f>Штат!R42</f>
        <v>854387.09677419392</v>
      </c>
      <c r="C11" s="49">
        <f>Штат!S42</f>
        <v>6631000</v>
      </c>
      <c r="D11" s="50">
        <f>C11/12</f>
        <v>552583.33333333337</v>
      </c>
    </row>
    <row r="12" spans="1:4" x14ac:dyDescent="0.25">
      <c r="A12" s="4" t="s">
        <v>7</v>
      </c>
      <c r="B12" s="49">
        <f>Командировки!I26</f>
        <v>7246775.9408602165</v>
      </c>
      <c r="C12" s="49">
        <f>Командировки!J26</f>
        <v>37657517.125</v>
      </c>
      <c r="D12" s="50">
        <f>C12/12</f>
        <v>3138126.4270833335</v>
      </c>
    </row>
    <row r="13" spans="1:4" ht="45" x14ac:dyDescent="0.25">
      <c r="A13" s="4" t="s">
        <v>529</v>
      </c>
      <c r="B13" s="49">
        <f>SUMIFS('Оснащение и офис'!I5:I181,'Оснащение и офис'!A5:A181,"Оснащение")</f>
        <v>41946058</v>
      </c>
      <c r="C13" s="49">
        <f>SUMIFS('Оснащение и офис'!J5:J181,'Оснащение и офис'!A5:A181,"Оснащение")</f>
        <v>0</v>
      </c>
      <c r="D13" s="50"/>
    </row>
    <row r="14" spans="1:4" x14ac:dyDescent="0.25">
      <c r="A14" s="4" t="s">
        <v>8</v>
      </c>
      <c r="B14" s="49">
        <f>SUMIFS('Оснащение и офис'!I5:I181,'Оснащение и офис'!A5:A181,"Офис")</f>
        <v>38573211.290322587</v>
      </c>
      <c r="C14" s="49">
        <f>SUMIFS('Оснащение и офис'!J5:J181,'Оснащение и офис'!A5:A181,"Офис")</f>
        <v>128303400</v>
      </c>
      <c r="D14" s="50">
        <f>C14/12</f>
        <v>10691950</v>
      </c>
    </row>
    <row r="15" spans="1:4" ht="45" x14ac:dyDescent="0.25">
      <c r="A15" s="6" t="s">
        <v>530</v>
      </c>
      <c r="B15" s="51">
        <f>'Оснащение и офис'!I39</f>
        <v>23209761.290322583</v>
      </c>
      <c r="C15" s="51">
        <f>'Оснащение и офис'!J39</f>
        <v>118274400</v>
      </c>
      <c r="D15" s="51">
        <f>C15/12</f>
        <v>9856200</v>
      </c>
    </row>
    <row r="16" spans="1:4" x14ac:dyDescent="0.25">
      <c r="A16" s="6" t="s">
        <v>337</v>
      </c>
      <c r="B16" s="51">
        <f>'Оснащение и офис'!I40</f>
        <v>9856200</v>
      </c>
      <c r="C16" s="51">
        <f>'Оснащение и офис'!J40</f>
        <v>0</v>
      </c>
      <c r="D16" s="51"/>
    </row>
    <row r="17" spans="1:8" x14ac:dyDescent="0.25">
      <c r="A17" s="4" t="s">
        <v>502</v>
      </c>
      <c r="B17" s="49">
        <f>SUMIFS('Оснащение и офис'!I5:I181,'Оснащение и офис'!A5:A181,"Цифровые")</f>
        <v>820500</v>
      </c>
      <c r="C17" s="49">
        <f>SUMIFS('Оснащение и офис'!J5:J181,'Оснащение и офис'!A5:A181,"Цифровые")</f>
        <v>9282000</v>
      </c>
      <c r="D17" s="50">
        <f t="shared" ref="D17:D25" si="0">C17/12</f>
        <v>773500</v>
      </c>
    </row>
    <row r="18" spans="1:8" x14ac:dyDescent="0.25">
      <c r="A18" s="4" t="s">
        <v>368</v>
      </c>
      <c r="B18" s="49">
        <f>SUMIFS('Оснащение и офис'!I5:I181,'Оснащение и офис'!A5:A181,"Медиа")</f>
        <v>3325000</v>
      </c>
      <c r="C18" s="49">
        <f>SUMIFS('Оснащение и офис'!J5:J181,'Оснащение и офис'!A5:A181,"Медиа")</f>
        <v>25300000</v>
      </c>
      <c r="D18" s="50">
        <f t="shared" si="0"/>
        <v>2108333.3333333335</v>
      </c>
    </row>
    <row r="19" spans="1:8" ht="30" x14ac:dyDescent="0.25">
      <c r="A19" s="45" t="s">
        <v>477</v>
      </c>
      <c r="B19" s="52">
        <f>'Проекты (вне бюджета)'!G16</f>
        <v>213000000</v>
      </c>
      <c r="C19" s="52">
        <f>'Проекты (вне бюджета)'!H16</f>
        <v>1530000000</v>
      </c>
      <c r="D19" s="53">
        <f t="shared" si="0"/>
        <v>127500000</v>
      </c>
      <c r="E19" s="46" t="s">
        <v>419</v>
      </c>
      <c r="F19" s="54"/>
      <c r="G19" s="54"/>
      <c r="H19" s="54"/>
    </row>
    <row r="20" spans="1:8" x14ac:dyDescent="0.25">
      <c r="A20" s="4" t="s">
        <v>9</v>
      </c>
      <c r="B20" s="49">
        <f>SUMIFS('Оснащение и офис'!I5:I181,'Оснащение и офис'!A5:A181,"Прочие")</f>
        <v>5300000</v>
      </c>
      <c r="C20" s="49">
        <f>SUMIFS('Оснащение и офис'!J5:J181,'Оснащение и офис'!A5:A181,"Прочие")</f>
        <v>9400000</v>
      </c>
      <c r="D20" s="50">
        <f t="shared" si="0"/>
        <v>783333.33333333337</v>
      </c>
    </row>
    <row r="21" spans="1:8" x14ac:dyDescent="0.25">
      <c r="A21" s="7" t="s">
        <v>10</v>
      </c>
      <c r="B21" s="55">
        <f>B8+B9+B10+B11+B12+B13+B14+B17+B18+B20</f>
        <v>195716094.90860218</v>
      </c>
      <c r="C21" s="55">
        <f>C8+C9+C10+C11+C12+C13+C14+C17+C18+C20</f>
        <v>856341903.79166663</v>
      </c>
      <c r="D21" s="56">
        <f t="shared" si="0"/>
        <v>71361825.315972224</v>
      </c>
    </row>
    <row r="22" spans="1:8" x14ac:dyDescent="0.25">
      <c r="A22" s="4" t="s">
        <v>319</v>
      </c>
      <c r="B22" s="49">
        <f>B21*Резерв</f>
        <v>19571609.49086022</v>
      </c>
      <c r="C22" s="49">
        <f>C21*Резерв</f>
        <v>85634190.379166663</v>
      </c>
      <c r="D22" s="50">
        <f t="shared" si="0"/>
        <v>7136182.5315972222</v>
      </c>
    </row>
    <row r="23" spans="1:8" x14ac:dyDescent="0.25">
      <c r="A23" s="9" t="s">
        <v>11</v>
      </c>
      <c r="B23" s="57">
        <f>B21+B22</f>
        <v>215287704.3994624</v>
      </c>
      <c r="C23" s="57">
        <f>C21+C22</f>
        <v>941976094.17083335</v>
      </c>
      <c r="D23" s="58">
        <f t="shared" si="0"/>
        <v>78498007.847569451</v>
      </c>
    </row>
    <row r="24" spans="1:8" x14ac:dyDescent="0.25">
      <c r="A24" s="4" t="s">
        <v>12</v>
      </c>
      <c r="B24" s="49">
        <f>B23*НДС</f>
        <v>34446032.703913987</v>
      </c>
      <c r="C24" s="49">
        <f>C23*НДС</f>
        <v>150716175.06733334</v>
      </c>
      <c r="D24" s="50">
        <f t="shared" si="0"/>
        <v>12559681.255611112</v>
      </c>
    </row>
    <row r="25" spans="1:8" x14ac:dyDescent="0.25">
      <c r="A25" s="7" t="s">
        <v>13</v>
      </c>
      <c r="B25" s="59">
        <f>B23+B24</f>
        <v>249733737.10337639</v>
      </c>
      <c r="C25" s="60">
        <f>C23+C24</f>
        <v>1092692269.2381668</v>
      </c>
      <c r="D25" s="56">
        <f t="shared" si="0"/>
        <v>91057689.103180572</v>
      </c>
    </row>
    <row r="26" spans="1:8" x14ac:dyDescent="0.25">
      <c r="A26" s="17" t="s">
        <v>320</v>
      </c>
      <c r="B26" s="61"/>
      <c r="C26" s="62">
        <f>B25+C25</f>
        <v>1342426006.3415432</v>
      </c>
      <c r="D26" s="48"/>
    </row>
    <row r="27" spans="1:8" ht="30" x14ac:dyDescent="0.25">
      <c r="A27" s="40" t="s">
        <v>478</v>
      </c>
      <c r="B27" s="63" t="s">
        <v>513</v>
      </c>
      <c r="C27" s="64">
        <f>B19+C19</f>
        <v>1743000000</v>
      </c>
      <c r="D27" s="48"/>
    </row>
    <row r="28" spans="1:8" x14ac:dyDescent="0.25">
      <c r="A28" s="7" t="s">
        <v>14</v>
      </c>
    </row>
    <row r="29" spans="1:8" x14ac:dyDescent="0.25">
      <c r="A29" s="4" t="s">
        <v>15</v>
      </c>
    </row>
    <row r="30" spans="1:8" x14ac:dyDescent="0.25">
      <c r="A30" s="4" t="s">
        <v>16</v>
      </c>
    </row>
    <row r="31" spans="1:8" x14ac:dyDescent="0.25">
      <c r="A31" s="4" t="s">
        <v>17</v>
      </c>
    </row>
    <row r="33" spans="1:4" s="7" customFormat="1" x14ac:dyDescent="0.25">
      <c r="A33" s="7" t="s">
        <v>531</v>
      </c>
    </row>
    <row r="34" spans="1:4" x14ac:dyDescent="0.25">
      <c r="A34" s="4" t="s">
        <v>431</v>
      </c>
      <c r="B34" s="49">
        <f>Аренда_мес</f>
        <v>9856200</v>
      </c>
    </row>
    <row r="35" spans="1:4" x14ac:dyDescent="0.25">
      <c r="A35" s="4" t="s">
        <v>316</v>
      </c>
      <c r="B35" s="55">
        <f>Аренда_с_НДС</f>
        <v>11433192</v>
      </c>
    </row>
    <row r="36" spans="1:4" x14ac:dyDescent="0.25">
      <c r="A36" s="4" t="s">
        <v>317</v>
      </c>
      <c r="B36" s="49">
        <f>Аренда_депозит</f>
        <v>9856200</v>
      </c>
    </row>
    <row r="37" spans="1:4" ht="30" x14ac:dyDescent="0.25">
      <c r="A37" s="4" t="s">
        <v>532</v>
      </c>
      <c r="B37" s="49">
        <f>Аренда_мес-4909152.1</f>
        <v>4947047.9000000004</v>
      </c>
    </row>
    <row r="38" spans="1:4" ht="30" x14ac:dyDescent="0.25">
      <c r="A38" s="4" t="s">
        <v>432</v>
      </c>
      <c r="B38" s="49">
        <f>Аренда_мес-5000000</f>
        <v>4856200</v>
      </c>
    </row>
    <row r="39" spans="1:4" ht="30" x14ac:dyDescent="0.25">
      <c r="A39" s="4" t="s">
        <v>433</v>
      </c>
      <c r="B39" s="49">
        <f>(5000000-Коммун_мес-Парковка_мест*Парковка_цена)/Площадь_офиса</f>
        <v>7609.4235100748765</v>
      </c>
    </row>
    <row r="40" spans="1:4" x14ac:dyDescent="0.25">
      <c r="A40" s="4" t="s">
        <v>342</v>
      </c>
      <c r="B40" s="49">
        <f>'Оснащение и офис'!I13</f>
        <v>360000</v>
      </c>
    </row>
    <row r="41" spans="1:4" x14ac:dyDescent="0.25">
      <c r="A41" s="4" t="s">
        <v>343</v>
      </c>
      <c r="B41" s="49">
        <f>'Оснащение и офис'!E14</f>
        <v>841000</v>
      </c>
    </row>
    <row r="42" spans="1:4" x14ac:dyDescent="0.25">
      <c r="A42" s="4" t="s">
        <v>318</v>
      </c>
      <c r="B42" s="49">
        <f>Канцелярия!F22</f>
        <v>240750</v>
      </c>
    </row>
    <row r="43" spans="1:4" ht="30" x14ac:dyDescent="0.25">
      <c r="A43" s="4" t="s">
        <v>361</v>
      </c>
      <c r="B43" s="49">
        <f>SUM('Оснащение и офис'!I20:I23)</f>
        <v>182213</v>
      </c>
    </row>
    <row r="45" spans="1:4" ht="31.5" x14ac:dyDescent="0.25">
      <c r="A45" s="65" t="s">
        <v>535</v>
      </c>
    </row>
    <row r="46" spans="1:4" ht="30" x14ac:dyDescent="0.25">
      <c r="A46" s="66" t="s">
        <v>536</v>
      </c>
      <c r="B46" s="67" t="s">
        <v>537</v>
      </c>
      <c r="C46" s="75" t="s">
        <v>538</v>
      </c>
      <c r="D46" s="67" t="s">
        <v>566</v>
      </c>
    </row>
    <row r="47" spans="1:4" ht="60" x14ac:dyDescent="0.25">
      <c r="A47" s="68" t="s">
        <v>539</v>
      </c>
      <c r="B47" s="74" t="s">
        <v>540</v>
      </c>
      <c r="C47" s="76" t="s">
        <v>541</v>
      </c>
      <c r="D47" s="69"/>
    </row>
    <row r="48" spans="1:4" x14ac:dyDescent="0.25">
      <c r="A48" s="68" t="s">
        <v>542</v>
      </c>
      <c r="B48" s="70">
        <v>309.7</v>
      </c>
      <c r="C48" s="77">
        <v>469.34</v>
      </c>
      <c r="D48" s="70">
        <f>C48-B48</f>
        <v>159.63999999999999</v>
      </c>
    </row>
    <row r="49" spans="1:4" x14ac:dyDescent="0.25">
      <c r="A49" s="68" t="s">
        <v>543</v>
      </c>
      <c r="B49" s="70">
        <v>340.67</v>
      </c>
      <c r="C49" s="77">
        <v>657.08</v>
      </c>
      <c r="D49" s="70">
        <f>C49-B49</f>
        <v>316.41000000000003</v>
      </c>
    </row>
    <row r="50" spans="1:4" x14ac:dyDescent="0.25">
      <c r="A50" s="68" t="s">
        <v>544</v>
      </c>
      <c r="B50" s="70">
        <v>8.3702702702702698</v>
      </c>
      <c r="C50" s="77">
        <v>12.684864864864901</v>
      </c>
      <c r="D50" s="70">
        <f>C50-B50</f>
        <v>4.3145945945946309</v>
      </c>
    </row>
    <row r="51" spans="1:4" x14ac:dyDescent="0.25">
      <c r="A51" s="68" t="s">
        <v>545</v>
      </c>
      <c r="B51" s="71">
        <v>13500</v>
      </c>
      <c r="C51" s="78">
        <v>15000</v>
      </c>
      <c r="D51" s="71">
        <f>C51-B51</f>
        <v>1500</v>
      </c>
    </row>
    <row r="52" spans="1:4" x14ac:dyDescent="0.25">
      <c r="A52" s="68" t="s">
        <v>546</v>
      </c>
      <c r="B52" s="71">
        <v>230107.1</v>
      </c>
      <c r="C52" s="78" t="s">
        <v>547</v>
      </c>
      <c r="D52" s="71"/>
    </row>
    <row r="53" spans="1:4" ht="30" x14ac:dyDescent="0.25">
      <c r="A53" s="68" t="s">
        <v>548</v>
      </c>
      <c r="B53" s="71">
        <v>80000</v>
      </c>
      <c r="C53" s="78" t="s">
        <v>549</v>
      </c>
      <c r="D53" s="71"/>
    </row>
    <row r="54" spans="1:4" x14ac:dyDescent="0.25">
      <c r="A54" s="68" t="s">
        <v>550</v>
      </c>
      <c r="B54" s="71">
        <v>4909152.0999999996</v>
      </c>
      <c r="C54" s="78">
        <v>9856200</v>
      </c>
      <c r="D54" s="71">
        <f t="shared" ref="D54:D63" si="1">C54-B54</f>
        <v>4947047.9000000004</v>
      </c>
    </row>
    <row r="55" spans="1:4" x14ac:dyDescent="0.25">
      <c r="A55" s="68" t="s">
        <v>551</v>
      </c>
      <c r="B55" s="71">
        <v>5694616.4359999998</v>
      </c>
      <c r="C55" s="78">
        <v>11433192</v>
      </c>
      <c r="D55" s="71">
        <f t="shared" si="1"/>
        <v>5738575.5640000002</v>
      </c>
    </row>
    <row r="56" spans="1:4" x14ac:dyDescent="0.25">
      <c r="A56" s="68" t="s">
        <v>552</v>
      </c>
      <c r="B56" s="71">
        <v>68335397.231999993</v>
      </c>
      <c r="C56" s="78">
        <v>137198304</v>
      </c>
      <c r="D56" s="71">
        <f t="shared" si="1"/>
        <v>68862906.768000007</v>
      </c>
    </row>
    <row r="57" spans="1:4" x14ac:dyDescent="0.25">
      <c r="A57" s="68" t="s">
        <v>553</v>
      </c>
      <c r="B57" s="71">
        <v>-90847.900000000402</v>
      </c>
      <c r="C57" s="78">
        <v>4856200</v>
      </c>
      <c r="D57" s="71">
        <f t="shared" si="1"/>
        <v>4947047.9000000004</v>
      </c>
    </row>
    <row r="58" spans="1:4" x14ac:dyDescent="0.25">
      <c r="A58" s="68" t="s">
        <v>554</v>
      </c>
      <c r="B58" s="71">
        <v>11560261.396774201</v>
      </c>
      <c r="C58" s="78">
        <v>23209761.290322602</v>
      </c>
      <c r="D58" s="71">
        <f t="shared" si="1"/>
        <v>11649499.893548401</v>
      </c>
    </row>
    <row r="59" spans="1:4" x14ac:dyDescent="0.25">
      <c r="A59" s="68" t="s">
        <v>555</v>
      </c>
      <c r="B59" s="71">
        <v>58909825.200000003</v>
      </c>
      <c r="C59" s="78">
        <v>118274400</v>
      </c>
      <c r="D59" s="71">
        <f t="shared" si="1"/>
        <v>59364574.799999997</v>
      </c>
    </row>
    <row r="60" spans="1:4" x14ac:dyDescent="0.25">
      <c r="A60" s="68" t="s">
        <v>556</v>
      </c>
      <c r="B60" s="71">
        <v>4909152.0999999996</v>
      </c>
      <c r="C60" s="78">
        <v>9856200</v>
      </c>
      <c r="D60" s="71">
        <f t="shared" si="1"/>
        <v>4947047.9000000004</v>
      </c>
    </row>
    <row r="61" spans="1:4" x14ac:dyDescent="0.25">
      <c r="A61" s="72" t="s">
        <v>557</v>
      </c>
      <c r="B61" s="73">
        <v>228556542.11880901</v>
      </c>
      <c r="C61" s="79">
        <v>249733737.103376</v>
      </c>
      <c r="D61" s="73">
        <f t="shared" si="1"/>
        <v>21177194.984566987</v>
      </c>
    </row>
    <row r="62" spans="1:4" x14ac:dyDescent="0.25">
      <c r="A62" s="72" t="s">
        <v>558</v>
      </c>
      <c r="B62" s="73">
        <v>1016943071.79337</v>
      </c>
      <c r="C62" s="79">
        <v>1092692269.2381699</v>
      </c>
      <c r="D62" s="73">
        <f t="shared" si="1"/>
        <v>75749197.4447999</v>
      </c>
    </row>
    <row r="63" spans="1:4" x14ac:dyDescent="0.25">
      <c r="A63" s="72" t="s">
        <v>559</v>
      </c>
      <c r="B63" s="73">
        <v>1245499613.9121799</v>
      </c>
      <c r="C63" s="79">
        <v>1342426006.3415401</v>
      </c>
      <c r="D63" s="73">
        <f t="shared" si="1"/>
        <v>96926392.429360151</v>
      </c>
    </row>
    <row r="65" spans="1:4" x14ac:dyDescent="0.25">
      <c r="A65" s="7" t="s">
        <v>560</v>
      </c>
    </row>
    <row r="66" spans="1:4" ht="32.1" customHeight="1" x14ac:dyDescent="0.25">
      <c r="A66" s="80" t="s">
        <v>561</v>
      </c>
      <c r="B66" s="80"/>
      <c r="C66" s="80"/>
      <c r="D66" s="80"/>
    </row>
    <row r="67" spans="1:4" ht="17.100000000000001" customHeight="1" x14ac:dyDescent="0.25">
      <c r="A67" s="80" t="s">
        <v>562</v>
      </c>
      <c r="B67" s="80"/>
      <c r="C67" s="80"/>
      <c r="D67" s="80"/>
    </row>
    <row r="68" spans="1:4" ht="47.1" customHeight="1" x14ac:dyDescent="0.25">
      <c r="A68" s="80" t="s">
        <v>563</v>
      </c>
      <c r="B68" s="80"/>
      <c r="C68" s="80"/>
      <c r="D68" s="80"/>
    </row>
    <row r="69" spans="1:4" ht="47.1" customHeight="1" x14ac:dyDescent="0.25">
      <c r="A69" s="80" t="s">
        <v>564</v>
      </c>
      <c r="B69" s="80"/>
      <c r="C69" s="80"/>
      <c r="D69" s="80"/>
    </row>
    <row r="70" spans="1:4" ht="32.1" customHeight="1" x14ac:dyDescent="0.25">
      <c r="A70" s="80" t="s">
        <v>565</v>
      </c>
      <c r="B70" s="80"/>
      <c r="C70" s="80"/>
      <c r="D70" s="80"/>
    </row>
  </sheetData>
  <mergeCells count="5">
    <mergeCell ref="A66:D66"/>
    <mergeCell ref="A67:D67"/>
    <mergeCell ref="A68:D68"/>
    <mergeCell ref="A69:D69"/>
    <mergeCell ref="A70:D70"/>
  </mergeCells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8"/>
  <sheetViews>
    <sheetView topLeftCell="A25" zoomScaleNormal="100" workbookViewId="0">
      <selection activeCell="C65" sqref="C65"/>
    </sheetView>
  </sheetViews>
  <sheetFormatPr defaultColWidth="8.7109375" defaultRowHeight="15" x14ac:dyDescent="0.25"/>
  <cols>
    <col min="1" max="1" width="16.7109375" customWidth="1"/>
    <col min="2" max="2" width="14.7109375" customWidth="1"/>
    <col min="3" max="3" width="100.7109375" customWidth="1"/>
  </cols>
  <sheetData>
    <row r="1" spans="1:3" ht="15.75" customHeight="1" x14ac:dyDescent="0.3">
      <c r="A1" s="1" t="s">
        <v>18</v>
      </c>
    </row>
    <row r="2" spans="1:3" ht="15" customHeight="1" x14ac:dyDescent="0.25">
      <c r="A2" s="2"/>
    </row>
    <row r="3" spans="1:3" ht="15" customHeight="1" x14ac:dyDescent="0.25">
      <c r="A3" s="10" t="s">
        <v>19</v>
      </c>
      <c r="B3" s="10" t="s">
        <v>20</v>
      </c>
      <c r="C3" s="10" t="s">
        <v>21</v>
      </c>
    </row>
    <row r="4" spans="1:3" ht="15" customHeight="1" x14ac:dyDescent="0.25">
      <c r="A4" t="s">
        <v>22</v>
      </c>
      <c r="B4" s="11">
        <v>85000</v>
      </c>
      <c r="C4" t="s">
        <v>23</v>
      </c>
    </row>
    <row r="5" spans="1:3" ht="15" customHeight="1" x14ac:dyDescent="0.25">
      <c r="A5" t="s">
        <v>24</v>
      </c>
      <c r="B5" s="11">
        <v>4325</v>
      </c>
      <c r="C5" t="s">
        <v>25</v>
      </c>
    </row>
    <row r="6" spans="1:3" ht="15" customHeight="1" x14ac:dyDescent="0.25">
      <c r="A6" t="s">
        <v>26</v>
      </c>
      <c r="B6" s="11">
        <v>0.06</v>
      </c>
      <c r="C6" t="s">
        <v>27</v>
      </c>
    </row>
    <row r="7" spans="1:3" ht="15" customHeight="1" x14ac:dyDescent="0.25">
      <c r="A7" t="s">
        <v>28</v>
      </c>
      <c r="B7" s="11">
        <v>3.5000000000000003E-2</v>
      </c>
      <c r="C7" t="s">
        <v>29</v>
      </c>
    </row>
    <row r="8" spans="1:3" ht="15" customHeight="1" x14ac:dyDescent="0.25">
      <c r="A8" t="s">
        <v>30</v>
      </c>
      <c r="B8" s="11">
        <v>0.05</v>
      </c>
      <c r="C8" t="s">
        <v>31</v>
      </c>
    </row>
    <row r="9" spans="1:3" ht="15" customHeight="1" x14ac:dyDescent="0.25">
      <c r="A9" t="s">
        <v>32</v>
      </c>
      <c r="B9" s="11">
        <v>7</v>
      </c>
      <c r="C9" t="s">
        <v>33</v>
      </c>
    </row>
    <row r="10" spans="1:3" ht="15" customHeight="1" x14ac:dyDescent="0.25">
      <c r="A10" t="s">
        <v>34</v>
      </c>
      <c r="B10" s="11">
        <v>0.03</v>
      </c>
      <c r="C10" t="s">
        <v>35</v>
      </c>
    </row>
    <row r="11" spans="1:3" ht="15" customHeight="1" x14ac:dyDescent="0.25">
      <c r="A11" t="s">
        <v>36</v>
      </c>
      <c r="B11" s="11">
        <v>40</v>
      </c>
      <c r="C11" t="s">
        <v>37</v>
      </c>
    </row>
    <row r="12" spans="1:3" ht="15" customHeight="1" x14ac:dyDescent="0.25">
      <c r="A12" t="s">
        <v>38</v>
      </c>
      <c r="B12" s="11">
        <v>0.1</v>
      </c>
      <c r="C12" t="s">
        <v>39</v>
      </c>
    </row>
    <row r="13" spans="1:3" ht="15" customHeight="1" x14ac:dyDescent="0.25">
      <c r="A13" t="s">
        <v>40</v>
      </c>
      <c r="B13" s="11">
        <v>0.02</v>
      </c>
      <c r="C13" t="s">
        <v>41</v>
      </c>
    </row>
    <row r="14" spans="1:3" ht="15" customHeight="1" x14ac:dyDescent="0.25">
      <c r="A14" t="s">
        <v>42</v>
      </c>
      <c r="B14" s="11">
        <v>0</v>
      </c>
      <c r="C14" t="s">
        <v>414</v>
      </c>
    </row>
    <row r="15" spans="1:3" ht="15" customHeight="1" x14ac:dyDescent="0.25">
      <c r="A15" t="s">
        <v>43</v>
      </c>
      <c r="B15" s="11">
        <v>4</v>
      </c>
      <c r="C15" t="s">
        <v>415</v>
      </c>
    </row>
    <row r="16" spans="1:3" ht="15" customHeight="1" x14ac:dyDescent="0.25">
      <c r="A16" t="s">
        <v>44</v>
      </c>
      <c r="B16" s="11">
        <v>200000</v>
      </c>
      <c r="C16" t="s">
        <v>45</v>
      </c>
    </row>
    <row r="17" spans="1:3" ht="15" customHeight="1" x14ac:dyDescent="0.25">
      <c r="A17" t="s">
        <v>46</v>
      </c>
      <c r="B17" s="11">
        <v>28000</v>
      </c>
      <c r="C17" t="s">
        <v>47</v>
      </c>
    </row>
    <row r="18" spans="1:3" ht="15" customHeight="1" x14ac:dyDescent="0.25">
      <c r="A18" t="s">
        <v>48</v>
      </c>
      <c r="B18" s="11">
        <v>530</v>
      </c>
      <c r="C18" t="s">
        <v>49</v>
      </c>
    </row>
    <row r="19" spans="1:3" ht="15" customHeight="1" x14ac:dyDescent="0.25">
      <c r="A19" t="s">
        <v>50</v>
      </c>
      <c r="B19" s="11">
        <v>2</v>
      </c>
      <c r="C19" t="s">
        <v>51</v>
      </c>
    </row>
    <row r="20" spans="1:3" ht="15" customHeight="1" x14ac:dyDescent="0.25">
      <c r="A20" t="s">
        <v>52</v>
      </c>
      <c r="B20" s="11">
        <v>90000</v>
      </c>
      <c r="C20" t="s">
        <v>53</v>
      </c>
    </row>
    <row r="21" spans="1:3" ht="15" customHeight="1" x14ac:dyDescent="0.25">
      <c r="A21" t="s">
        <v>54</v>
      </c>
      <c r="B21" s="11">
        <v>30000</v>
      </c>
      <c r="C21" t="s">
        <v>55</v>
      </c>
    </row>
    <row r="22" spans="1:3" ht="15" customHeight="1" x14ac:dyDescent="0.25">
      <c r="A22" t="s">
        <v>56</v>
      </c>
      <c r="B22" s="11">
        <v>15000</v>
      </c>
      <c r="C22" t="s">
        <v>57</v>
      </c>
    </row>
    <row r="23" spans="1:3" ht="15" customHeight="1" x14ac:dyDescent="0.25">
      <c r="A23" t="s">
        <v>58</v>
      </c>
      <c r="B23" s="11">
        <v>3</v>
      </c>
      <c r="C23" t="s">
        <v>59</v>
      </c>
    </row>
    <row r="24" spans="1:3" ht="15" customHeight="1" x14ac:dyDescent="0.25">
      <c r="A24" t="s">
        <v>60</v>
      </c>
      <c r="B24" s="11">
        <v>2</v>
      </c>
      <c r="C24" t="s">
        <v>61</v>
      </c>
    </row>
    <row r="25" spans="1:3" ht="15" customHeight="1" x14ac:dyDescent="0.25">
      <c r="A25" t="s">
        <v>62</v>
      </c>
      <c r="B25" s="11">
        <f>Авиа_РК+Отель_РК*Ночей_РК+Сут_РК*МРП*Дней_РК+Трансп_РК</f>
        <v>190950</v>
      </c>
      <c r="C25" t="s">
        <v>63</v>
      </c>
    </row>
    <row r="26" spans="1:3" ht="15" customHeight="1" x14ac:dyDescent="0.25">
      <c r="A26" t="s">
        <v>64</v>
      </c>
      <c r="B26" s="11">
        <f>Трансп_РК+Сут_РК*МРП</f>
        <v>23650</v>
      </c>
      <c r="C26" t="s">
        <v>65</v>
      </c>
    </row>
    <row r="27" spans="1:3" ht="15" customHeight="1" x14ac:dyDescent="0.25">
      <c r="A27" t="s">
        <v>66</v>
      </c>
      <c r="B27" s="11">
        <v>900</v>
      </c>
      <c r="C27" t="s">
        <v>67</v>
      </c>
    </row>
    <row r="28" spans="1:3" ht="15" customHeight="1" x14ac:dyDescent="0.25">
      <c r="A28" t="s">
        <v>68</v>
      </c>
      <c r="B28" s="11">
        <v>150</v>
      </c>
      <c r="C28" t="s">
        <v>69</v>
      </c>
    </row>
    <row r="29" spans="1:3" ht="15" customHeight="1" x14ac:dyDescent="0.25">
      <c r="A29" t="s">
        <v>70</v>
      </c>
      <c r="B29" s="11">
        <v>150</v>
      </c>
      <c r="C29" t="s">
        <v>71</v>
      </c>
    </row>
    <row r="30" spans="1:3" ht="15" customHeight="1" x14ac:dyDescent="0.25">
      <c r="A30" t="s">
        <v>72</v>
      </c>
      <c r="B30" s="11">
        <v>5</v>
      </c>
      <c r="C30" t="s">
        <v>73</v>
      </c>
    </row>
    <row r="31" spans="1:3" ht="15" customHeight="1" x14ac:dyDescent="0.25">
      <c r="A31" t="s">
        <v>74</v>
      </c>
      <c r="B31" s="11">
        <v>4</v>
      </c>
      <c r="C31" t="s">
        <v>75</v>
      </c>
    </row>
    <row r="32" spans="1:3" ht="15" customHeight="1" x14ac:dyDescent="0.25">
      <c r="A32" t="s">
        <v>76</v>
      </c>
      <c r="B32" s="11">
        <v>50</v>
      </c>
      <c r="C32" t="s">
        <v>77</v>
      </c>
    </row>
    <row r="33" spans="1:3" ht="15" customHeight="1" x14ac:dyDescent="0.25">
      <c r="A33" t="s">
        <v>78</v>
      </c>
      <c r="B33" s="11">
        <f>(Авиа_межд+Отель_межд*Ночей_межд+Сут_межд*Дней_межд+Страх_межд)*Курс</f>
        <v>1219000</v>
      </c>
      <c r="C33" t="s">
        <v>79</v>
      </c>
    </row>
    <row r="34" spans="1:3" ht="15" customHeight="1" x14ac:dyDescent="0.25">
      <c r="A34" t="s">
        <v>80</v>
      </c>
      <c r="B34" s="11">
        <f>Площадь_офиса*Ставка_аренды_м2+Коммун_мес+Парковка_мест*Парковка_цена</f>
        <v>9856200</v>
      </c>
      <c r="C34" t="s">
        <v>522</v>
      </c>
    </row>
    <row r="35" spans="1:3" ht="15" customHeight="1" x14ac:dyDescent="0.25">
      <c r="A35" t="s">
        <v>81</v>
      </c>
      <c r="B35" s="11">
        <v>1</v>
      </c>
      <c r="C35" t="s">
        <v>523</v>
      </c>
    </row>
    <row r="36" spans="1:3" ht="15" customHeight="1" x14ac:dyDescent="0.25">
      <c r="A36" t="s">
        <v>82</v>
      </c>
      <c r="B36" s="11">
        <v>0.1</v>
      </c>
      <c r="C36" t="s">
        <v>83</v>
      </c>
    </row>
    <row r="37" spans="1:3" ht="15" customHeight="1" x14ac:dyDescent="0.25">
      <c r="A37" t="s">
        <v>84</v>
      </c>
      <c r="B37" s="11">
        <v>0.16</v>
      </c>
      <c r="C37" t="s">
        <v>85</v>
      </c>
    </row>
    <row r="39" spans="1:3" ht="15" customHeight="1" x14ac:dyDescent="0.25">
      <c r="A39" t="s">
        <v>86</v>
      </c>
    </row>
    <row r="40" spans="1:3" ht="15" customHeight="1" x14ac:dyDescent="0.25">
      <c r="A40" t="s">
        <v>87</v>
      </c>
    </row>
    <row r="42" spans="1:3" x14ac:dyDescent="0.25">
      <c r="A42" t="s">
        <v>88</v>
      </c>
      <c r="B42">
        <v>7.0000000000000007E-2</v>
      </c>
      <c r="C42" t="s">
        <v>89</v>
      </c>
    </row>
    <row r="43" spans="1:3" x14ac:dyDescent="0.25">
      <c r="A43" t="s">
        <v>90</v>
      </c>
      <c r="B43">
        <f>МРП*(1+Индекс_МРП_2027)</f>
        <v>4627.75</v>
      </c>
      <c r="C43" t="s">
        <v>91</v>
      </c>
    </row>
    <row r="44" spans="1:3" x14ac:dyDescent="0.25">
      <c r="A44" t="s">
        <v>92</v>
      </c>
      <c r="B44">
        <f>Авиа_РК+Отель_РК*Ночей_РК+Сут_РК*МРП_2027*Дней_РК+Трансп_РК</f>
        <v>192766.5</v>
      </c>
      <c r="C44" t="s">
        <v>93</v>
      </c>
    </row>
    <row r="45" spans="1:3" x14ac:dyDescent="0.25">
      <c r="A45" t="s">
        <v>94</v>
      </c>
      <c r="B45">
        <f>Трансп_РК+Сут_РК*МРП_2027</f>
        <v>24255.5</v>
      </c>
      <c r="C45" t="s">
        <v>95</v>
      </c>
    </row>
    <row r="47" spans="1:3" s="10" customFormat="1" x14ac:dyDescent="0.25">
      <c r="A47" s="10" t="s">
        <v>516</v>
      </c>
    </row>
    <row r="48" spans="1:3" x14ac:dyDescent="0.25">
      <c r="A48" t="s">
        <v>254</v>
      </c>
      <c r="B48" s="16">
        <f>ROUND((244.37+93.3+53.43+45.85+12.39+11.2+8.8)*1.4,2)</f>
        <v>657.08</v>
      </c>
      <c r="C48" t="s">
        <v>517</v>
      </c>
    </row>
    <row r="49" spans="1:3" x14ac:dyDescent="0.25">
      <c r="A49" t="s">
        <v>255</v>
      </c>
      <c r="B49" s="5">
        <v>15000</v>
      </c>
      <c r="C49" t="s">
        <v>518</v>
      </c>
    </row>
    <row r="50" spans="1:3" x14ac:dyDescent="0.25">
      <c r="A50" t="s">
        <v>330</v>
      </c>
      <c r="B50" s="5">
        <v>0</v>
      </c>
      <c r="C50" t="s">
        <v>519</v>
      </c>
    </row>
    <row r="51" spans="1:3" x14ac:dyDescent="0.25">
      <c r="A51" t="s">
        <v>256</v>
      </c>
      <c r="B51" s="5">
        <v>5</v>
      </c>
      <c r="C51" t="s">
        <v>520</v>
      </c>
    </row>
    <row r="52" spans="1:3" x14ac:dyDescent="0.25">
      <c r="A52" t="s">
        <v>257</v>
      </c>
      <c r="B52" s="5">
        <v>0</v>
      </c>
      <c r="C52" t="s">
        <v>521</v>
      </c>
    </row>
    <row r="53" spans="1:3" x14ac:dyDescent="0.25">
      <c r="A53" t="s">
        <v>258</v>
      </c>
      <c r="B53" s="5">
        <f>Аренда_мес*(1+НДС)</f>
        <v>11433192</v>
      </c>
      <c r="C53" t="s">
        <v>259</v>
      </c>
    </row>
    <row r="54" spans="1:3" x14ac:dyDescent="0.25">
      <c r="A54" t="s">
        <v>260</v>
      </c>
      <c r="B54" s="5">
        <f>Аренда_мес*Депозит_мес</f>
        <v>9856200</v>
      </c>
      <c r="C54" t="s">
        <v>261</v>
      </c>
    </row>
    <row r="55" spans="1:3" x14ac:dyDescent="0.25">
      <c r="A55" t="s">
        <v>344</v>
      </c>
      <c r="B55" s="19">
        <f>11/31+2</f>
        <v>2.3548387096774195</v>
      </c>
      <c r="C55" t="s">
        <v>345</v>
      </c>
    </row>
    <row r="56" spans="1:3" x14ac:dyDescent="0.25">
      <c r="A56" s="10" t="s">
        <v>331</v>
      </c>
    </row>
    <row r="57" spans="1:3" x14ac:dyDescent="0.25">
      <c r="A57" t="s">
        <v>332</v>
      </c>
      <c r="B57" s="18">
        <v>0.1</v>
      </c>
      <c r="C57" t="s">
        <v>333</v>
      </c>
    </row>
    <row r="58" spans="1:3" x14ac:dyDescent="0.25">
      <c r="A58" t="s">
        <v>346</v>
      </c>
      <c r="B58" s="19">
        <f>Аренда_мес_2026</f>
        <v>2.3548387096774195</v>
      </c>
      <c r="C58" t="s">
        <v>347</v>
      </c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"/>
  <sheetViews>
    <sheetView topLeftCell="A19" zoomScaleNormal="100" workbookViewId="0">
      <selection activeCell="N42" sqref="N42"/>
    </sheetView>
  </sheetViews>
  <sheetFormatPr defaultColWidth="8.7109375" defaultRowHeight="15" x14ac:dyDescent="0.25"/>
  <cols>
    <col min="1" max="1" width="4.7109375" customWidth="1"/>
    <col min="2" max="2" width="16.7109375" customWidth="1"/>
    <col min="3" max="3" width="52.7109375" customWidth="1"/>
    <col min="4" max="4" width="22.7109375" customWidth="1"/>
    <col min="5" max="21" width="12.7109375" customWidth="1"/>
    <col min="22" max="22" width="60.7109375" customWidth="1"/>
  </cols>
  <sheetData>
    <row r="1" spans="1:23" ht="15.75" customHeight="1" x14ac:dyDescent="0.3">
      <c r="A1" s="1" t="s">
        <v>464</v>
      </c>
    </row>
    <row r="2" spans="1:23" ht="15" customHeight="1" x14ac:dyDescent="0.25">
      <c r="A2" s="2" t="s">
        <v>514</v>
      </c>
    </row>
    <row r="4" spans="1:23" ht="57.75" customHeight="1" x14ac:dyDescent="0.25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3" t="s">
        <v>105</v>
      </c>
      <c r="K4" s="3" t="s">
        <v>106</v>
      </c>
      <c r="L4" s="3" t="s">
        <v>348</v>
      </c>
      <c r="M4" s="3" t="s">
        <v>108</v>
      </c>
      <c r="N4" s="3" t="s">
        <v>109</v>
      </c>
      <c r="O4" s="3" t="s">
        <v>110</v>
      </c>
      <c r="P4" s="3" t="s">
        <v>416</v>
      </c>
      <c r="Q4" s="3" t="s">
        <v>417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4"/>
    </row>
    <row r="5" spans="1:23" ht="15" customHeight="1" x14ac:dyDescent="0.25">
      <c r="A5" s="20">
        <v>1</v>
      </c>
      <c r="B5" s="20" t="s">
        <v>434</v>
      </c>
      <c r="C5" s="21" t="s">
        <v>435</v>
      </c>
      <c r="D5" s="21" t="s">
        <v>116</v>
      </c>
      <c r="E5" s="20" t="s">
        <v>117</v>
      </c>
      <c r="F5" s="20" t="s">
        <v>118</v>
      </c>
      <c r="G5" s="20">
        <v>1</v>
      </c>
      <c r="H5" s="22">
        <v>1600000</v>
      </c>
      <c r="I5" s="20">
        <v>1</v>
      </c>
      <c r="J5" s="22">
        <f t="shared" ref="J5:J34" si="0">IF(E5="штат",ROUND(Ставка_СН*H5*(1-Ставка_ОПВ-Ставка_ВОСМС)+Ставка_ОПВР*H5+Ставка_СО*MIN(H5*(1-Ставка_ОПВ),Кап_СО*МЗП)+Ставка_ООСМС*MIN(H5,Кап_ООСМС*МЗП),0),ROUND(H5*НДС,0))</f>
        <v>218230</v>
      </c>
      <c r="K5" s="22">
        <f t="shared" ref="K5:K34" si="1">G5*(H5+J5)</f>
        <v>1818230</v>
      </c>
      <c r="L5" s="23">
        <f t="shared" ref="L5:L41" si="2">IF(AND(F5="новая",I5=1),Мес_2026_новые,MAX(0,4-I5))</f>
        <v>3</v>
      </c>
      <c r="M5" s="20">
        <f t="shared" ref="M5:M34" si="3">MAX(0,MIN(12,16-MAX(I5,4)))</f>
        <v>12</v>
      </c>
      <c r="N5" s="22">
        <f t="shared" ref="N5:N34" si="4">K5*L5</f>
        <v>5454690</v>
      </c>
      <c r="O5" s="22">
        <f t="shared" ref="O5:O34" si="5">K5*M5</f>
        <v>21818760</v>
      </c>
      <c r="P5" s="22">
        <f t="shared" ref="P5:P41" si="6">IF(AND(E5="штат",L5&gt;0),(H5+J5)*G5,0)</f>
        <v>1818230</v>
      </c>
      <c r="Q5" s="22">
        <f t="shared" ref="Q5:Q34" si="7">IF(E5="штат",Премия_KPI*H5*(1+J5/H5)*G5*M5/12,0)</f>
        <v>7272920.0000000009</v>
      </c>
      <c r="R5" s="22">
        <f t="shared" ref="R5:R34" si="8">IF(E5="штат",(ДМС+ОСНС)*G5*L5/12,0)</f>
        <v>57000</v>
      </c>
      <c r="S5" s="22">
        <f t="shared" ref="S5:S34" si="9">IF(E5="штат",(ДМС+ОСНС)*G5*M5/12,0)</f>
        <v>228000</v>
      </c>
      <c r="T5" s="22">
        <f t="shared" ref="T5:T34" si="10">N5+P5+R5</f>
        <v>7329920</v>
      </c>
      <c r="U5" s="22">
        <f t="shared" ref="U5:U34" si="11">O5+Q5+S5</f>
        <v>29319680</v>
      </c>
      <c r="V5" s="20" t="s">
        <v>321</v>
      </c>
    </row>
    <row r="6" spans="1:23" ht="15" customHeight="1" x14ac:dyDescent="0.25">
      <c r="A6" s="20">
        <v>2</v>
      </c>
      <c r="B6" s="20" t="s">
        <v>434</v>
      </c>
      <c r="C6" s="21" t="s">
        <v>436</v>
      </c>
      <c r="D6" s="21" t="s">
        <v>119</v>
      </c>
      <c r="E6" s="20" t="s">
        <v>117</v>
      </c>
      <c r="F6" s="20" t="s">
        <v>118</v>
      </c>
      <c r="G6" s="20">
        <v>1</v>
      </c>
      <c r="H6" s="22">
        <v>1400000</v>
      </c>
      <c r="I6" s="20">
        <v>1</v>
      </c>
      <c r="J6" s="22">
        <f t="shared" si="0"/>
        <v>194670</v>
      </c>
      <c r="K6" s="22">
        <f t="shared" si="1"/>
        <v>1594670</v>
      </c>
      <c r="L6" s="23">
        <f t="shared" si="2"/>
        <v>3</v>
      </c>
      <c r="M6" s="20">
        <f t="shared" si="3"/>
        <v>12</v>
      </c>
      <c r="N6" s="22">
        <f>K6*L6</f>
        <v>4784010</v>
      </c>
      <c r="O6" s="22">
        <f>K6*M6</f>
        <v>19136040</v>
      </c>
      <c r="P6" s="22">
        <f t="shared" si="6"/>
        <v>1594670</v>
      </c>
      <c r="Q6" s="22">
        <f t="shared" si="7"/>
        <v>6378680.0000000009</v>
      </c>
      <c r="R6" s="22">
        <f t="shared" si="8"/>
        <v>57000</v>
      </c>
      <c r="S6" s="22">
        <f t="shared" si="9"/>
        <v>228000</v>
      </c>
      <c r="T6" s="22">
        <f t="shared" si="10"/>
        <v>6435680</v>
      </c>
      <c r="U6" s="22">
        <f t="shared" si="11"/>
        <v>25742720</v>
      </c>
      <c r="V6" s="20" t="s">
        <v>437</v>
      </c>
    </row>
    <row r="7" spans="1:23" ht="15" customHeight="1" x14ac:dyDescent="0.25">
      <c r="A7" s="20">
        <v>3</v>
      </c>
      <c r="B7" s="20" t="s">
        <v>434</v>
      </c>
      <c r="C7" s="21" t="s">
        <v>411</v>
      </c>
      <c r="D7" s="21" t="s">
        <v>119</v>
      </c>
      <c r="E7" s="20" t="s">
        <v>117</v>
      </c>
      <c r="F7" s="20" t="s">
        <v>118</v>
      </c>
      <c r="G7" s="20">
        <v>1</v>
      </c>
      <c r="H7" s="22">
        <v>1400000</v>
      </c>
      <c r="I7" s="20">
        <v>1</v>
      </c>
      <c r="J7" s="22">
        <f t="shared" si="0"/>
        <v>194670</v>
      </c>
      <c r="K7" s="22">
        <f t="shared" si="1"/>
        <v>1594670</v>
      </c>
      <c r="L7" s="23">
        <f t="shared" si="2"/>
        <v>3</v>
      </c>
      <c r="M7" s="20">
        <f t="shared" si="3"/>
        <v>12</v>
      </c>
      <c r="N7" s="22">
        <f>K7*L7</f>
        <v>4784010</v>
      </c>
      <c r="O7" s="22">
        <f>K7*M7</f>
        <v>19136040</v>
      </c>
      <c r="P7" s="22">
        <f t="shared" si="6"/>
        <v>1594670</v>
      </c>
      <c r="Q7" s="22">
        <f t="shared" si="7"/>
        <v>6378680.0000000009</v>
      </c>
      <c r="R7" s="22">
        <f t="shared" si="8"/>
        <v>57000</v>
      </c>
      <c r="S7" s="22">
        <f t="shared" si="9"/>
        <v>228000</v>
      </c>
      <c r="T7" s="22">
        <f t="shared" si="10"/>
        <v>6435680</v>
      </c>
      <c r="U7" s="22">
        <f t="shared" si="11"/>
        <v>25742720</v>
      </c>
      <c r="V7" s="20" t="s">
        <v>410</v>
      </c>
    </row>
    <row r="8" spans="1:23" ht="15" customHeight="1" x14ac:dyDescent="0.25">
      <c r="A8" s="20">
        <v>4</v>
      </c>
      <c r="B8" s="20" t="s">
        <v>326</v>
      </c>
      <c r="C8" s="21" t="s">
        <v>438</v>
      </c>
      <c r="D8" s="21" t="s">
        <v>119</v>
      </c>
      <c r="E8" s="20" t="s">
        <v>117</v>
      </c>
      <c r="F8" s="20" t="s">
        <v>120</v>
      </c>
      <c r="G8" s="20">
        <v>1</v>
      </c>
      <c r="H8" s="22">
        <v>1400000</v>
      </c>
      <c r="I8" s="20">
        <v>1</v>
      </c>
      <c r="J8" s="22">
        <f t="shared" si="0"/>
        <v>194670</v>
      </c>
      <c r="K8" s="22">
        <f t="shared" si="1"/>
        <v>1594670</v>
      </c>
      <c r="L8" s="23">
        <f t="shared" si="2"/>
        <v>2.3548387096774195</v>
      </c>
      <c r="M8" s="20">
        <f t="shared" si="3"/>
        <v>12</v>
      </c>
      <c r="N8" s="22">
        <f t="shared" si="4"/>
        <v>3755190.6451612907</v>
      </c>
      <c r="O8" s="22">
        <f t="shared" si="5"/>
        <v>19136040</v>
      </c>
      <c r="P8" s="22">
        <f t="shared" si="6"/>
        <v>1594670</v>
      </c>
      <c r="Q8" s="22">
        <f t="shared" si="7"/>
        <v>6378680.0000000009</v>
      </c>
      <c r="R8" s="22">
        <f t="shared" si="8"/>
        <v>44741.93548387097</v>
      </c>
      <c r="S8" s="22">
        <f t="shared" si="9"/>
        <v>228000</v>
      </c>
      <c r="T8" s="22">
        <f t="shared" si="10"/>
        <v>5394602.5806451617</v>
      </c>
      <c r="U8" s="22">
        <f t="shared" si="11"/>
        <v>25742720</v>
      </c>
      <c r="V8" s="20" t="s">
        <v>439</v>
      </c>
    </row>
    <row r="9" spans="1:23" ht="15" customHeight="1" x14ac:dyDescent="0.25">
      <c r="A9" s="24">
        <v>5</v>
      </c>
      <c r="B9" s="24" t="s">
        <v>373</v>
      </c>
      <c r="C9" s="25" t="s">
        <v>374</v>
      </c>
      <c r="D9" s="25" t="s">
        <v>440</v>
      </c>
      <c r="E9" s="24" t="s">
        <v>117</v>
      </c>
      <c r="F9" s="24" t="s">
        <v>120</v>
      </c>
      <c r="G9" s="24">
        <v>1</v>
      </c>
      <c r="H9" s="26">
        <v>1300000</v>
      </c>
      <c r="I9" s="24">
        <v>4</v>
      </c>
      <c r="J9" s="26">
        <f t="shared" si="0"/>
        <v>182890</v>
      </c>
      <c r="K9" s="26">
        <f t="shared" si="1"/>
        <v>1482890</v>
      </c>
      <c r="L9" s="27">
        <f t="shared" si="2"/>
        <v>0</v>
      </c>
      <c r="M9" s="24">
        <f t="shared" si="3"/>
        <v>12</v>
      </c>
      <c r="N9" s="26">
        <f t="shared" si="4"/>
        <v>0</v>
      </c>
      <c r="O9" s="26">
        <f t="shared" si="5"/>
        <v>17794680</v>
      </c>
      <c r="P9" s="26">
        <f t="shared" si="6"/>
        <v>0</v>
      </c>
      <c r="Q9" s="26">
        <f t="shared" si="7"/>
        <v>5931560</v>
      </c>
      <c r="R9" s="26">
        <f t="shared" si="8"/>
        <v>0</v>
      </c>
      <c r="S9" s="26">
        <f t="shared" si="9"/>
        <v>228000</v>
      </c>
      <c r="T9" s="26">
        <f t="shared" si="10"/>
        <v>0</v>
      </c>
      <c r="U9" s="26">
        <f t="shared" si="11"/>
        <v>23954240</v>
      </c>
      <c r="V9" s="24" t="s">
        <v>375</v>
      </c>
    </row>
    <row r="10" spans="1:23" ht="15" customHeight="1" x14ac:dyDescent="0.25">
      <c r="A10" s="20">
        <v>6</v>
      </c>
      <c r="B10" s="20" t="s">
        <v>373</v>
      </c>
      <c r="C10" s="21" t="s">
        <v>376</v>
      </c>
      <c r="D10" s="21" t="s">
        <v>377</v>
      </c>
      <c r="E10" s="20" t="s">
        <v>117</v>
      </c>
      <c r="F10" s="20" t="s">
        <v>120</v>
      </c>
      <c r="G10" s="20">
        <v>1</v>
      </c>
      <c r="H10" s="22">
        <v>1000000</v>
      </c>
      <c r="I10" s="20">
        <v>1</v>
      </c>
      <c r="J10" s="22">
        <f t="shared" si="0"/>
        <v>147550</v>
      </c>
      <c r="K10" s="22">
        <f t="shared" si="1"/>
        <v>1147550</v>
      </c>
      <c r="L10" s="23">
        <f t="shared" si="2"/>
        <v>2.3548387096774195</v>
      </c>
      <c r="M10" s="20">
        <f t="shared" si="3"/>
        <v>12</v>
      </c>
      <c r="N10" s="22">
        <f t="shared" si="4"/>
        <v>2702295.1612903229</v>
      </c>
      <c r="O10" s="22">
        <f t="shared" si="5"/>
        <v>13770600</v>
      </c>
      <c r="P10" s="22">
        <f t="shared" si="6"/>
        <v>1147550</v>
      </c>
      <c r="Q10" s="22">
        <f t="shared" si="7"/>
        <v>4590200</v>
      </c>
      <c r="R10" s="22">
        <f t="shared" si="8"/>
        <v>44741.93548387097</v>
      </c>
      <c r="S10" s="22">
        <f t="shared" si="9"/>
        <v>228000</v>
      </c>
      <c r="T10" s="22">
        <f t="shared" si="10"/>
        <v>3894587.0967741939</v>
      </c>
      <c r="U10" s="22">
        <f t="shared" si="11"/>
        <v>18588800</v>
      </c>
      <c r="V10" s="20" t="s">
        <v>378</v>
      </c>
    </row>
    <row r="11" spans="1:23" ht="15" customHeight="1" x14ac:dyDescent="0.25">
      <c r="A11" s="24">
        <v>7</v>
      </c>
      <c r="B11" s="24" t="s">
        <v>373</v>
      </c>
      <c r="C11" s="25" t="s">
        <v>379</v>
      </c>
      <c r="D11" s="25" t="s">
        <v>377</v>
      </c>
      <c r="E11" s="24" t="s">
        <v>117</v>
      </c>
      <c r="F11" s="24" t="s">
        <v>120</v>
      </c>
      <c r="G11" s="24">
        <v>1</v>
      </c>
      <c r="H11" s="26">
        <v>1000000</v>
      </c>
      <c r="I11" s="24">
        <v>5</v>
      </c>
      <c r="J11" s="26">
        <f t="shared" ref="J11" si="12">IF(E11="штат",ROUND(Ставка_СН*H11*(1-Ставка_ОПВ-Ставка_ВОСМС)+Ставка_ОПВР*H11+Ставка_СО*MIN(H11*(1-Ставка_ОПВ),Кап_СО*МЗП)+Ставка_ООСМС*MIN(H11,Кап_ООСМС*МЗП),0),ROUND(H11*НДС,0))</f>
        <v>147550</v>
      </c>
      <c r="K11" s="26">
        <f t="shared" ref="K11" si="13">G11*(H11+J11)</f>
        <v>1147550</v>
      </c>
      <c r="L11" s="27">
        <f t="shared" ref="L11" si="14">IF(AND(F11="новая",I11=1),Мес_2026_новые,MAX(0,4-I11))</f>
        <v>0</v>
      </c>
      <c r="M11" s="24">
        <f t="shared" ref="M11" si="15">MAX(0,MIN(12,16-MAX(I11,4)))</f>
        <v>11</v>
      </c>
      <c r="N11" s="26">
        <f t="shared" ref="N11" si="16">K11*L11</f>
        <v>0</v>
      </c>
      <c r="O11" s="26">
        <f t="shared" ref="O11" si="17">K11*M11</f>
        <v>12623050</v>
      </c>
      <c r="P11" s="26">
        <f t="shared" si="6"/>
        <v>0</v>
      </c>
      <c r="Q11" s="26">
        <f t="shared" ref="Q11" si="18">IF(E11="штат",Премия_KPI*H11*(1+J11/H11)*G11*M11/12,0)</f>
        <v>4207683.333333333</v>
      </c>
      <c r="R11" s="26">
        <f t="shared" ref="R11" si="19">IF(E11="штат",(ДМС+ОСНС)*G11*L11/12,0)</f>
        <v>0</v>
      </c>
      <c r="S11" s="26">
        <f t="shared" ref="S11" si="20">IF(E11="штат",(ДМС+ОСНС)*G11*M11/12,0)</f>
        <v>209000</v>
      </c>
      <c r="T11" s="26">
        <f t="shared" ref="T11" si="21">N11+P11+R11</f>
        <v>0</v>
      </c>
      <c r="U11" s="26">
        <f t="shared" ref="U11" si="22">O11+Q11+S11</f>
        <v>17039733.333333332</v>
      </c>
      <c r="V11" s="24" t="s">
        <v>441</v>
      </c>
    </row>
    <row r="12" spans="1:23" ht="15" customHeight="1" x14ac:dyDescent="0.25">
      <c r="A12" s="24">
        <v>8</v>
      </c>
      <c r="B12" s="24" t="s">
        <v>373</v>
      </c>
      <c r="C12" s="25" t="s">
        <v>380</v>
      </c>
      <c r="D12" s="25" t="s">
        <v>377</v>
      </c>
      <c r="E12" s="24" t="s">
        <v>117</v>
      </c>
      <c r="F12" s="24" t="s">
        <v>120</v>
      </c>
      <c r="G12" s="24">
        <v>1</v>
      </c>
      <c r="H12" s="26">
        <v>700000</v>
      </c>
      <c r="I12" s="24">
        <v>5</v>
      </c>
      <c r="J12" s="26">
        <f t="shared" si="0"/>
        <v>112210</v>
      </c>
      <c r="K12" s="26">
        <f t="shared" si="1"/>
        <v>812210</v>
      </c>
      <c r="L12" s="27">
        <f t="shared" si="2"/>
        <v>0</v>
      </c>
      <c r="M12" s="24">
        <f t="shared" si="3"/>
        <v>11</v>
      </c>
      <c r="N12" s="26">
        <f t="shared" si="4"/>
        <v>0</v>
      </c>
      <c r="O12" s="26">
        <f t="shared" si="5"/>
        <v>8934310</v>
      </c>
      <c r="P12" s="26">
        <f t="shared" si="6"/>
        <v>0</v>
      </c>
      <c r="Q12" s="26">
        <f t="shared" si="7"/>
        <v>2978103.3333333326</v>
      </c>
      <c r="R12" s="26">
        <f t="shared" si="8"/>
        <v>0</v>
      </c>
      <c r="S12" s="26">
        <f t="shared" si="9"/>
        <v>209000</v>
      </c>
      <c r="T12" s="26">
        <f t="shared" si="10"/>
        <v>0</v>
      </c>
      <c r="U12" s="26">
        <f t="shared" si="11"/>
        <v>12121413.333333332</v>
      </c>
      <c r="V12" s="24" t="s">
        <v>442</v>
      </c>
    </row>
    <row r="13" spans="1:23" ht="15" customHeight="1" x14ac:dyDescent="0.25">
      <c r="A13" s="24">
        <v>9</v>
      </c>
      <c r="B13" s="24" t="s">
        <v>373</v>
      </c>
      <c r="C13" s="25" t="s">
        <v>381</v>
      </c>
      <c r="D13" s="25" t="s">
        <v>377</v>
      </c>
      <c r="E13" s="24" t="s">
        <v>117</v>
      </c>
      <c r="F13" s="24" t="s">
        <v>120</v>
      </c>
      <c r="G13" s="24">
        <v>1</v>
      </c>
      <c r="H13" s="26">
        <v>700000</v>
      </c>
      <c r="I13" s="24">
        <v>5</v>
      </c>
      <c r="J13" s="26">
        <f t="shared" si="0"/>
        <v>112210</v>
      </c>
      <c r="K13" s="26">
        <f t="shared" si="1"/>
        <v>812210</v>
      </c>
      <c r="L13" s="27">
        <f t="shared" si="2"/>
        <v>0</v>
      </c>
      <c r="M13" s="24">
        <f t="shared" si="3"/>
        <v>11</v>
      </c>
      <c r="N13" s="26">
        <f t="shared" si="4"/>
        <v>0</v>
      </c>
      <c r="O13" s="26">
        <f t="shared" si="5"/>
        <v>8934310</v>
      </c>
      <c r="P13" s="26">
        <f t="shared" si="6"/>
        <v>0</v>
      </c>
      <c r="Q13" s="26">
        <f t="shared" si="7"/>
        <v>2978103.3333333326</v>
      </c>
      <c r="R13" s="26">
        <f t="shared" si="8"/>
        <v>0</v>
      </c>
      <c r="S13" s="26">
        <f t="shared" si="9"/>
        <v>209000</v>
      </c>
      <c r="T13" s="26">
        <f t="shared" si="10"/>
        <v>0</v>
      </c>
      <c r="U13" s="26">
        <f t="shared" si="11"/>
        <v>12121413.333333332</v>
      </c>
      <c r="V13" s="24" t="s">
        <v>443</v>
      </c>
    </row>
    <row r="14" spans="1:23" ht="27.75" customHeight="1" x14ac:dyDescent="0.25">
      <c r="A14" s="24">
        <v>10</v>
      </c>
      <c r="B14" s="24" t="s">
        <v>444</v>
      </c>
      <c r="C14" s="25" t="s">
        <v>445</v>
      </c>
      <c r="D14" s="25" t="s">
        <v>446</v>
      </c>
      <c r="E14" s="24" t="s">
        <v>117</v>
      </c>
      <c r="F14" s="24" t="s">
        <v>120</v>
      </c>
      <c r="G14" s="24">
        <v>1</v>
      </c>
      <c r="H14" s="26">
        <v>1300000</v>
      </c>
      <c r="I14" s="24">
        <v>5</v>
      </c>
      <c r="J14" s="26">
        <f t="shared" si="0"/>
        <v>182890</v>
      </c>
      <c r="K14" s="26">
        <f t="shared" si="1"/>
        <v>1482890</v>
      </c>
      <c r="L14" s="27">
        <f t="shared" si="2"/>
        <v>0</v>
      </c>
      <c r="M14" s="24">
        <f t="shared" si="3"/>
        <v>11</v>
      </c>
      <c r="N14" s="26">
        <f t="shared" si="4"/>
        <v>0</v>
      </c>
      <c r="O14" s="26">
        <f t="shared" si="5"/>
        <v>16311790</v>
      </c>
      <c r="P14" s="26">
        <f t="shared" si="6"/>
        <v>0</v>
      </c>
      <c r="Q14" s="26">
        <f t="shared" si="7"/>
        <v>5437263.333333333</v>
      </c>
      <c r="R14" s="26">
        <f t="shared" si="8"/>
        <v>0</v>
      </c>
      <c r="S14" s="26">
        <f t="shared" si="9"/>
        <v>209000</v>
      </c>
      <c r="T14" s="26">
        <f t="shared" si="10"/>
        <v>0</v>
      </c>
      <c r="U14" s="26">
        <f t="shared" si="11"/>
        <v>21958053.333333332</v>
      </c>
      <c r="V14" s="24" t="s">
        <v>447</v>
      </c>
    </row>
    <row r="15" spans="1:23" ht="27.75" customHeight="1" x14ac:dyDescent="0.25">
      <c r="A15" s="24">
        <v>11</v>
      </c>
      <c r="B15" s="24" t="s">
        <v>444</v>
      </c>
      <c r="C15" s="25" t="s">
        <v>413</v>
      </c>
      <c r="D15" s="25" t="s">
        <v>448</v>
      </c>
      <c r="E15" s="24" t="s">
        <v>117</v>
      </c>
      <c r="F15" s="24" t="s">
        <v>120</v>
      </c>
      <c r="G15" s="24">
        <v>1</v>
      </c>
      <c r="H15" s="26">
        <v>800000</v>
      </c>
      <c r="I15" s="24">
        <v>5</v>
      </c>
      <c r="J15" s="26">
        <f t="shared" si="0"/>
        <v>123990</v>
      </c>
      <c r="K15" s="26">
        <f t="shared" si="1"/>
        <v>923990</v>
      </c>
      <c r="L15" s="27">
        <f t="shared" si="2"/>
        <v>0</v>
      </c>
      <c r="M15" s="24">
        <f t="shared" si="3"/>
        <v>11</v>
      </c>
      <c r="N15" s="26">
        <f t="shared" si="4"/>
        <v>0</v>
      </c>
      <c r="O15" s="26">
        <f t="shared" si="5"/>
        <v>10163890</v>
      </c>
      <c r="P15" s="26">
        <f t="shared" si="6"/>
        <v>0</v>
      </c>
      <c r="Q15" s="26">
        <f t="shared" si="7"/>
        <v>3387963.3333333335</v>
      </c>
      <c r="R15" s="26">
        <f t="shared" si="8"/>
        <v>0</v>
      </c>
      <c r="S15" s="26">
        <f t="shared" si="9"/>
        <v>209000</v>
      </c>
      <c r="T15" s="26">
        <f t="shared" si="10"/>
        <v>0</v>
      </c>
      <c r="U15" s="26">
        <f t="shared" si="11"/>
        <v>13760853.333333334</v>
      </c>
      <c r="V15" s="24" t="s">
        <v>449</v>
      </c>
    </row>
    <row r="16" spans="1:23" ht="27.75" customHeight="1" x14ac:dyDescent="0.25">
      <c r="A16" s="24">
        <v>12</v>
      </c>
      <c r="B16" s="24" t="s">
        <v>444</v>
      </c>
      <c r="C16" s="25" t="s">
        <v>412</v>
      </c>
      <c r="D16" s="25" t="s">
        <v>448</v>
      </c>
      <c r="E16" s="24" t="s">
        <v>117</v>
      </c>
      <c r="F16" s="24" t="s">
        <v>120</v>
      </c>
      <c r="G16" s="24">
        <v>1</v>
      </c>
      <c r="H16" s="26">
        <v>800000</v>
      </c>
      <c r="I16" s="24">
        <v>5</v>
      </c>
      <c r="J16" s="26">
        <f t="shared" si="0"/>
        <v>123990</v>
      </c>
      <c r="K16" s="26">
        <f t="shared" si="1"/>
        <v>923990</v>
      </c>
      <c r="L16" s="27">
        <f t="shared" si="2"/>
        <v>0</v>
      </c>
      <c r="M16" s="24">
        <f t="shared" si="3"/>
        <v>11</v>
      </c>
      <c r="N16" s="26">
        <f t="shared" si="4"/>
        <v>0</v>
      </c>
      <c r="O16" s="26">
        <f t="shared" si="5"/>
        <v>10163890</v>
      </c>
      <c r="P16" s="26">
        <f t="shared" si="6"/>
        <v>0</v>
      </c>
      <c r="Q16" s="26">
        <f t="shared" si="7"/>
        <v>3387963.3333333335</v>
      </c>
      <c r="R16" s="26">
        <f t="shared" si="8"/>
        <v>0</v>
      </c>
      <c r="S16" s="26">
        <f t="shared" si="9"/>
        <v>209000</v>
      </c>
      <c r="T16" s="26">
        <f t="shared" si="10"/>
        <v>0</v>
      </c>
      <c r="U16" s="26">
        <f t="shared" si="11"/>
        <v>13760853.333333334</v>
      </c>
      <c r="V16" s="24" t="s">
        <v>450</v>
      </c>
    </row>
    <row r="17" spans="1:22" ht="27.75" customHeight="1" x14ac:dyDescent="0.25">
      <c r="A17" s="24">
        <v>13</v>
      </c>
      <c r="B17" s="24" t="s">
        <v>382</v>
      </c>
      <c r="C17" s="25" t="s">
        <v>383</v>
      </c>
      <c r="D17" s="25" t="s">
        <v>440</v>
      </c>
      <c r="E17" s="24" t="s">
        <v>117</v>
      </c>
      <c r="F17" s="24" t="s">
        <v>120</v>
      </c>
      <c r="G17" s="24">
        <v>1</v>
      </c>
      <c r="H17" s="26">
        <v>1300000</v>
      </c>
      <c r="I17" s="24">
        <v>5</v>
      </c>
      <c r="J17" s="26">
        <f t="shared" ref="J17:J18" si="23">IF(E17="штат",ROUND(Ставка_СН*H17*(1-Ставка_ОПВ-Ставка_ВОСМС)+Ставка_ОПВР*H17+Ставка_СО*MIN(H17*(1-Ставка_ОПВ),Кап_СО*МЗП)+Ставка_ООСМС*MIN(H17,Кап_ООСМС*МЗП),0),ROUND(H17*НДС,0))</f>
        <v>182890</v>
      </c>
      <c r="K17" s="26">
        <f t="shared" ref="K17:K18" si="24">G17*(H17+J17)</f>
        <v>1482890</v>
      </c>
      <c r="L17" s="27">
        <f t="shared" ref="L17:L18" si="25">IF(AND(F17="новая",I17=1),Мес_2026_новые,MAX(0,4-I17))</f>
        <v>0</v>
      </c>
      <c r="M17" s="24">
        <f t="shared" ref="M17:M18" si="26">MAX(0,MIN(12,16-MAX(I17,4)))</f>
        <v>11</v>
      </c>
      <c r="N17" s="26">
        <f t="shared" ref="N17:N18" si="27">K17*L17</f>
        <v>0</v>
      </c>
      <c r="O17" s="26">
        <f t="shared" ref="O17:O18" si="28">K17*M17</f>
        <v>16311790</v>
      </c>
      <c r="P17" s="26">
        <f t="shared" si="6"/>
        <v>0</v>
      </c>
      <c r="Q17" s="26">
        <f t="shared" ref="Q17:Q18" si="29">IF(E17="штат",Премия_KPI*H17*(1+J17/H17)*G17*M17/12,0)</f>
        <v>5437263.333333333</v>
      </c>
      <c r="R17" s="26">
        <f t="shared" ref="R17:R18" si="30">IF(E17="штат",(ДМС+ОСНС)*G17*L17/12,0)</f>
        <v>0</v>
      </c>
      <c r="S17" s="26">
        <f t="shared" ref="S17:S18" si="31">IF(E17="штат",(ДМС+ОСНС)*G17*M17/12,0)</f>
        <v>209000</v>
      </c>
      <c r="T17" s="26">
        <f t="shared" ref="T17:T18" si="32">N17+P17+R17</f>
        <v>0</v>
      </c>
      <c r="U17" s="26">
        <f t="shared" ref="U17:U18" si="33">O17+Q17+S17</f>
        <v>21958053.333333332</v>
      </c>
      <c r="V17" s="24" t="s">
        <v>451</v>
      </c>
    </row>
    <row r="18" spans="1:22" ht="27.75" customHeight="1" x14ac:dyDescent="0.25">
      <c r="A18" s="20">
        <v>14</v>
      </c>
      <c r="B18" s="20" t="s">
        <v>382</v>
      </c>
      <c r="C18" s="21" t="s">
        <v>452</v>
      </c>
      <c r="D18" s="21" t="s">
        <v>385</v>
      </c>
      <c r="E18" s="20" t="s">
        <v>117</v>
      </c>
      <c r="F18" s="20" t="s">
        <v>120</v>
      </c>
      <c r="G18" s="20">
        <v>1</v>
      </c>
      <c r="H18" s="22">
        <v>1100000</v>
      </c>
      <c r="I18" s="20">
        <v>1</v>
      </c>
      <c r="J18" s="22">
        <f t="shared" si="23"/>
        <v>159330</v>
      </c>
      <c r="K18" s="22">
        <f t="shared" si="24"/>
        <v>1259330</v>
      </c>
      <c r="L18" s="23">
        <f t="shared" si="25"/>
        <v>2.3548387096774195</v>
      </c>
      <c r="M18" s="20">
        <f t="shared" si="26"/>
        <v>12</v>
      </c>
      <c r="N18" s="22">
        <f t="shared" si="27"/>
        <v>2965519.0322580645</v>
      </c>
      <c r="O18" s="22">
        <f t="shared" si="28"/>
        <v>15111960</v>
      </c>
      <c r="P18" s="22">
        <f t="shared" si="6"/>
        <v>1259330</v>
      </c>
      <c r="Q18" s="22">
        <f t="shared" si="29"/>
        <v>5037320</v>
      </c>
      <c r="R18" s="22">
        <f t="shared" si="30"/>
        <v>44741.93548387097</v>
      </c>
      <c r="S18" s="22">
        <f t="shared" si="31"/>
        <v>228000</v>
      </c>
      <c r="T18" s="22">
        <f t="shared" si="32"/>
        <v>4269590.9677419355</v>
      </c>
      <c r="U18" s="22">
        <f t="shared" si="33"/>
        <v>20377280</v>
      </c>
      <c r="V18" s="20" t="s">
        <v>453</v>
      </c>
    </row>
    <row r="19" spans="1:22" ht="27.75" customHeight="1" x14ac:dyDescent="0.25">
      <c r="A19" s="20">
        <v>15</v>
      </c>
      <c r="B19" s="20" t="s">
        <v>382</v>
      </c>
      <c r="C19" s="21" t="s">
        <v>384</v>
      </c>
      <c r="D19" s="21" t="s">
        <v>385</v>
      </c>
      <c r="E19" s="20" t="s">
        <v>117</v>
      </c>
      <c r="F19" s="20" t="s">
        <v>120</v>
      </c>
      <c r="G19" s="20">
        <v>1</v>
      </c>
      <c r="H19" s="22">
        <v>1000000</v>
      </c>
      <c r="I19" s="20">
        <v>1</v>
      </c>
      <c r="J19" s="22">
        <f t="shared" si="0"/>
        <v>147550</v>
      </c>
      <c r="K19" s="22">
        <f t="shared" si="1"/>
        <v>1147550</v>
      </c>
      <c r="L19" s="23">
        <f t="shared" si="2"/>
        <v>2.3548387096774195</v>
      </c>
      <c r="M19" s="20">
        <f t="shared" si="3"/>
        <v>12</v>
      </c>
      <c r="N19" s="22">
        <f t="shared" si="4"/>
        <v>2702295.1612903229</v>
      </c>
      <c r="O19" s="22">
        <f t="shared" si="5"/>
        <v>13770600</v>
      </c>
      <c r="P19" s="22">
        <f t="shared" si="6"/>
        <v>1147550</v>
      </c>
      <c r="Q19" s="22">
        <f t="shared" si="7"/>
        <v>4590200</v>
      </c>
      <c r="R19" s="22">
        <f t="shared" si="8"/>
        <v>44741.93548387097</v>
      </c>
      <c r="S19" s="22">
        <f t="shared" si="9"/>
        <v>228000</v>
      </c>
      <c r="T19" s="22">
        <f t="shared" si="10"/>
        <v>3894587.0967741939</v>
      </c>
      <c r="U19" s="22">
        <f t="shared" si="11"/>
        <v>18588800</v>
      </c>
      <c r="V19" s="20" t="s">
        <v>386</v>
      </c>
    </row>
    <row r="20" spans="1:22" ht="15" customHeight="1" x14ac:dyDescent="0.25">
      <c r="A20" s="24">
        <v>16</v>
      </c>
      <c r="B20" s="24" t="s">
        <v>382</v>
      </c>
      <c r="C20" s="25" t="s">
        <v>384</v>
      </c>
      <c r="D20" s="25" t="s">
        <v>385</v>
      </c>
      <c r="E20" s="24" t="s">
        <v>117</v>
      </c>
      <c r="F20" s="24" t="s">
        <v>120</v>
      </c>
      <c r="G20" s="24">
        <v>1</v>
      </c>
      <c r="H20" s="26">
        <v>1000000</v>
      </c>
      <c r="I20" s="24">
        <v>5</v>
      </c>
      <c r="J20" s="26">
        <f t="shared" si="0"/>
        <v>147550</v>
      </c>
      <c r="K20" s="26">
        <f t="shared" si="1"/>
        <v>1147550</v>
      </c>
      <c r="L20" s="27">
        <f t="shared" si="2"/>
        <v>0</v>
      </c>
      <c r="M20" s="24">
        <f t="shared" si="3"/>
        <v>11</v>
      </c>
      <c r="N20" s="26">
        <f t="shared" si="4"/>
        <v>0</v>
      </c>
      <c r="O20" s="26">
        <f t="shared" si="5"/>
        <v>12623050</v>
      </c>
      <c r="P20" s="26">
        <f t="shared" si="6"/>
        <v>0</v>
      </c>
      <c r="Q20" s="26">
        <f t="shared" si="7"/>
        <v>4207683.333333333</v>
      </c>
      <c r="R20" s="26">
        <f t="shared" si="8"/>
        <v>0</v>
      </c>
      <c r="S20" s="26">
        <f t="shared" si="9"/>
        <v>209000</v>
      </c>
      <c r="T20" s="26">
        <f t="shared" si="10"/>
        <v>0</v>
      </c>
      <c r="U20" s="26">
        <f t="shared" si="11"/>
        <v>17039733.333333332</v>
      </c>
      <c r="V20" s="24" t="s">
        <v>454</v>
      </c>
    </row>
    <row r="21" spans="1:22" ht="15" customHeight="1" x14ac:dyDescent="0.25">
      <c r="A21" s="20">
        <v>17</v>
      </c>
      <c r="B21" s="20" t="s">
        <v>382</v>
      </c>
      <c r="C21" s="21" t="s">
        <v>384</v>
      </c>
      <c r="D21" s="21" t="s">
        <v>385</v>
      </c>
      <c r="E21" s="20" t="s">
        <v>117</v>
      </c>
      <c r="F21" s="20" t="s">
        <v>120</v>
      </c>
      <c r="G21" s="20">
        <v>1</v>
      </c>
      <c r="H21" s="22">
        <v>1000000</v>
      </c>
      <c r="I21" s="20">
        <v>1</v>
      </c>
      <c r="J21" s="22">
        <f t="shared" si="0"/>
        <v>147550</v>
      </c>
      <c r="K21" s="22">
        <f t="shared" si="1"/>
        <v>1147550</v>
      </c>
      <c r="L21" s="23">
        <f t="shared" si="2"/>
        <v>2.3548387096774195</v>
      </c>
      <c r="M21" s="20">
        <f t="shared" si="3"/>
        <v>12</v>
      </c>
      <c r="N21" s="22">
        <f t="shared" si="4"/>
        <v>2702295.1612903229</v>
      </c>
      <c r="O21" s="22">
        <f t="shared" si="5"/>
        <v>13770600</v>
      </c>
      <c r="P21" s="22">
        <f t="shared" si="6"/>
        <v>1147550</v>
      </c>
      <c r="Q21" s="22">
        <f t="shared" si="7"/>
        <v>4590200</v>
      </c>
      <c r="R21" s="22">
        <f t="shared" si="8"/>
        <v>44741.93548387097</v>
      </c>
      <c r="S21" s="22">
        <f t="shared" si="9"/>
        <v>228000</v>
      </c>
      <c r="T21" s="22">
        <f t="shared" si="10"/>
        <v>3894587.0967741939</v>
      </c>
      <c r="U21" s="22">
        <f t="shared" si="11"/>
        <v>18588800</v>
      </c>
      <c r="V21" s="20" t="s">
        <v>387</v>
      </c>
    </row>
    <row r="22" spans="1:22" ht="15" customHeight="1" x14ac:dyDescent="0.25">
      <c r="A22" s="20">
        <v>18</v>
      </c>
      <c r="B22" s="20" t="s">
        <v>382</v>
      </c>
      <c r="C22" s="21" t="s">
        <v>388</v>
      </c>
      <c r="D22" s="21" t="s">
        <v>385</v>
      </c>
      <c r="E22" s="20" t="s">
        <v>117</v>
      </c>
      <c r="F22" s="20" t="s">
        <v>120</v>
      </c>
      <c r="G22" s="20">
        <v>1</v>
      </c>
      <c r="H22" s="22">
        <v>1000000</v>
      </c>
      <c r="I22" s="20">
        <v>1</v>
      </c>
      <c r="J22" s="22">
        <f t="shared" si="0"/>
        <v>147550</v>
      </c>
      <c r="K22" s="22">
        <f t="shared" si="1"/>
        <v>1147550</v>
      </c>
      <c r="L22" s="23">
        <f t="shared" si="2"/>
        <v>2.3548387096774195</v>
      </c>
      <c r="M22" s="20">
        <f t="shared" si="3"/>
        <v>12</v>
      </c>
      <c r="N22" s="22">
        <f t="shared" si="4"/>
        <v>2702295.1612903229</v>
      </c>
      <c r="O22" s="22">
        <f t="shared" si="5"/>
        <v>13770600</v>
      </c>
      <c r="P22" s="22">
        <f t="shared" si="6"/>
        <v>1147550</v>
      </c>
      <c r="Q22" s="22">
        <f t="shared" si="7"/>
        <v>4590200</v>
      </c>
      <c r="R22" s="22">
        <f t="shared" si="8"/>
        <v>44741.93548387097</v>
      </c>
      <c r="S22" s="22">
        <f t="shared" si="9"/>
        <v>228000</v>
      </c>
      <c r="T22" s="22">
        <f t="shared" si="10"/>
        <v>3894587.0967741939</v>
      </c>
      <c r="U22" s="22">
        <f t="shared" si="11"/>
        <v>18588800</v>
      </c>
      <c r="V22" s="20" t="s">
        <v>389</v>
      </c>
    </row>
    <row r="23" spans="1:22" ht="15" customHeight="1" x14ac:dyDescent="0.25">
      <c r="A23" s="20">
        <v>19</v>
      </c>
      <c r="B23" s="20" t="s">
        <v>382</v>
      </c>
      <c r="C23" s="21" t="s">
        <v>388</v>
      </c>
      <c r="D23" s="21" t="s">
        <v>385</v>
      </c>
      <c r="E23" s="20" t="s">
        <v>117</v>
      </c>
      <c r="F23" s="20" t="s">
        <v>120</v>
      </c>
      <c r="G23" s="20">
        <v>1</v>
      </c>
      <c r="H23" s="22">
        <v>700000</v>
      </c>
      <c r="I23" s="20">
        <v>1</v>
      </c>
      <c r="J23" s="22">
        <f t="shared" si="0"/>
        <v>112210</v>
      </c>
      <c r="K23" s="22">
        <f t="shared" si="1"/>
        <v>812210</v>
      </c>
      <c r="L23" s="23">
        <f t="shared" si="2"/>
        <v>2.3548387096774195</v>
      </c>
      <c r="M23" s="20">
        <f t="shared" si="3"/>
        <v>12</v>
      </c>
      <c r="N23" s="22">
        <f t="shared" si="4"/>
        <v>1912623.548387097</v>
      </c>
      <c r="O23" s="22">
        <f t="shared" si="5"/>
        <v>9746520</v>
      </c>
      <c r="P23" s="22">
        <f t="shared" si="6"/>
        <v>812210</v>
      </c>
      <c r="Q23" s="22">
        <f t="shared" si="7"/>
        <v>3248839.9999999995</v>
      </c>
      <c r="R23" s="22">
        <f t="shared" si="8"/>
        <v>44741.93548387097</v>
      </c>
      <c r="S23" s="22">
        <f t="shared" si="9"/>
        <v>228000</v>
      </c>
      <c r="T23" s="22">
        <f t="shared" si="10"/>
        <v>2769575.4838709682</v>
      </c>
      <c r="U23" s="22">
        <f t="shared" si="11"/>
        <v>13223360</v>
      </c>
      <c r="V23" s="20" t="s">
        <v>390</v>
      </c>
    </row>
    <row r="24" spans="1:22" ht="15" customHeight="1" x14ac:dyDescent="0.25">
      <c r="A24" s="24">
        <v>20</v>
      </c>
      <c r="B24" s="24" t="s">
        <v>382</v>
      </c>
      <c r="C24" s="25" t="s">
        <v>388</v>
      </c>
      <c r="D24" s="25" t="s">
        <v>385</v>
      </c>
      <c r="E24" s="24" t="s">
        <v>117</v>
      </c>
      <c r="F24" s="24" t="s">
        <v>120</v>
      </c>
      <c r="G24" s="24">
        <v>1</v>
      </c>
      <c r="H24" s="26">
        <v>700000</v>
      </c>
      <c r="I24" s="24">
        <v>5</v>
      </c>
      <c r="J24" s="26">
        <f t="shared" si="0"/>
        <v>112210</v>
      </c>
      <c r="K24" s="26">
        <f t="shared" si="1"/>
        <v>812210</v>
      </c>
      <c r="L24" s="27">
        <f t="shared" si="2"/>
        <v>0</v>
      </c>
      <c r="M24" s="24">
        <f t="shared" si="3"/>
        <v>11</v>
      </c>
      <c r="N24" s="26">
        <f t="shared" si="4"/>
        <v>0</v>
      </c>
      <c r="O24" s="26">
        <f t="shared" si="5"/>
        <v>8934310</v>
      </c>
      <c r="P24" s="26">
        <f t="shared" si="6"/>
        <v>0</v>
      </c>
      <c r="Q24" s="26">
        <f t="shared" si="7"/>
        <v>2978103.3333333326</v>
      </c>
      <c r="R24" s="26">
        <f t="shared" si="8"/>
        <v>0</v>
      </c>
      <c r="S24" s="26">
        <f t="shared" si="9"/>
        <v>209000</v>
      </c>
      <c r="T24" s="26">
        <f t="shared" si="10"/>
        <v>0</v>
      </c>
      <c r="U24" s="26">
        <f t="shared" si="11"/>
        <v>12121413.333333332</v>
      </c>
      <c r="V24" s="24" t="s">
        <v>455</v>
      </c>
    </row>
    <row r="25" spans="1:22" ht="15" customHeight="1" x14ac:dyDescent="0.25">
      <c r="A25" s="24">
        <v>21</v>
      </c>
      <c r="B25" s="24" t="s">
        <v>382</v>
      </c>
      <c r="C25" s="25" t="s">
        <v>388</v>
      </c>
      <c r="D25" s="25" t="s">
        <v>385</v>
      </c>
      <c r="E25" s="24" t="s">
        <v>117</v>
      </c>
      <c r="F25" s="24" t="s">
        <v>120</v>
      </c>
      <c r="G25" s="24">
        <v>1</v>
      </c>
      <c r="H25" s="26">
        <v>700000</v>
      </c>
      <c r="I25" s="24">
        <v>5</v>
      </c>
      <c r="J25" s="26">
        <f t="shared" ref="J25:J26" si="34">IF(E25="штат",ROUND(Ставка_СН*H25*(1-Ставка_ОПВ-Ставка_ВОСМС)+Ставка_ОПВР*H25+Ставка_СО*MIN(H25*(1-Ставка_ОПВ),Кап_СО*МЗП)+Ставка_ООСМС*MIN(H25,Кап_ООСМС*МЗП),0),ROUND(H25*НДС,0))</f>
        <v>112210</v>
      </c>
      <c r="K25" s="26">
        <f t="shared" ref="K25:K26" si="35">G25*(H25+J25)</f>
        <v>812210</v>
      </c>
      <c r="L25" s="27">
        <f t="shared" ref="L25:L26" si="36">IF(AND(F25="новая",I25=1),Мес_2026_новые,MAX(0,4-I25))</f>
        <v>0</v>
      </c>
      <c r="M25" s="24">
        <f t="shared" ref="M25:M26" si="37">MAX(0,MIN(12,16-MAX(I25,4)))</f>
        <v>11</v>
      </c>
      <c r="N25" s="26">
        <f t="shared" ref="N25:N26" si="38">K25*L25</f>
        <v>0</v>
      </c>
      <c r="O25" s="26">
        <f t="shared" ref="O25:O26" si="39">K25*M25</f>
        <v>8934310</v>
      </c>
      <c r="P25" s="26">
        <f t="shared" si="6"/>
        <v>0</v>
      </c>
      <c r="Q25" s="26">
        <f t="shared" ref="Q25:Q26" si="40">IF(E25="штат",Премия_KPI*H25*(1+J25/H25)*G25*M25/12,0)</f>
        <v>2978103.3333333326</v>
      </c>
      <c r="R25" s="26">
        <f t="shared" ref="R25:R26" si="41">IF(E25="штат",(ДМС+ОСНС)*G25*L25/12,0)</f>
        <v>0</v>
      </c>
      <c r="S25" s="26">
        <f t="shared" ref="S25:S26" si="42">IF(E25="штат",(ДМС+ОСНС)*G25*M25/12,0)</f>
        <v>209000</v>
      </c>
      <c r="T25" s="26">
        <f t="shared" ref="T25:T26" si="43">N25+P25+R25</f>
        <v>0</v>
      </c>
      <c r="U25" s="26">
        <f t="shared" ref="U25:U26" si="44">O25+Q25+S25</f>
        <v>12121413.333333332</v>
      </c>
      <c r="V25" s="24" t="s">
        <v>456</v>
      </c>
    </row>
    <row r="26" spans="1:22" ht="15" customHeight="1" x14ac:dyDescent="0.25">
      <c r="A26" s="24">
        <v>22</v>
      </c>
      <c r="B26" s="24" t="s">
        <v>382</v>
      </c>
      <c r="C26" s="25" t="s">
        <v>409</v>
      </c>
      <c r="D26" s="25" t="s">
        <v>385</v>
      </c>
      <c r="E26" s="24" t="s">
        <v>117</v>
      </c>
      <c r="F26" s="24" t="s">
        <v>120</v>
      </c>
      <c r="G26" s="24">
        <v>1</v>
      </c>
      <c r="H26" s="26">
        <v>800000</v>
      </c>
      <c r="I26" s="24">
        <v>5</v>
      </c>
      <c r="J26" s="26">
        <f t="shared" si="34"/>
        <v>123990</v>
      </c>
      <c r="K26" s="26">
        <f t="shared" si="35"/>
        <v>923990</v>
      </c>
      <c r="L26" s="27">
        <f t="shared" si="36"/>
        <v>0</v>
      </c>
      <c r="M26" s="24">
        <f t="shared" si="37"/>
        <v>11</v>
      </c>
      <c r="N26" s="26">
        <f t="shared" si="38"/>
        <v>0</v>
      </c>
      <c r="O26" s="26">
        <f t="shared" si="39"/>
        <v>10163890</v>
      </c>
      <c r="P26" s="26">
        <f t="shared" si="6"/>
        <v>0</v>
      </c>
      <c r="Q26" s="26">
        <f t="shared" si="40"/>
        <v>3387963.3333333335</v>
      </c>
      <c r="R26" s="26">
        <f t="shared" si="41"/>
        <v>0</v>
      </c>
      <c r="S26" s="26">
        <f t="shared" si="42"/>
        <v>209000</v>
      </c>
      <c r="T26" s="26">
        <f t="shared" si="43"/>
        <v>0</v>
      </c>
      <c r="U26" s="26">
        <f t="shared" si="44"/>
        <v>13760853.333333334</v>
      </c>
      <c r="V26" s="24" t="s">
        <v>457</v>
      </c>
    </row>
    <row r="27" spans="1:22" ht="15" customHeight="1" x14ac:dyDescent="0.25">
      <c r="A27" s="20">
        <v>23</v>
      </c>
      <c r="B27" s="20" t="s">
        <v>391</v>
      </c>
      <c r="C27" s="21" t="s">
        <v>374</v>
      </c>
      <c r="D27" s="21" t="s">
        <v>440</v>
      </c>
      <c r="E27" s="20" t="s">
        <v>117</v>
      </c>
      <c r="F27" s="20" t="s">
        <v>120</v>
      </c>
      <c r="G27" s="20">
        <v>1</v>
      </c>
      <c r="H27" s="22">
        <v>1300000</v>
      </c>
      <c r="I27" s="20">
        <v>1</v>
      </c>
      <c r="J27" s="22">
        <f t="shared" ref="J27" si="45">IF(E27="штат",ROUND(Ставка_СН*H27*(1-Ставка_ОПВ-Ставка_ВОСМС)+Ставка_ОПВР*H27+Ставка_СО*MIN(H27*(1-Ставка_ОПВ),Кап_СО*МЗП)+Ставка_ООСМС*MIN(H27,Кап_ООСМС*МЗП),0),ROUND(H27*НДС,0))</f>
        <v>182890</v>
      </c>
      <c r="K27" s="22">
        <f t="shared" ref="K27" si="46">G27*(H27+J27)</f>
        <v>1482890</v>
      </c>
      <c r="L27" s="23">
        <f t="shared" ref="L27" si="47">IF(AND(F27="новая",I27=1),Мес_2026_новые,MAX(0,4-I27))</f>
        <v>2.3548387096774195</v>
      </c>
      <c r="M27" s="20">
        <f t="shared" ref="M27" si="48">MAX(0,MIN(12,16-MAX(I27,4)))</f>
        <v>12</v>
      </c>
      <c r="N27" s="22">
        <f t="shared" ref="N27" si="49">K27*L27</f>
        <v>3491966.7741935486</v>
      </c>
      <c r="O27" s="22">
        <f t="shared" ref="O27" si="50">K27*M27</f>
        <v>17794680</v>
      </c>
      <c r="P27" s="22">
        <f t="shared" si="6"/>
        <v>1482890</v>
      </c>
      <c r="Q27" s="22">
        <f t="shared" ref="Q27" si="51">IF(E27="штат",Премия_KPI*H27*(1+J27/H27)*G27*M27/12,0)</f>
        <v>5931560</v>
      </c>
      <c r="R27" s="22">
        <f t="shared" ref="R27" si="52">IF(E27="штат",(ДМС+ОСНС)*G27*L27/12,0)</f>
        <v>44741.93548387097</v>
      </c>
      <c r="S27" s="22">
        <f t="shared" ref="S27" si="53">IF(E27="штат",(ДМС+ОСНС)*G27*M27/12,0)</f>
        <v>228000</v>
      </c>
      <c r="T27" s="22">
        <f t="shared" ref="T27" si="54">N27+P27+R27</f>
        <v>5019598.7096774196</v>
      </c>
      <c r="U27" s="22">
        <f t="shared" ref="U27" si="55">O27+Q27+S27</f>
        <v>23954240</v>
      </c>
      <c r="V27" s="20" t="s">
        <v>392</v>
      </c>
    </row>
    <row r="28" spans="1:22" ht="15" customHeight="1" x14ac:dyDescent="0.25">
      <c r="A28" s="28">
        <v>24</v>
      </c>
      <c r="B28" s="28" t="s">
        <v>391</v>
      </c>
      <c r="C28" s="29" t="s">
        <v>458</v>
      </c>
      <c r="D28" s="29" t="s">
        <v>377</v>
      </c>
      <c r="E28" s="28" t="s">
        <v>393</v>
      </c>
      <c r="F28" s="28" t="s">
        <v>120</v>
      </c>
      <c r="G28" s="28">
        <v>0</v>
      </c>
      <c r="H28" s="30">
        <v>1000000</v>
      </c>
      <c r="I28" s="28">
        <v>1</v>
      </c>
      <c r="J28" s="30">
        <f t="shared" si="0"/>
        <v>160000</v>
      </c>
      <c r="K28" s="30">
        <f t="shared" si="1"/>
        <v>0</v>
      </c>
      <c r="L28" s="31">
        <f t="shared" si="2"/>
        <v>2.3548387096774195</v>
      </c>
      <c r="M28" s="28">
        <f t="shared" si="3"/>
        <v>12</v>
      </c>
      <c r="N28" s="30">
        <f t="shared" si="4"/>
        <v>0</v>
      </c>
      <c r="O28" s="30">
        <f t="shared" si="5"/>
        <v>0</v>
      </c>
      <c r="P28" s="30">
        <f t="shared" si="6"/>
        <v>0</v>
      </c>
      <c r="Q28" s="30">
        <f t="shared" si="7"/>
        <v>0</v>
      </c>
      <c r="R28" s="30">
        <f t="shared" si="8"/>
        <v>0</v>
      </c>
      <c r="S28" s="30">
        <f t="shared" si="9"/>
        <v>0</v>
      </c>
      <c r="T28" s="30">
        <f t="shared" si="10"/>
        <v>0</v>
      </c>
      <c r="U28" s="30">
        <f t="shared" si="11"/>
        <v>0</v>
      </c>
      <c r="V28" s="28" t="s">
        <v>503</v>
      </c>
    </row>
    <row r="29" spans="1:22" ht="27.75" customHeight="1" x14ac:dyDescent="0.25">
      <c r="A29" s="20">
        <v>25</v>
      </c>
      <c r="B29" s="20" t="s">
        <v>394</v>
      </c>
      <c r="C29" s="21" t="s">
        <v>395</v>
      </c>
      <c r="D29" s="21" t="s">
        <v>440</v>
      </c>
      <c r="E29" s="20" t="s">
        <v>117</v>
      </c>
      <c r="F29" s="20" t="s">
        <v>120</v>
      </c>
      <c r="G29" s="20">
        <v>1</v>
      </c>
      <c r="H29" s="22">
        <v>1300000</v>
      </c>
      <c r="I29" s="20">
        <v>1</v>
      </c>
      <c r="J29" s="22">
        <f t="shared" si="0"/>
        <v>182890</v>
      </c>
      <c r="K29" s="22">
        <f t="shared" si="1"/>
        <v>1482890</v>
      </c>
      <c r="L29" s="23">
        <f t="shared" si="2"/>
        <v>2.3548387096774195</v>
      </c>
      <c r="M29" s="20">
        <f t="shared" si="3"/>
        <v>12</v>
      </c>
      <c r="N29" s="22">
        <f t="shared" si="4"/>
        <v>3491966.7741935486</v>
      </c>
      <c r="O29" s="22">
        <f t="shared" si="5"/>
        <v>17794680</v>
      </c>
      <c r="P29" s="22">
        <f t="shared" si="6"/>
        <v>1482890</v>
      </c>
      <c r="Q29" s="22">
        <f t="shared" si="7"/>
        <v>5931560</v>
      </c>
      <c r="R29" s="22">
        <f t="shared" si="8"/>
        <v>44741.93548387097</v>
      </c>
      <c r="S29" s="22">
        <f t="shared" si="9"/>
        <v>228000</v>
      </c>
      <c r="T29" s="22">
        <f t="shared" si="10"/>
        <v>5019598.7096774196</v>
      </c>
      <c r="U29" s="22">
        <f t="shared" si="11"/>
        <v>23954240</v>
      </c>
      <c r="V29" s="20" t="s">
        <v>396</v>
      </c>
    </row>
    <row r="30" spans="1:22" ht="27.75" customHeight="1" x14ac:dyDescent="0.25">
      <c r="A30" s="20">
        <v>26</v>
      </c>
      <c r="B30" s="20" t="s">
        <v>394</v>
      </c>
      <c r="C30" s="21" t="s">
        <v>397</v>
      </c>
      <c r="D30" s="21" t="s">
        <v>327</v>
      </c>
      <c r="E30" s="20" t="s">
        <v>117</v>
      </c>
      <c r="F30" s="20" t="s">
        <v>120</v>
      </c>
      <c r="G30" s="20">
        <v>1</v>
      </c>
      <c r="H30" s="22">
        <v>1000000</v>
      </c>
      <c r="I30" s="20">
        <v>1</v>
      </c>
      <c r="J30" s="22">
        <f t="shared" si="0"/>
        <v>147550</v>
      </c>
      <c r="K30" s="22">
        <f t="shared" si="1"/>
        <v>1147550</v>
      </c>
      <c r="L30" s="23">
        <f t="shared" si="2"/>
        <v>2.3548387096774195</v>
      </c>
      <c r="M30" s="20">
        <f t="shared" si="3"/>
        <v>12</v>
      </c>
      <c r="N30" s="22">
        <f t="shared" si="4"/>
        <v>2702295.1612903229</v>
      </c>
      <c r="O30" s="22">
        <f t="shared" si="5"/>
        <v>13770600</v>
      </c>
      <c r="P30" s="22">
        <f t="shared" si="6"/>
        <v>1147550</v>
      </c>
      <c r="Q30" s="22">
        <f t="shared" si="7"/>
        <v>4590200</v>
      </c>
      <c r="R30" s="22">
        <f t="shared" si="8"/>
        <v>44741.93548387097</v>
      </c>
      <c r="S30" s="22">
        <f t="shared" si="9"/>
        <v>228000</v>
      </c>
      <c r="T30" s="22">
        <f t="shared" si="10"/>
        <v>3894587.0967741939</v>
      </c>
      <c r="U30" s="22">
        <f t="shared" si="11"/>
        <v>18588800</v>
      </c>
      <c r="V30" s="20" t="s">
        <v>398</v>
      </c>
    </row>
    <row r="31" spans="1:22" ht="27.75" customHeight="1" x14ac:dyDescent="0.25">
      <c r="A31" s="28">
        <v>27</v>
      </c>
      <c r="B31" s="28" t="s">
        <v>394</v>
      </c>
      <c r="C31" s="29" t="s">
        <v>403</v>
      </c>
      <c r="D31" s="29" t="s">
        <v>327</v>
      </c>
      <c r="E31" s="28" t="s">
        <v>393</v>
      </c>
      <c r="F31" s="28" t="s">
        <v>120</v>
      </c>
      <c r="G31" s="28">
        <v>0</v>
      </c>
      <c r="H31" s="30">
        <v>1000000</v>
      </c>
      <c r="I31" s="28">
        <v>1</v>
      </c>
      <c r="J31" s="30">
        <f t="shared" si="0"/>
        <v>160000</v>
      </c>
      <c r="K31" s="30">
        <f t="shared" si="1"/>
        <v>0</v>
      </c>
      <c r="L31" s="31">
        <f t="shared" si="2"/>
        <v>2.3548387096774195</v>
      </c>
      <c r="M31" s="28">
        <f t="shared" si="3"/>
        <v>12</v>
      </c>
      <c r="N31" s="30">
        <f t="shared" si="4"/>
        <v>0</v>
      </c>
      <c r="O31" s="30">
        <f t="shared" si="5"/>
        <v>0</v>
      </c>
      <c r="P31" s="30">
        <f t="shared" si="6"/>
        <v>0</v>
      </c>
      <c r="Q31" s="30">
        <f t="shared" si="7"/>
        <v>0</v>
      </c>
      <c r="R31" s="30">
        <f t="shared" si="8"/>
        <v>0</v>
      </c>
      <c r="S31" s="30">
        <f t="shared" si="9"/>
        <v>0</v>
      </c>
      <c r="T31" s="30">
        <f t="shared" si="10"/>
        <v>0</v>
      </c>
      <c r="U31" s="30">
        <f t="shared" si="11"/>
        <v>0</v>
      </c>
      <c r="V31" s="28" t="s">
        <v>504</v>
      </c>
    </row>
    <row r="32" spans="1:22" ht="27.75" customHeight="1" x14ac:dyDescent="0.25">
      <c r="A32" s="28">
        <v>28</v>
      </c>
      <c r="B32" s="28" t="s">
        <v>394</v>
      </c>
      <c r="C32" s="29" t="s">
        <v>404</v>
      </c>
      <c r="D32" s="29" t="s">
        <v>327</v>
      </c>
      <c r="E32" s="28" t="s">
        <v>393</v>
      </c>
      <c r="F32" s="28" t="s">
        <v>120</v>
      </c>
      <c r="G32" s="28">
        <v>0</v>
      </c>
      <c r="H32" s="30">
        <v>700000</v>
      </c>
      <c r="I32" s="28">
        <v>1</v>
      </c>
      <c r="J32" s="30">
        <f t="shared" ref="J32" si="56">IF(E32="штат",ROUND(Ставка_СН*H32*(1-Ставка_ОПВ-Ставка_ВОСМС)+Ставка_ОПВР*H32+Ставка_СО*MIN(H32*(1-Ставка_ОПВ),Кап_СО*МЗП)+Ставка_ООСМС*MIN(H32,Кап_ООСМС*МЗП),0),ROUND(H32*НДС,0))</f>
        <v>112000</v>
      </c>
      <c r="K32" s="30">
        <f t="shared" ref="K32" si="57">G32*(H32+J32)</f>
        <v>0</v>
      </c>
      <c r="L32" s="31">
        <f t="shared" ref="L32" si="58">IF(AND(F32="новая",I32=1),Мес_2026_новые,MAX(0,4-I32))</f>
        <v>2.3548387096774195</v>
      </c>
      <c r="M32" s="28">
        <f t="shared" ref="M32" si="59">MAX(0,MIN(12,16-MAX(I32,4)))</f>
        <v>12</v>
      </c>
      <c r="N32" s="30">
        <f t="shared" ref="N32" si="60">K32*L32</f>
        <v>0</v>
      </c>
      <c r="O32" s="30">
        <f t="shared" ref="O32" si="61">K32*M32</f>
        <v>0</v>
      </c>
      <c r="P32" s="30">
        <f t="shared" si="6"/>
        <v>0</v>
      </c>
      <c r="Q32" s="30">
        <f t="shared" ref="Q32" si="62">IF(E32="штат",Премия_KPI*H32*(1+J32/H32)*G32*M32/12,0)</f>
        <v>0</v>
      </c>
      <c r="R32" s="30">
        <f t="shared" ref="R32" si="63">IF(E32="штат",(ДМС+ОСНС)*G32*L32/12,0)</f>
        <v>0</v>
      </c>
      <c r="S32" s="30">
        <f t="shared" ref="S32" si="64">IF(E32="штат",(ДМС+ОСНС)*G32*M32/12,0)</f>
        <v>0</v>
      </c>
      <c r="T32" s="30">
        <f t="shared" ref="T32" si="65">N32+P32+R32</f>
        <v>0</v>
      </c>
      <c r="U32" s="30">
        <f t="shared" ref="U32" si="66">O32+Q32+S32</f>
        <v>0</v>
      </c>
      <c r="V32" s="28" t="s">
        <v>505</v>
      </c>
    </row>
    <row r="33" spans="1:22" ht="15" customHeight="1" x14ac:dyDescent="0.25">
      <c r="A33" s="28">
        <v>29</v>
      </c>
      <c r="B33" s="28" t="s">
        <v>394</v>
      </c>
      <c r="C33" s="29" t="s">
        <v>405</v>
      </c>
      <c r="D33" s="29" t="s">
        <v>327</v>
      </c>
      <c r="E33" s="28" t="s">
        <v>393</v>
      </c>
      <c r="F33" s="28" t="s">
        <v>120</v>
      </c>
      <c r="G33" s="28">
        <v>0</v>
      </c>
      <c r="H33" s="30">
        <v>700000</v>
      </c>
      <c r="I33" s="28">
        <v>1</v>
      </c>
      <c r="J33" s="30">
        <f t="shared" si="0"/>
        <v>112000</v>
      </c>
      <c r="K33" s="30">
        <f t="shared" si="1"/>
        <v>0</v>
      </c>
      <c r="L33" s="31">
        <f t="shared" si="2"/>
        <v>2.3548387096774195</v>
      </c>
      <c r="M33" s="28">
        <f t="shared" si="3"/>
        <v>12</v>
      </c>
      <c r="N33" s="30">
        <f t="shared" si="4"/>
        <v>0</v>
      </c>
      <c r="O33" s="30">
        <f t="shared" si="5"/>
        <v>0</v>
      </c>
      <c r="P33" s="30">
        <f t="shared" si="6"/>
        <v>0</v>
      </c>
      <c r="Q33" s="30">
        <f t="shared" si="7"/>
        <v>0</v>
      </c>
      <c r="R33" s="30">
        <f t="shared" si="8"/>
        <v>0</v>
      </c>
      <c r="S33" s="30">
        <f t="shared" si="9"/>
        <v>0</v>
      </c>
      <c r="T33" s="30">
        <f t="shared" si="10"/>
        <v>0</v>
      </c>
      <c r="U33" s="30">
        <f t="shared" si="11"/>
        <v>0</v>
      </c>
      <c r="V33" s="28" t="s">
        <v>506</v>
      </c>
    </row>
    <row r="34" spans="1:22" ht="27.75" customHeight="1" x14ac:dyDescent="0.25">
      <c r="A34" s="20">
        <v>30</v>
      </c>
      <c r="B34" s="20" t="s">
        <v>394</v>
      </c>
      <c r="C34" s="21" t="s">
        <v>399</v>
      </c>
      <c r="D34" s="21" t="s">
        <v>327</v>
      </c>
      <c r="E34" s="20" t="s">
        <v>117</v>
      </c>
      <c r="F34" s="20" t="s">
        <v>120</v>
      </c>
      <c r="G34" s="20">
        <v>1</v>
      </c>
      <c r="H34" s="22">
        <v>1000000</v>
      </c>
      <c r="I34" s="20">
        <v>1</v>
      </c>
      <c r="J34" s="22">
        <f t="shared" si="0"/>
        <v>147550</v>
      </c>
      <c r="K34" s="22">
        <f t="shared" si="1"/>
        <v>1147550</v>
      </c>
      <c r="L34" s="23">
        <f t="shared" si="2"/>
        <v>2.3548387096774195</v>
      </c>
      <c r="M34" s="20">
        <f t="shared" si="3"/>
        <v>12</v>
      </c>
      <c r="N34" s="22">
        <f t="shared" si="4"/>
        <v>2702295.1612903229</v>
      </c>
      <c r="O34" s="22">
        <f t="shared" si="5"/>
        <v>13770600</v>
      </c>
      <c r="P34" s="22">
        <f t="shared" si="6"/>
        <v>1147550</v>
      </c>
      <c r="Q34" s="22">
        <f t="shared" si="7"/>
        <v>4590200</v>
      </c>
      <c r="R34" s="22">
        <f t="shared" si="8"/>
        <v>44741.93548387097</v>
      </c>
      <c r="S34" s="22">
        <f t="shared" si="9"/>
        <v>228000</v>
      </c>
      <c r="T34" s="22">
        <f t="shared" si="10"/>
        <v>3894587.0967741939</v>
      </c>
      <c r="U34" s="22">
        <f t="shared" si="11"/>
        <v>18588800</v>
      </c>
      <c r="V34" s="20" t="s">
        <v>400</v>
      </c>
    </row>
    <row r="35" spans="1:22" ht="27.75" customHeight="1" x14ac:dyDescent="0.25">
      <c r="A35" s="20">
        <v>31</v>
      </c>
      <c r="B35" s="20" t="s">
        <v>394</v>
      </c>
      <c r="C35" s="21" t="s">
        <v>401</v>
      </c>
      <c r="D35" s="21" t="s">
        <v>327</v>
      </c>
      <c r="E35" s="20" t="s">
        <v>117</v>
      </c>
      <c r="F35" s="20" t="s">
        <v>120</v>
      </c>
      <c r="G35" s="20">
        <v>1</v>
      </c>
      <c r="H35" s="22">
        <v>700000</v>
      </c>
      <c r="I35" s="20">
        <v>1</v>
      </c>
      <c r="J35" s="22">
        <f t="shared" ref="J35:J41" si="67">IF(E35="штат",ROUND(Ставка_СН*H35*(1-Ставка_ОПВ-Ставка_ВОСМС)+Ставка_ОПВР*H35+Ставка_СО*MIN(H35*(1-Ставка_ОПВ),Кап_СО*МЗП)+Ставка_ООСМС*MIN(H35,Кап_ООСМС*МЗП),0),ROUND(H35*НДС,0))</f>
        <v>112210</v>
      </c>
      <c r="K35" s="22">
        <f t="shared" ref="K35:K41" si="68">G35*(H35+J35)</f>
        <v>812210</v>
      </c>
      <c r="L35" s="23">
        <f t="shared" si="2"/>
        <v>2.3548387096774195</v>
      </c>
      <c r="M35" s="20">
        <f t="shared" ref="M35:M41" si="69">MAX(0,MIN(12,16-MAX(I35,4)))</f>
        <v>12</v>
      </c>
      <c r="N35" s="22">
        <f t="shared" ref="N35:N41" si="70">K35*L35</f>
        <v>1912623.548387097</v>
      </c>
      <c r="O35" s="22">
        <f t="shared" ref="O35:O41" si="71">K35*M35</f>
        <v>9746520</v>
      </c>
      <c r="P35" s="22">
        <f t="shared" si="6"/>
        <v>812210</v>
      </c>
      <c r="Q35" s="22">
        <f t="shared" ref="Q35:Q41" si="72">IF(E35="штат",Премия_KPI*H35*(1+J35/H35)*G35*M35/12,0)</f>
        <v>3248839.9999999995</v>
      </c>
      <c r="R35" s="22">
        <f t="shared" ref="R35:R41" si="73">IF(E35="штат",(ДМС+ОСНС)*G35*L35/12,0)</f>
        <v>44741.93548387097</v>
      </c>
      <c r="S35" s="22">
        <f t="shared" ref="S35:S41" si="74">IF(E35="штат",(ДМС+ОСНС)*G35*M35/12,0)</f>
        <v>228000</v>
      </c>
      <c r="T35" s="22">
        <f t="shared" ref="T35:T41" si="75">N35+P35+R35</f>
        <v>2769575.4838709682</v>
      </c>
      <c r="U35" s="22">
        <f t="shared" ref="U35:U41" si="76">O35+Q35+S35</f>
        <v>13223360</v>
      </c>
      <c r="V35" s="20" t="s">
        <v>402</v>
      </c>
    </row>
    <row r="36" spans="1:22" ht="27.75" customHeight="1" x14ac:dyDescent="0.25">
      <c r="A36" s="28">
        <v>32</v>
      </c>
      <c r="B36" s="28" t="s">
        <v>394</v>
      </c>
      <c r="C36" s="29" t="s">
        <v>406</v>
      </c>
      <c r="D36" s="29" t="s">
        <v>327</v>
      </c>
      <c r="E36" s="28" t="s">
        <v>393</v>
      </c>
      <c r="F36" s="28" t="s">
        <v>120</v>
      </c>
      <c r="G36" s="28">
        <v>0</v>
      </c>
      <c r="H36" s="30">
        <v>700000</v>
      </c>
      <c r="I36" s="28">
        <v>1</v>
      </c>
      <c r="J36" s="30">
        <f t="shared" si="67"/>
        <v>112000</v>
      </c>
      <c r="K36" s="30">
        <f t="shared" si="68"/>
        <v>0</v>
      </c>
      <c r="L36" s="31">
        <f t="shared" si="2"/>
        <v>2.3548387096774195</v>
      </c>
      <c r="M36" s="28">
        <f t="shared" si="69"/>
        <v>12</v>
      </c>
      <c r="N36" s="30">
        <f t="shared" si="70"/>
        <v>0</v>
      </c>
      <c r="O36" s="30">
        <f t="shared" si="71"/>
        <v>0</v>
      </c>
      <c r="P36" s="30">
        <f t="shared" si="6"/>
        <v>0</v>
      </c>
      <c r="Q36" s="30">
        <f t="shared" si="72"/>
        <v>0</v>
      </c>
      <c r="R36" s="30">
        <f t="shared" si="73"/>
        <v>0</v>
      </c>
      <c r="S36" s="30">
        <f t="shared" si="74"/>
        <v>0</v>
      </c>
      <c r="T36" s="30">
        <f t="shared" si="75"/>
        <v>0</v>
      </c>
      <c r="U36" s="30">
        <f t="shared" si="76"/>
        <v>0</v>
      </c>
      <c r="V36" s="28" t="s">
        <v>507</v>
      </c>
    </row>
    <row r="37" spans="1:22" ht="27.75" customHeight="1" x14ac:dyDescent="0.25">
      <c r="A37" s="20">
        <v>33</v>
      </c>
      <c r="B37" s="20" t="s">
        <v>459</v>
      </c>
      <c r="C37" s="21" t="s">
        <v>121</v>
      </c>
      <c r="D37" s="21" t="s">
        <v>119</v>
      </c>
      <c r="E37" s="20" t="s">
        <v>117</v>
      </c>
      <c r="F37" s="20" t="s">
        <v>118</v>
      </c>
      <c r="G37" s="20">
        <v>1</v>
      </c>
      <c r="H37" s="22">
        <v>1400000</v>
      </c>
      <c r="I37" s="20">
        <v>1</v>
      </c>
      <c r="J37" s="22">
        <f t="shared" si="67"/>
        <v>194670</v>
      </c>
      <c r="K37" s="22">
        <f t="shared" si="68"/>
        <v>1594670</v>
      </c>
      <c r="L37" s="23">
        <f t="shared" si="2"/>
        <v>3</v>
      </c>
      <c r="M37" s="20">
        <f t="shared" si="69"/>
        <v>12</v>
      </c>
      <c r="N37" s="22">
        <f t="shared" si="70"/>
        <v>4784010</v>
      </c>
      <c r="O37" s="22">
        <f t="shared" si="71"/>
        <v>19136040</v>
      </c>
      <c r="P37" s="22">
        <f t="shared" si="6"/>
        <v>1594670</v>
      </c>
      <c r="Q37" s="22">
        <f t="shared" si="72"/>
        <v>6378680.0000000009</v>
      </c>
      <c r="R37" s="22">
        <f t="shared" si="73"/>
        <v>57000</v>
      </c>
      <c r="S37" s="22">
        <f t="shared" si="74"/>
        <v>228000</v>
      </c>
      <c r="T37" s="22">
        <f t="shared" si="75"/>
        <v>6435680</v>
      </c>
      <c r="U37" s="22">
        <f t="shared" si="76"/>
        <v>25742720</v>
      </c>
      <c r="V37" s="20" t="s">
        <v>322</v>
      </c>
    </row>
    <row r="38" spans="1:22" ht="27.75" customHeight="1" x14ac:dyDescent="0.25">
      <c r="A38" s="20">
        <v>34</v>
      </c>
      <c r="B38" s="20" t="s">
        <v>459</v>
      </c>
      <c r="C38" s="21" t="s">
        <v>122</v>
      </c>
      <c r="D38" s="21" t="s">
        <v>323</v>
      </c>
      <c r="E38" s="20" t="s">
        <v>117</v>
      </c>
      <c r="F38" s="20" t="s">
        <v>120</v>
      </c>
      <c r="G38" s="20">
        <v>1</v>
      </c>
      <c r="H38" s="22">
        <v>700000</v>
      </c>
      <c r="I38" s="20">
        <v>1</v>
      </c>
      <c r="J38" s="22">
        <f t="shared" si="67"/>
        <v>112210</v>
      </c>
      <c r="K38" s="22">
        <f t="shared" si="68"/>
        <v>812210</v>
      </c>
      <c r="L38" s="23">
        <f t="shared" si="2"/>
        <v>2.3548387096774195</v>
      </c>
      <c r="M38" s="20">
        <f t="shared" si="69"/>
        <v>12</v>
      </c>
      <c r="N38" s="22">
        <f t="shared" si="70"/>
        <v>1912623.548387097</v>
      </c>
      <c r="O38" s="22">
        <f t="shared" si="71"/>
        <v>9746520</v>
      </c>
      <c r="P38" s="22">
        <f t="shared" si="6"/>
        <v>812210</v>
      </c>
      <c r="Q38" s="22">
        <f t="shared" si="72"/>
        <v>3248839.9999999995</v>
      </c>
      <c r="R38" s="22">
        <f t="shared" si="73"/>
        <v>44741.93548387097</v>
      </c>
      <c r="S38" s="22">
        <f t="shared" si="74"/>
        <v>228000</v>
      </c>
      <c r="T38" s="22">
        <f t="shared" si="75"/>
        <v>2769575.4838709682</v>
      </c>
      <c r="U38" s="22">
        <f t="shared" si="76"/>
        <v>13223360</v>
      </c>
      <c r="V38" s="20" t="s">
        <v>324</v>
      </c>
    </row>
    <row r="39" spans="1:22" ht="27.75" customHeight="1" x14ac:dyDescent="0.25">
      <c r="A39" s="20">
        <v>35</v>
      </c>
      <c r="B39" s="20" t="s">
        <v>459</v>
      </c>
      <c r="C39" s="21" t="s">
        <v>460</v>
      </c>
      <c r="D39" s="21" t="s">
        <v>446</v>
      </c>
      <c r="E39" s="20" t="s">
        <v>117</v>
      </c>
      <c r="F39" s="20" t="s">
        <v>120</v>
      </c>
      <c r="G39" s="20">
        <v>1</v>
      </c>
      <c r="H39" s="22">
        <v>1200000</v>
      </c>
      <c r="I39" s="20">
        <v>1</v>
      </c>
      <c r="J39" s="22">
        <f t="shared" si="67"/>
        <v>171110</v>
      </c>
      <c r="K39" s="22">
        <f t="shared" si="68"/>
        <v>1371110</v>
      </c>
      <c r="L39" s="23">
        <f t="shared" si="2"/>
        <v>2.3548387096774195</v>
      </c>
      <c r="M39" s="20">
        <f t="shared" si="69"/>
        <v>12</v>
      </c>
      <c r="N39" s="22">
        <f t="shared" si="70"/>
        <v>3228742.9032258065</v>
      </c>
      <c r="O39" s="22">
        <f t="shared" si="71"/>
        <v>16453320</v>
      </c>
      <c r="P39" s="22">
        <f t="shared" si="6"/>
        <v>1371110</v>
      </c>
      <c r="Q39" s="22">
        <f t="shared" si="72"/>
        <v>5484440</v>
      </c>
      <c r="R39" s="22">
        <f t="shared" si="73"/>
        <v>44741.93548387097</v>
      </c>
      <c r="S39" s="22">
        <f t="shared" si="74"/>
        <v>228000</v>
      </c>
      <c r="T39" s="22">
        <f t="shared" si="75"/>
        <v>4644594.8387096776</v>
      </c>
      <c r="U39" s="22">
        <f t="shared" si="76"/>
        <v>22165760</v>
      </c>
      <c r="V39" s="20" t="s">
        <v>461</v>
      </c>
    </row>
    <row r="40" spans="1:22" ht="27.75" customHeight="1" x14ac:dyDescent="0.25">
      <c r="A40" s="28">
        <v>36</v>
      </c>
      <c r="B40" s="28" t="s">
        <v>459</v>
      </c>
      <c r="C40" s="29" t="s">
        <v>462</v>
      </c>
      <c r="D40" s="29" t="s">
        <v>325</v>
      </c>
      <c r="E40" s="28" t="s">
        <v>393</v>
      </c>
      <c r="F40" s="28" t="s">
        <v>120</v>
      </c>
      <c r="G40" s="28">
        <v>0</v>
      </c>
      <c r="H40" s="30">
        <v>1000000</v>
      </c>
      <c r="I40" s="28">
        <v>1</v>
      </c>
      <c r="J40" s="30">
        <f t="shared" si="67"/>
        <v>160000</v>
      </c>
      <c r="K40" s="30">
        <f t="shared" si="68"/>
        <v>0</v>
      </c>
      <c r="L40" s="31">
        <f t="shared" si="2"/>
        <v>2.3548387096774195</v>
      </c>
      <c r="M40" s="28">
        <f t="shared" si="69"/>
        <v>12</v>
      </c>
      <c r="N40" s="30">
        <f t="shared" si="70"/>
        <v>0</v>
      </c>
      <c r="O40" s="30">
        <f t="shared" si="71"/>
        <v>0</v>
      </c>
      <c r="P40" s="30">
        <f t="shared" si="6"/>
        <v>0</v>
      </c>
      <c r="Q40" s="30">
        <f t="shared" si="72"/>
        <v>0</v>
      </c>
      <c r="R40" s="30">
        <f t="shared" si="73"/>
        <v>0</v>
      </c>
      <c r="S40" s="30">
        <f t="shared" si="74"/>
        <v>0</v>
      </c>
      <c r="T40" s="30">
        <f t="shared" si="75"/>
        <v>0</v>
      </c>
      <c r="U40" s="30">
        <f t="shared" si="76"/>
        <v>0</v>
      </c>
      <c r="V40" s="28" t="s">
        <v>508</v>
      </c>
    </row>
    <row r="41" spans="1:22" ht="27.75" customHeight="1" x14ac:dyDescent="0.25">
      <c r="A41" s="28">
        <v>37</v>
      </c>
      <c r="B41" s="28" t="s">
        <v>459</v>
      </c>
      <c r="C41" s="29" t="s">
        <v>463</v>
      </c>
      <c r="D41" s="29" t="s">
        <v>325</v>
      </c>
      <c r="E41" s="28" t="s">
        <v>393</v>
      </c>
      <c r="F41" s="28" t="s">
        <v>120</v>
      </c>
      <c r="G41" s="28">
        <v>0</v>
      </c>
      <c r="H41" s="30">
        <v>700000</v>
      </c>
      <c r="I41" s="28">
        <v>1</v>
      </c>
      <c r="J41" s="30">
        <f t="shared" si="67"/>
        <v>112000</v>
      </c>
      <c r="K41" s="30">
        <f t="shared" si="68"/>
        <v>0</v>
      </c>
      <c r="L41" s="31">
        <f t="shared" si="2"/>
        <v>2.3548387096774195</v>
      </c>
      <c r="M41" s="28">
        <f t="shared" si="69"/>
        <v>12</v>
      </c>
      <c r="N41" s="30">
        <f t="shared" si="70"/>
        <v>0</v>
      </c>
      <c r="O41" s="30">
        <f t="shared" si="71"/>
        <v>0</v>
      </c>
      <c r="P41" s="30">
        <f t="shared" si="6"/>
        <v>0</v>
      </c>
      <c r="Q41" s="30">
        <f t="shared" si="72"/>
        <v>0</v>
      </c>
      <c r="R41" s="30">
        <f t="shared" si="73"/>
        <v>0</v>
      </c>
      <c r="S41" s="30">
        <f t="shared" si="74"/>
        <v>0</v>
      </c>
      <c r="T41" s="30">
        <f t="shared" si="75"/>
        <v>0</v>
      </c>
      <c r="U41" s="30">
        <f t="shared" si="76"/>
        <v>0</v>
      </c>
      <c r="V41" s="28" t="s">
        <v>509</v>
      </c>
    </row>
    <row r="42" spans="1:22" ht="15" customHeight="1" x14ac:dyDescent="0.25">
      <c r="A42" s="10"/>
      <c r="B42" s="10"/>
      <c r="C42" s="10" t="s">
        <v>407</v>
      </c>
      <c r="D42" s="10"/>
      <c r="E42" s="10"/>
      <c r="F42" s="10"/>
      <c r="G42" s="10">
        <f>SUM(G5:G41)</f>
        <v>30</v>
      </c>
      <c r="H42" s="8">
        <f>SUMPRODUCT(G5:G41,H5:H41)</f>
        <v>31300000</v>
      </c>
      <c r="I42" s="10"/>
      <c r="J42" s="8"/>
      <c r="K42" s="8">
        <f>SUM(K5:K41)</f>
        <v>35879640</v>
      </c>
      <c r="L42" s="10"/>
      <c r="M42" s="10"/>
      <c r="N42" s="8">
        <f>SUM(N5:N41)</f>
        <v>58691747.741935484</v>
      </c>
      <c r="O42" s="8">
        <f t="shared" ref="O42:U42" si="77">SUM(O5:O41)</f>
        <v>419273990</v>
      </c>
      <c r="P42" s="8">
        <f t="shared" si="77"/>
        <v>23115060</v>
      </c>
      <c r="Q42" s="8">
        <f t="shared" si="77"/>
        <v>139757996.66666666</v>
      </c>
      <c r="R42" s="8">
        <f t="shared" si="77"/>
        <v>854387.09677419392</v>
      </c>
      <c r="S42" s="8">
        <f t="shared" si="77"/>
        <v>6631000</v>
      </c>
      <c r="T42" s="8">
        <f t="shared" si="77"/>
        <v>82661194.838709667</v>
      </c>
      <c r="U42" s="8">
        <f t="shared" si="77"/>
        <v>565662986.66666663</v>
      </c>
      <c r="V42" s="10"/>
    </row>
    <row r="43" spans="1:22" ht="15" customHeight="1" x14ac:dyDescent="0.25">
      <c r="C43" t="s">
        <v>465</v>
      </c>
      <c r="G43">
        <f>SUM(G8:G13)+SUM(G17:G36)</f>
        <v>21</v>
      </c>
      <c r="H43" s="5">
        <f>SUMPRODUCT(G8:G13,H8:H13)+SUMPRODUCT(G17:G36,H17:H36)</f>
        <v>20700000</v>
      </c>
    </row>
    <row r="44" spans="1:22" x14ac:dyDescent="0.25">
      <c r="C44" t="s">
        <v>466</v>
      </c>
      <c r="G44">
        <f>SUM(G5:G7)+SUM(G14:G16)+SUM(G37:G41)</f>
        <v>9</v>
      </c>
      <c r="H44" s="5">
        <f>SUMPRODUCT(G5:G7,H5:H7)+SUMPRODUCT(G14:G16,H14:H16)+SUMPRODUCT(G37:G41,H37:H41)</f>
        <v>10600000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F8" sqref="F8"/>
    </sheetView>
  </sheetViews>
  <sheetFormatPr defaultRowHeight="15" x14ac:dyDescent="0.25"/>
  <cols>
    <col min="1" max="1" width="4.7109375" style="32" customWidth="1"/>
    <col min="2" max="2" width="30.7109375" style="32" customWidth="1"/>
    <col min="3" max="3" width="26.7109375" style="32" customWidth="1"/>
    <col min="4" max="4" width="44.7109375" style="32" customWidth="1"/>
    <col min="5" max="5" width="14.7109375" style="32" customWidth="1"/>
    <col min="6" max="6" width="12.7109375" style="32" customWidth="1"/>
    <col min="7" max="7" width="14.7109375" style="32" customWidth="1"/>
    <col min="8" max="8" width="12.7109375" style="32" customWidth="1"/>
    <col min="9" max="10" width="8.7109375" style="32" customWidth="1"/>
    <col min="11" max="12" width="15.7109375" style="32" customWidth="1"/>
    <col min="13" max="16384" width="9.140625" style="32"/>
  </cols>
  <sheetData>
    <row r="1" spans="1:12" ht="17.25" x14ac:dyDescent="0.3">
      <c r="A1" s="1" t="s">
        <v>479</v>
      </c>
    </row>
    <row r="3" spans="1:12" ht="42" customHeight="1" x14ac:dyDescent="0.25">
      <c r="A3" s="33" t="s">
        <v>96</v>
      </c>
      <c r="B3" s="33" t="s">
        <v>273</v>
      </c>
      <c r="C3" s="33" t="s">
        <v>99</v>
      </c>
      <c r="D3" s="33" t="s">
        <v>480</v>
      </c>
      <c r="E3" s="33" t="s">
        <v>481</v>
      </c>
      <c r="F3" s="33" t="s">
        <v>482</v>
      </c>
      <c r="G3" s="33" t="s">
        <v>483</v>
      </c>
      <c r="H3" s="33" t="s">
        <v>104</v>
      </c>
      <c r="I3" s="33" t="s">
        <v>107</v>
      </c>
      <c r="J3" s="33" t="s">
        <v>108</v>
      </c>
      <c r="K3" s="33" t="s">
        <v>130</v>
      </c>
      <c r="L3" s="33">
        <v>2027</v>
      </c>
    </row>
    <row r="4" spans="1:12" ht="45" x14ac:dyDescent="0.25">
      <c r="A4" s="34">
        <v>1</v>
      </c>
      <c r="B4" s="35" t="s">
        <v>484</v>
      </c>
      <c r="C4" s="35" t="s">
        <v>325</v>
      </c>
      <c r="D4" s="35" t="s">
        <v>485</v>
      </c>
      <c r="E4" s="36">
        <v>1000000</v>
      </c>
      <c r="F4" s="36">
        <f t="shared" ref="F4:F10" si="0">E4*НДС</f>
        <v>160000</v>
      </c>
      <c r="G4" s="36">
        <f t="shared" ref="G4:G10" si="1">E4+F4</f>
        <v>1160000</v>
      </c>
      <c r="H4" s="34">
        <v>1</v>
      </c>
      <c r="I4" s="37">
        <f t="shared" ref="I4:I10" si="2">IF(H4=1,Мес_2026_новые,MAX(0,4-H4))</f>
        <v>2.3548387096774195</v>
      </c>
      <c r="J4" s="37">
        <f t="shared" ref="J4:J10" si="3">MAX(0,MIN(12,16-MAX(H4,4)))</f>
        <v>12</v>
      </c>
      <c r="K4" s="36">
        <f t="shared" ref="K4:K10" si="4">G4*I4</f>
        <v>2731612.9032258065</v>
      </c>
      <c r="L4" s="36">
        <f t="shared" ref="L4:L10" si="5">G4*J4</f>
        <v>13920000</v>
      </c>
    </row>
    <row r="5" spans="1:12" ht="45" x14ac:dyDescent="0.25">
      <c r="A5" s="34">
        <v>2</v>
      </c>
      <c r="B5" s="35" t="s">
        <v>486</v>
      </c>
      <c r="C5" s="35" t="s">
        <v>325</v>
      </c>
      <c r="D5" s="35" t="s">
        <v>487</v>
      </c>
      <c r="E5" s="36">
        <v>700000</v>
      </c>
      <c r="F5" s="36">
        <f t="shared" si="0"/>
        <v>112000</v>
      </c>
      <c r="G5" s="36">
        <f t="shared" si="1"/>
        <v>812000</v>
      </c>
      <c r="H5" s="34">
        <v>1</v>
      </c>
      <c r="I5" s="37">
        <f t="shared" si="2"/>
        <v>2.3548387096774195</v>
      </c>
      <c r="J5" s="37">
        <f t="shared" si="3"/>
        <v>12</v>
      </c>
      <c r="K5" s="36">
        <f t="shared" si="4"/>
        <v>1912129.0322580647</v>
      </c>
      <c r="L5" s="36">
        <f t="shared" si="5"/>
        <v>9744000</v>
      </c>
    </row>
    <row r="6" spans="1:12" ht="30" x14ac:dyDescent="0.25">
      <c r="A6" s="34">
        <v>3</v>
      </c>
      <c r="B6" s="35" t="s">
        <v>488</v>
      </c>
      <c r="C6" s="35" t="s">
        <v>489</v>
      </c>
      <c r="D6" s="35" t="s">
        <v>490</v>
      </c>
      <c r="E6" s="36">
        <v>1000000</v>
      </c>
      <c r="F6" s="36">
        <f t="shared" si="0"/>
        <v>160000</v>
      </c>
      <c r="G6" s="36">
        <f t="shared" si="1"/>
        <v>1160000</v>
      </c>
      <c r="H6" s="34">
        <v>1</v>
      </c>
      <c r="I6" s="37">
        <f t="shared" si="2"/>
        <v>2.3548387096774195</v>
      </c>
      <c r="J6" s="37">
        <f t="shared" si="3"/>
        <v>12</v>
      </c>
      <c r="K6" s="36">
        <f t="shared" si="4"/>
        <v>2731612.9032258065</v>
      </c>
      <c r="L6" s="36">
        <f t="shared" si="5"/>
        <v>13920000</v>
      </c>
    </row>
    <row r="7" spans="1:12" ht="45" x14ac:dyDescent="0.25">
      <c r="A7" s="34">
        <v>4</v>
      </c>
      <c r="B7" s="35" t="s">
        <v>491</v>
      </c>
      <c r="C7" s="35" t="s">
        <v>492</v>
      </c>
      <c r="D7" s="35" t="s">
        <v>493</v>
      </c>
      <c r="E7" s="36">
        <v>1000000</v>
      </c>
      <c r="F7" s="36">
        <f t="shared" si="0"/>
        <v>160000</v>
      </c>
      <c r="G7" s="36">
        <f t="shared" si="1"/>
        <v>1160000</v>
      </c>
      <c r="H7" s="34">
        <v>1</v>
      </c>
      <c r="I7" s="37">
        <f t="shared" si="2"/>
        <v>2.3548387096774195</v>
      </c>
      <c r="J7" s="37">
        <f t="shared" si="3"/>
        <v>12</v>
      </c>
      <c r="K7" s="36">
        <f t="shared" si="4"/>
        <v>2731612.9032258065</v>
      </c>
      <c r="L7" s="36">
        <f t="shared" si="5"/>
        <v>13920000</v>
      </c>
    </row>
    <row r="8" spans="1:12" ht="45" x14ac:dyDescent="0.25">
      <c r="A8" s="34">
        <v>5</v>
      </c>
      <c r="B8" s="35" t="s">
        <v>494</v>
      </c>
      <c r="C8" s="35" t="s">
        <v>492</v>
      </c>
      <c r="D8" s="35" t="s">
        <v>495</v>
      </c>
      <c r="E8" s="36">
        <v>700000</v>
      </c>
      <c r="F8" s="36">
        <f t="shared" si="0"/>
        <v>112000</v>
      </c>
      <c r="G8" s="36">
        <f t="shared" si="1"/>
        <v>812000</v>
      </c>
      <c r="H8" s="34">
        <v>1</v>
      </c>
      <c r="I8" s="37">
        <f t="shared" si="2"/>
        <v>2.3548387096774195</v>
      </c>
      <c r="J8" s="37">
        <f t="shared" si="3"/>
        <v>12</v>
      </c>
      <c r="K8" s="36">
        <f t="shared" si="4"/>
        <v>1912129.0322580647</v>
      </c>
      <c r="L8" s="36">
        <f t="shared" si="5"/>
        <v>9744000</v>
      </c>
    </row>
    <row r="9" spans="1:12" ht="45" x14ac:dyDescent="0.25">
      <c r="A9" s="34">
        <v>6</v>
      </c>
      <c r="B9" s="35" t="s">
        <v>496</v>
      </c>
      <c r="C9" s="35" t="s">
        <v>492</v>
      </c>
      <c r="D9" s="35" t="s">
        <v>497</v>
      </c>
      <c r="E9" s="36">
        <v>700000</v>
      </c>
      <c r="F9" s="36">
        <f t="shared" si="0"/>
        <v>112000</v>
      </c>
      <c r="G9" s="36">
        <f t="shared" si="1"/>
        <v>812000</v>
      </c>
      <c r="H9" s="34">
        <v>1</v>
      </c>
      <c r="I9" s="37">
        <f t="shared" si="2"/>
        <v>2.3548387096774195</v>
      </c>
      <c r="J9" s="37">
        <f t="shared" si="3"/>
        <v>12</v>
      </c>
      <c r="K9" s="36">
        <f t="shared" si="4"/>
        <v>1912129.0322580647</v>
      </c>
      <c r="L9" s="36">
        <f t="shared" si="5"/>
        <v>9744000</v>
      </c>
    </row>
    <row r="10" spans="1:12" ht="45" x14ac:dyDescent="0.25">
      <c r="A10" s="34">
        <v>7</v>
      </c>
      <c r="B10" s="35" t="s">
        <v>498</v>
      </c>
      <c r="C10" s="35" t="s">
        <v>492</v>
      </c>
      <c r="D10" s="35" t="s">
        <v>499</v>
      </c>
      <c r="E10" s="36">
        <v>700000</v>
      </c>
      <c r="F10" s="36">
        <f t="shared" si="0"/>
        <v>112000</v>
      </c>
      <c r="G10" s="36">
        <f t="shared" si="1"/>
        <v>812000</v>
      </c>
      <c r="H10" s="34">
        <v>1</v>
      </c>
      <c r="I10" s="37">
        <f t="shared" si="2"/>
        <v>2.3548387096774195</v>
      </c>
      <c r="J10" s="37">
        <f t="shared" si="3"/>
        <v>12</v>
      </c>
      <c r="K10" s="36">
        <f t="shared" si="4"/>
        <v>1912129.0322580647</v>
      </c>
      <c r="L10" s="36">
        <f t="shared" si="5"/>
        <v>9744000</v>
      </c>
    </row>
    <row r="11" spans="1:12" x14ac:dyDescent="0.25">
      <c r="A11" s="38"/>
      <c r="B11" s="38" t="s">
        <v>500</v>
      </c>
      <c r="C11" s="38"/>
      <c r="D11" s="38"/>
      <c r="E11" s="39">
        <f>SUM(E4:E10)</f>
        <v>5800000</v>
      </c>
      <c r="F11" s="39">
        <f>SUM(F4:F10)</f>
        <v>928000</v>
      </c>
      <c r="G11" s="39">
        <f>SUM(G4:G10)</f>
        <v>6728000</v>
      </c>
      <c r="H11" s="38"/>
      <c r="I11" s="38"/>
      <c r="J11" s="38"/>
      <c r="K11" s="39">
        <f>SUM(K4:K10)</f>
        <v>15843354.83870968</v>
      </c>
      <c r="L11" s="39">
        <f>SUM(L4:L10)</f>
        <v>80736000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60.7109375" customWidth="1"/>
    <col min="2" max="2" width="11.5703125" hidden="1" customWidth="1"/>
    <col min="3" max="10" width="12.7109375" customWidth="1"/>
  </cols>
  <sheetData>
    <row r="1" spans="1:10" ht="15.75" customHeight="1" x14ac:dyDescent="0.3">
      <c r="A1" s="1" t="s">
        <v>123</v>
      </c>
    </row>
    <row r="2" spans="1:10" ht="15" customHeight="1" x14ac:dyDescent="0.25">
      <c r="A2" s="2" t="s">
        <v>328</v>
      </c>
    </row>
    <row r="4" spans="1:10" ht="57.75" customHeight="1" x14ac:dyDescent="0.25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107</v>
      </c>
      <c r="H4" s="3" t="s">
        <v>108</v>
      </c>
      <c r="I4" s="3" t="s">
        <v>130</v>
      </c>
      <c r="J4" s="3">
        <v>2027</v>
      </c>
    </row>
    <row r="5" spans="1:10" ht="15" customHeight="1" x14ac:dyDescent="0.25">
      <c r="A5" s="4" t="str">
        <f>Штат!C5</f>
        <v>Главный исполнительный директор (ГИД)</v>
      </c>
      <c r="C5">
        <f>Штат!G5</f>
        <v>1</v>
      </c>
      <c r="D5" s="12">
        <v>4</v>
      </c>
      <c r="E5" s="12">
        <v>0</v>
      </c>
      <c r="F5" s="12">
        <v>1</v>
      </c>
      <c r="G5" s="19">
        <f>Штат!L5</f>
        <v>3</v>
      </c>
      <c r="H5">
        <f>Штат!M5</f>
        <v>12</v>
      </c>
      <c r="I5" s="5">
        <f t="shared" ref="I5:I24" si="0">C5*(D5/12*G5*Поездка_РК+E5*G5*Поездка_местн+F5/12*G5*Поездка_межд)</f>
        <v>495700</v>
      </c>
      <c r="J5" s="5">
        <f t="shared" ref="J5:J24" si="1">C5*(D5/12*H5*Поездка_РК_2027+E5*H5*Поездка_местн_2027+F5/12*H5*Поездка_межд)</f>
        <v>1990066</v>
      </c>
    </row>
    <row r="6" spans="1:10" ht="15" customHeight="1" x14ac:dyDescent="0.25">
      <c r="A6" s="4" t="str">
        <f>Штат!C6</f>
        <v>Заместитель ГИД (стратегия, проекты)</v>
      </c>
      <c r="C6">
        <f>Штат!G6</f>
        <v>1</v>
      </c>
      <c r="D6" s="12">
        <v>6</v>
      </c>
      <c r="E6" s="12">
        <v>0</v>
      </c>
      <c r="F6" s="12">
        <v>1</v>
      </c>
      <c r="G6" s="19">
        <f>Штат!L6</f>
        <v>3</v>
      </c>
      <c r="H6">
        <f>Штат!M6</f>
        <v>12</v>
      </c>
      <c r="I6" s="5">
        <f t="shared" si="0"/>
        <v>591175</v>
      </c>
      <c r="J6" s="5">
        <f t="shared" si="1"/>
        <v>2375599</v>
      </c>
    </row>
    <row r="7" spans="1:10" ht="15" customHeight="1" x14ac:dyDescent="0.25">
      <c r="A7" s="4" t="str">
        <f>Штат!C7</f>
        <v>Заместитель ГИД (адм.-хоз. вопросы, закупки, кадры, проекты)</v>
      </c>
      <c r="C7">
        <f>Штат!G7</f>
        <v>1</v>
      </c>
      <c r="D7" s="12">
        <v>2</v>
      </c>
      <c r="E7" s="12">
        <v>0</v>
      </c>
      <c r="F7" s="12">
        <v>0</v>
      </c>
      <c r="G7" s="19">
        <f>Штат!L7</f>
        <v>3</v>
      </c>
      <c r="H7">
        <f>Штат!M7</f>
        <v>12</v>
      </c>
      <c r="I7" s="5">
        <f t="shared" si="0"/>
        <v>95475</v>
      </c>
      <c r="J7" s="5">
        <f t="shared" si="1"/>
        <v>385533</v>
      </c>
    </row>
    <row r="8" spans="1:10" ht="15" customHeight="1" x14ac:dyDescent="0.25">
      <c r="A8" s="4" t="str">
        <f>Штат!C37</f>
        <v>Финансовый директор</v>
      </c>
      <c r="C8">
        <f>Штат!G37</f>
        <v>1</v>
      </c>
      <c r="D8" s="12">
        <v>0</v>
      </c>
      <c r="E8" s="12">
        <v>0</v>
      </c>
      <c r="F8" s="12">
        <v>0</v>
      </c>
      <c r="G8" s="19">
        <f>Штат!L37</f>
        <v>3</v>
      </c>
      <c r="H8">
        <f>Штат!M37</f>
        <v>12</v>
      </c>
      <c r="I8" s="5">
        <f t="shared" si="0"/>
        <v>0</v>
      </c>
      <c r="J8" s="5">
        <f t="shared" si="1"/>
        <v>0</v>
      </c>
    </row>
    <row r="9" spans="1:10" ht="15" customHeight="1" x14ac:dyDescent="0.25">
      <c r="A9" s="4" t="str">
        <f>Штат!C39</f>
        <v>Менеджер международных проектов</v>
      </c>
      <c r="C9">
        <f>Штат!G39</f>
        <v>1</v>
      </c>
      <c r="D9" s="12">
        <v>1</v>
      </c>
      <c r="E9" s="12">
        <v>0</v>
      </c>
      <c r="F9" s="12">
        <v>1</v>
      </c>
      <c r="G9" s="19">
        <f>Штат!L39</f>
        <v>2.3548387096774195</v>
      </c>
      <c r="H9">
        <f>Штат!M39</f>
        <v>12</v>
      </c>
      <c r="I9" s="5">
        <f t="shared" si="0"/>
        <v>276683.73655913974</v>
      </c>
      <c r="J9" s="5">
        <f t="shared" si="1"/>
        <v>1411766.5</v>
      </c>
    </row>
    <row r="10" spans="1:10" ht="15" customHeight="1" x14ac:dyDescent="0.25">
      <c r="A10" s="4" t="str">
        <f>Штат!C8</f>
        <v>Национальный координатор проектного офиса</v>
      </c>
      <c r="C10">
        <f>Штат!G8</f>
        <v>1</v>
      </c>
      <c r="D10" s="12">
        <v>10</v>
      </c>
      <c r="E10" s="12">
        <v>0</v>
      </c>
      <c r="F10" s="12">
        <v>1</v>
      </c>
      <c r="G10" s="19">
        <f>Штат!L8</f>
        <v>2.3548387096774195</v>
      </c>
      <c r="H10">
        <f>Штат!M8</f>
        <v>12</v>
      </c>
      <c r="I10" s="5">
        <f t="shared" si="0"/>
        <v>613926.07526881725</v>
      </c>
      <c r="J10" s="5">
        <f t="shared" si="1"/>
        <v>3146665</v>
      </c>
    </row>
    <row r="11" spans="1:10" ht="27.75" customHeight="1" x14ac:dyDescent="0.25">
      <c r="A11" s="4" t="s">
        <v>468</v>
      </c>
      <c r="C11">
        <f>SUM(Штат!G9:G13)</f>
        <v>5</v>
      </c>
      <c r="D11" s="12">
        <v>3</v>
      </c>
      <c r="E11" s="12">
        <v>3</v>
      </c>
      <c r="F11" s="12">
        <v>0</v>
      </c>
      <c r="G11" s="19">
        <f>Штат!L10</f>
        <v>2.3548387096774195</v>
      </c>
      <c r="H11">
        <f>Штат!M10</f>
        <v>12</v>
      </c>
      <c r="I11" s="5">
        <f t="shared" si="0"/>
        <v>1397449.5967741937</v>
      </c>
      <c r="J11" s="5">
        <f t="shared" si="1"/>
        <v>7257487.5</v>
      </c>
    </row>
    <row r="12" spans="1:10" ht="27.75" customHeight="1" x14ac:dyDescent="0.25">
      <c r="A12" s="4" t="s">
        <v>469</v>
      </c>
      <c r="C12">
        <f>SUM(Штат!G17:G26)</f>
        <v>10</v>
      </c>
      <c r="D12" s="12">
        <v>6</v>
      </c>
      <c r="E12" s="12">
        <v>0</v>
      </c>
      <c r="F12" s="12">
        <v>0</v>
      </c>
      <c r="G12" s="19">
        <f>Штат!L19</f>
        <v>2.3548387096774195</v>
      </c>
      <c r="H12">
        <f>Штат!M19</f>
        <v>12</v>
      </c>
      <c r="I12" s="5">
        <f t="shared" si="0"/>
        <v>2248282.2580645164</v>
      </c>
      <c r="J12" s="5">
        <f t="shared" si="1"/>
        <v>11565990</v>
      </c>
    </row>
    <row r="13" spans="1:10" ht="27.75" customHeight="1" x14ac:dyDescent="0.25">
      <c r="A13" s="4" t="s">
        <v>470</v>
      </c>
      <c r="C13">
        <f>SUM(Штат!G14:G16)</f>
        <v>3</v>
      </c>
      <c r="D13" s="12">
        <v>3</v>
      </c>
      <c r="E13" s="12">
        <v>0</v>
      </c>
      <c r="F13" s="12">
        <v>0</v>
      </c>
      <c r="G13" s="19">
        <f>Штат!L16</f>
        <v>0</v>
      </c>
      <c r="H13">
        <f>Штат!M16</f>
        <v>11</v>
      </c>
      <c r="I13" s="5">
        <f t="shared" si="0"/>
        <v>0</v>
      </c>
      <c r="J13" s="5">
        <f t="shared" si="1"/>
        <v>1590323.625</v>
      </c>
    </row>
    <row r="14" spans="1:10" ht="27.75" customHeight="1" x14ac:dyDescent="0.25">
      <c r="A14" s="4" t="s">
        <v>471</v>
      </c>
      <c r="C14">
        <f>SUM(Штат!G27:G28)</f>
        <v>1</v>
      </c>
      <c r="D14" s="12">
        <v>1</v>
      </c>
      <c r="E14" s="12">
        <v>0</v>
      </c>
      <c r="F14" s="12">
        <v>0</v>
      </c>
      <c r="G14" s="19">
        <f>Штат!L27</f>
        <v>2.3548387096774195</v>
      </c>
      <c r="H14">
        <f>Штат!M27</f>
        <v>12</v>
      </c>
      <c r="I14" s="5">
        <f t="shared" si="0"/>
        <v>37471.370967741932</v>
      </c>
      <c r="J14" s="5">
        <f t="shared" si="1"/>
        <v>192766.5</v>
      </c>
    </row>
    <row r="15" spans="1:10" ht="27.75" customHeight="1" x14ac:dyDescent="0.25">
      <c r="A15" s="4" t="s">
        <v>408</v>
      </c>
      <c r="C15">
        <f>SUM(Штат!G29:G36)</f>
        <v>4</v>
      </c>
      <c r="D15" s="12">
        <v>4</v>
      </c>
      <c r="E15" s="12">
        <v>4</v>
      </c>
      <c r="F15" s="12">
        <v>0</v>
      </c>
      <c r="G15" s="19">
        <f>Штат!L29</f>
        <v>2.3548387096774195</v>
      </c>
      <c r="H15">
        <f>Штат!M29</f>
        <v>12</v>
      </c>
      <c r="I15" s="5">
        <f t="shared" si="0"/>
        <v>1490612.9032258065</v>
      </c>
      <c r="J15" s="5">
        <f t="shared" si="1"/>
        <v>7741320</v>
      </c>
    </row>
    <row r="16" spans="1:10" ht="27.75" customHeight="1" x14ac:dyDescent="0.25">
      <c r="A16" s="4"/>
      <c r="D16" s="12"/>
      <c r="E16" s="12"/>
      <c r="F16" s="12"/>
      <c r="I16" s="5">
        <f t="shared" si="0"/>
        <v>0</v>
      </c>
      <c r="J16" s="5">
        <f t="shared" si="1"/>
        <v>0</v>
      </c>
    </row>
    <row r="17" spans="1:10" ht="15" customHeight="1" x14ac:dyDescent="0.25">
      <c r="A17" s="4"/>
      <c r="D17" s="12"/>
      <c r="E17" s="12"/>
      <c r="F17" s="12"/>
      <c r="I17" s="5">
        <f t="shared" si="0"/>
        <v>0</v>
      </c>
      <c r="J17" s="5">
        <f t="shared" si="1"/>
        <v>0</v>
      </c>
    </row>
    <row r="18" spans="1:10" ht="15" customHeight="1" x14ac:dyDescent="0.25">
      <c r="A18" s="4"/>
      <c r="D18" s="12"/>
      <c r="E18" s="12"/>
      <c r="F18" s="12"/>
      <c r="I18" s="5">
        <f t="shared" si="0"/>
        <v>0</v>
      </c>
      <c r="J18" s="5">
        <f t="shared" si="1"/>
        <v>0</v>
      </c>
    </row>
    <row r="19" spans="1:10" ht="15" customHeight="1" x14ac:dyDescent="0.25">
      <c r="A19" s="4"/>
      <c r="D19" s="12"/>
      <c r="E19" s="12"/>
      <c r="F19" s="12"/>
      <c r="I19" s="5">
        <f t="shared" si="0"/>
        <v>0</v>
      </c>
      <c r="J19" s="5">
        <f t="shared" si="1"/>
        <v>0</v>
      </c>
    </row>
    <row r="20" spans="1:10" ht="15" customHeight="1" x14ac:dyDescent="0.25">
      <c r="A20" s="4"/>
      <c r="D20" s="12"/>
      <c r="E20" s="12"/>
      <c r="F20" s="12"/>
      <c r="I20" s="5">
        <f t="shared" si="0"/>
        <v>0</v>
      </c>
      <c r="J20" s="5">
        <f t="shared" si="1"/>
        <v>0</v>
      </c>
    </row>
    <row r="21" spans="1:10" ht="15" customHeight="1" x14ac:dyDescent="0.25">
      <c r="A21" s="4"/>
      <c r="D21" s="12"/>
      <c r="E21" s="12"/>
      <c r="F21" s="12"/>
      <c r="I21" s="5">
        <f t="shared" si="0"/>
        <v>0</v>
      </c>
      <c r="J21" s="5">
        <f t="shared" si="1"/>
        <v>0</v>
      </c>
    </row>
    <row r="22" spans="1:10" ht="15" customHeight="1" x14ac:dyDescent="0.25">
      <c r="A22" s="4"/>
      <c r="D22" s="12"/>
      <c r="E22" s="12"/>
      <c r="F22" s="12"/>
      <c r="I22" s="5">
        <f t="shared" si="0"/>
        <v>0</v>
      </c>
      <c r="J22" s="5">
        <f t="shared" si="1"/>
        <v>0</v>
      </c>
    </row>
    <row r="23" spans="1:10" ht="15" customHeight="1" x14ac:dyDescent="0.25">
      <c r="A23" s="4"/>
      <c r="D23" s="12"/>
      <c r="E23" s="12"/>
      <c r="F23" s="12"/>
      <c r="I23" s="5">
        <f t="shared" si="0"/>
        <v>0</v>
      </c>
      <c r="J23" s="5">
        <f t="shared" si="1"/>
        <v>0</v>
      </c>
    </row>
    <row r="24" spans="1:10" ht="15" customHeight="1" x14ac:dyDescent="0.25">
      <c r="A24" s="4"/>
      <c r="D24" s="12"/>
      <c r="E24" s="12"/>
      <c r="F24" s="12"/>
      <c r="I24" s="5">
        <f t="shared" si="0"/>
        <v>0</v>
      </c>
      <c r="J24" s="5">
        <f t="shared" si="1"/>
        <v>0</v>
      </c>
    </row>
    <row r="25" spans="1:10" ht="27.75" customHeight="1" x14ac:dyDescent="0.25">
      <c r="A25" s="4"/>
      <c r="D25" s="12"/>
      <c r="E25" s="12"/>
      <c r="F25" s="12"/>
      <c r="I25" s="5">
        <f>C25*(D25/12*G25*Поездка_РК)</f>
        <v>0</v>
      </c>
      <c r="J25" s="5">
        <f>C25*(D25/12*H25*Поездка_РК_2027)</f>
        <v>0</v>
      </c>
    </row>
    <row r="26" spans="1:10" ht="15" customHeight="1" x14ac:dyDescent="0.25">
      <c r="A26" s="10" t="s">
        <v>131</v>
      </c>
      <c r="B26" s="10"/>
      <c r="C26" s="10"/>
      <c r="D26" s="10"/>
      <c r="E26" s="10"/>
      <c r="F26" s="10"/>
      <c r="G26" s="10"/>
      <c r="H26" s="10"/>
      <c r="I26" s="8">
        <f>SUM(I5:I25)</f>
        <v>7246775.9408602165</v>
      </c>
      <c r="J26" s="8">
        <f>SUM(J5:J25)</f>
        <v>37657517.125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zoomScaleNormal="100" workbookViewId="0">
      <selection activeCell="H41" sqref="H41"/>
    </sheetView>
  </sheetViews>
  <sheetFormatPr defaultColWidth="8.7109375" defaultRowHeight="15" x14ac:dyDescent="0.25"/>
  <cols>
    <col min="1" max="1" width="12.7109375" customWidth="1"/>
    <col min="2" max="2" width="66.7109375" customWidth="1"/>
    <col min="4" max="4" width="10.7109375" customWidth="1"/>
    <col min="5" max="5" width="13.7109375" customWidth="1"/>
    <col min="6" max="7" width="10.7109375" customWidth="1"/>
    <col min="8" max="8" width="55.7109375" customWidth="1"/>
    <col min="9" max="10" width="14.7109375" customWidth="1"/>
  </cols>
  <sheetData>
    <row r="1" spans="1:10" ht="15.75" customHeight="1" x14ac:dyDescent="0.3">
      <c r="A1" s="1" t="s">
        <v>132</v>
      </c>
    </row>
    <row r="2" spans="1:10" ht="15" customHeight="1" x14ac:dyDescent="0.25">
      <c r="A2" s="2" t="s">
        <v>133</v>
      </c>
    </row>
    <row r="4" spans="1:10" ht="31.5" customHeight="1" x14ac:dyDescent="0.25">
      <c r="A4" s="3" t="s">
        <v>134</v>
      </c>
      <c r="B4" s="3" t="s">
        <v>1</v>
      </c>
      <c r="C4" s="3" t="s">
        <v>135</v>
      </c>
      <c r="D4" s="3" t="s">
        <v>102</v>
      </c>
      <c r="E4" s="3" t="s">
        <v>136</v>
      </c>
      <c r="F4" s="3" t="s">
        <v>137</v>
      </c>
      <c r="G4" s="3" t="s">
        <v>138</v>
      </c>
      <c r="H4" s="3" t="s">
        <v>139</v>
      </c>
      <c r="I4" s="3" t="s">
        <v>130</v>
      </c>
      <c r="J4" s="3">
        <v>2027</v>
      </c>
    </row>
    <row r="5" spans="1:10" ht="27.75" customHeight="1" x14ac:dyDescent="0.25">
      <c r="A5" t="s">
        <v>140</v>
      </c>
      <c r="B5" s="4" t="s">
        <v>141</v>
      </c>
      <c r="C5" t="s">
        <v>142</v>
      </c>
      <c r="D5" s="12">
        <v>25</v>
      </c>
      <c r="E5" s="13">
        <v>450000</v>
      </c>
      <c r="F5" s="12" t="s">
        <v>143</v>
      </c>
      <c r="G5" s="12">
        <v>1</v>
      </c>
      <c r="H5" s="4" t="s">
        <v>144</v>
      </c>
      <c r="I5" s="5">
        <f t="shared" ref="I5:I38" si="0">IF(F5="разово",IF(G5&lt;=3,D5*E5,0),IF(F5="мес",D5*E5*MAX(0,4-G5),D5*E5*MAX(0,4-G5)/12))</f>
        <v>11250000</v>
      </c>
      <c r="J5" s="5">
        <f t="shared" ref="J5:J37" si="1">IF(F5="разово",IF(AND(G5&gt;3,G5&lt;=15),D5*E5,0),IF(F5="мес",D5*E5*MAX(0,MIN(12,16-MAX(G5,4))),D5*E5*MAX(0,MIN(12,16-MAX(G5,4)))/12))</f>
        <v>0</v>
      </c>
    </row>
    <row r="6" spans="1:10" ht="27.75" customHeight="1" x14ac:dyDescent="0.25">
      <c r="A6" t="s">
        <v>140</v>
      </c>
      <c r="B6" s="4" t="s">
        <v>145</v>
      </c>
      <c r="C6" t="s">
        <v>142</v>
      </c>
      <c r="D6" s="12">
        <v>5</v>
      </c>
      <c r="E6" s="13">
        <v>900000</v>
      </c>
      <c r="F6" s="12" t="s">
        <v>143</v>
      </c>
      <c r="G6" s="12">
        <v>1</v>
      </c>
      <c r="H6" s="4" t="s">
        <v>146</v>
      </c>
      <c r="I6" s="5">
        <f t="shared" si="0"/>
        <v>4500000</v>
      </c>
      <c r="J6" s="5">
        <f t="shared" si="1"/>
        <v>0</v>
      </c>
    </row>
    <row r="7" spans="1:10" ht="15" customHeight="1" x14ac:dyDescent="0.25">
      <c r="A7" t="s">
        <v>140</v>
      </c>
      <c r="B7" s="4" t="s">
        <v>147</v>
      </c>
      <c r="C7" t="s">
        <v>148</v>
      </c>
      <c r="D7" s="12">
        <v>15</v>
      </c>
      <c r="E7" s="13">
        <v>100000</v>
      </c>
      <c r="F7" s="12" t="s">
        <v>143</v>
      </c>
      <c r="G7" s="12">
        <v>1</v>
      </c>
      <c r="H7" s="4" t="s">
        <v>149</v>
      </c>
      <c r="I7" s="5">
        <f t="shared" si="0"/>
        <v>1500000</v>
      </c>
      <c r="J7" s="5">
        <f t="shared" si="1"/>
        <v>0</v>
      </c>
    </row>
    <row r="8" spans="1:10" ht="27.75" customHeight="1" x14ac:dyDescent="0.25">
      <c r="A8" t="s">
        <v>140</v>
      </c>
      <c r="B8" s="4" t="s">
        <v>150</v>
      </c>
      <c r="C8" t="s">
        <v>151</v>
      </c>
      <c r="D8" s="12">
        <v>19</v>
      </c>
      <c r="E8" s="13">
        <v>200000</v>
      </c>
      <c r="F8" s="12" t="s">
        <v>143</v>
      </c>
      <c r="G8" s="12">
        <v>1</v>
      </c>
      <c r="H8" s="4" t="s">
        <v>152</v>
      </c>
      <c r="I8" s="5">
        <f t="shared" si="0"/>
        <v>3800000</v>
      </c>
      <c r="J8" s="5">
        <f t="shared" si="1"/>
        <v>0</v>
      </c>
    </row>
    <row r="9" spans="1:10" ht="15" customHeight="1" x14ac:dyDescent="0.25">
      <c r="A9" t="s">
        <v>140</v>
      </c>
      <c r="B9" s="4" t="s">
        <v>512</v>
      </c>
      <c r="C9" t="s">
        <v>148</v>
      </c>
      <c r="D9" s="12">
        <v>5</v>
      </c>
      <c r="E9" s="13">
        <v>500000</v>
      </c>
      <c r="F9" s="12" t="s">
        <v>143</v>
      </c>
      <c r="G9" s="12">
        <v>1</v>
      </c>
      <c r="H9" s="4" t="s">
        <v>153</v>
      </c>
      <c r="I9" s="5">
        <f t="shared" si="0"/>
        <v>2500000</v>
      </c>
      <c r="J9" s="5">
        <f t="shared" si="1"/>
        <v>0</v>
      </c>
    </row>
    <row r="10" spans="1:10" ht="15" customHeight="1" x14ac:dyDescent="0.25">
      <c r="A10" t="s">
        <v>140</v>
      </c>
      <c r="B10" s="4" t="s">
        <v>154</v>
      </c>
      <c r="C10" t="s">
        <v>148</v>
      </c>
      <c r="D10" s="12">
        <v>1</v>
      </c>
      <c r="E10" s="13">
        <v>800000</v>
      </c>
      <c r="F10" s="12" t="s">
        <v>143</v>
      </c>
      <c r="G10" s="12">
        <v>1</v>
      </c>
      <c r="H10" s="4"/>
      <c r="I10" s="5">
        <f t="shared" si="0"/>
        <v>800000</v>
      </c>
      <c r="J10" s="5">
        <f t="shared" si="1"/>
        <v>0</v>
      </c>
    </row>
    <row r="11" spans="1:10" ht="15" customHeight="1" x14ac:dyDescent="0.25">
      <c r="A11" t="s">
        <v>140</v>
      </c>
      <c r="B11" s="4" t="s">
        <v>155</v>
      </c>
      <c r="C11" t="s">
        <v>148</v>
      </c>
      <c r="D11" s="12">
        <v>1</v>
      </c>
      <c r="E11" s="13">
        <v>500000</v>
      </c>
      <c r="F11" s="12" t="s">
        <v>143</v>
      </c>
      <c r="G11" s="12">
        <v>1</v>
      </c>
      <c r="H11" s="4"/>
      <c r="I11" s="5">
        <f t="shared" si="0"/>
        <v>500000</v>
      </c>
      <c r="J11" s="5">
        <f t="shared" si="1"/>
        <v>0</v>
      </c>
    </row>
    <row r="12" spans="1:10" ht="15" customHeight="1" x14ac:dyDescent="0.25">
      <c r="A12" t="s">
        <v>140</v>
      </c>
      <c r="B12" s="4" t="s">
        <v>339</v>
      </c>
      <c r="C12" t="s">
        <v>148</v>
      </c>
      <c r="D12" s="12">
        <v>1</v>
      </c>
      <c r="E12" s="13">
        <v>450000</v>
      </c>
      <c r="F12" s="12" t="s">
        <v>143</v>
      </c>
      <c r="G12" s="12">
        <v>1</v>
      </c>
      <c r="H12" s="4" t="s">
        <v>340</v>
      </c>
      <c r="I12" s="5">
        <f t="shared" si="0"/>
        <v>450000</v>
      </c>
      <c r="J12" s="5">
        <f t="shared" si="1"/>
        <v>0</v>
      </c>
    </row>
    <row r="13" spans="1:10" ht="15" customHeight="1" x14ac:dyDescent="0.25">
      <c r="A13" t="s">
        <v>140</v>
      </c>
      <c r="B13" s="4" t="s">
        <v>338</v>
      </c>
      <c r="C13" t="s">
        <v>142</v>
      </c>
      <c r="D13" s="12">
        <v>6</v>
      </c>
      <c r="E13" s="13">
        <v>60000</v>
      </c>
      <c r="F13" s="12" t="s">
        <v>143</v>
      </c>
      <c r="G13" s="12">
        <v>1</v>
      </c>
      <c r="H13" s="4" t="s">
        <v>350</v>
      </c>
      <c r="I13" s="5">
        <f t="shared" si="0"/>
        <v>360000</v>
      </c>
      <c r="J13" s="5">
        <f t="shared" si="1"/>
        <v>0</v>
      </c>
    </row>
    <row r="14" spans="1:10" ht="15" customHeight="1" x14ac:dyDescent="0.25">
      <c r="A14" t="s">
        <v>140</v>
      </c>
      <c r="B14" s="4" t="s">
        <v>334</v>
      </c>
      <c r="C14" t="s">
        <v>148</v>
      </c>
      <c r="D14" s="12">
        <v>1</v>
      </c>
      <c r="E14" s="13">
        <f>(D8*E8+D9*E9+D10*E10+D11*E11+D12*E12+D13*E13)*Сборка_мебели_проц</f>
        <v>841000</v>
      </c>
      <c r="F14" s="12" t="s">
        <v>143</v>
      </c>
      <c r="G14" s="12">
        <v>1</v>
      </c>
      <c r="H14" s="4" t="s">
        <v>341</v>
      </c>
      <c r="I14" s="5">
        <f t="shared" si="0"/>
        <v>841000</v>
      </c>
      <c r="J14" s="5">
        <f t="shared" si="1"/>
        <v>0</v>
      </c>
    </row>
    <row r="15" spans="1:10" ht="27.75" customHeight="1" x14ac:dyDescent="0.25">
      <c r="A15" t="s">
        <v>140</v>
      </c>
      <c r="B15" s="4" t="s">
        <v>262</v>
      </c>
      <c r="C15" t="s">
        <v>142</v>
      </c>
      <c r="D15" s="12">
        <v>1</v>
      </c>
      <c r="E15" s="13">
        <v>2500000</v>
      </c>
      <c r="F15" s="12" t="s">
        <v>143</v>
      </c>
      <c r="G15" s="12">
        <v>1</v>
      </c>
      <c r="H15" s="4" t="s">
        <v>263</v>
      </c>
      <c r="I15" s="5">
        <f t="shared" si="0"/>
        <v>2500000</v>
      </c>
      <c r="J15" s="5">
        <f t="shared" si="1"/>
        <v>0</v>
      </c>
    </row>
    <row r="16" spans="1:10" ht="15" customHeight="1" x14ac:dyDescent="0.25">
      <c r="A16" t="s">
        <v>140</v>
      </c>
      <c r="B16" s="4" t="s">
        <v>264</v>
      </c>
      <c r="C16" t="s">
        <v>148</v>
      </c>
      <c r="D16" s="12">
        <v>1</v>
      </c>
      <c r="E16" s="13">
        <v>300000</v>
      </c>
      <c r="F16" s="12" t="s">
        <v>143</v>
      </c>
      <c r="G16" s="12">
        <v>1</v>
      </c>
      <c r="H16" s="4"/>
      <c r="I16" s="5">
        <f t="shared" si="0"/>
        <v>300000</v>
      </c>
      <c r="J16" s="5">
        <f t="shared" si="1"/>
        <v>0</v>
      </c>
    </row>
    <row r="17" spans="1:10" ht="15" customHeight="1" x14ac:dyDescent="0.25">
      <c r="A17" t="s">
        <v>140</v>
      </c>
      <c r="B17" s="4" t="s">
        <v>265</v>
      </c>
      <c r="C17" t="s">
        <v>142</v>
      </c>
      <c r="D17" s="12">
        <v>2</v>
      </c>
      <c r="E17" s="13">
        <v>280000</v>
      </c>
      <c r="F17" s="12" t="s">
        <v>143</v>
      </c>
      <c r="G17" s="12">
        <v>1</v>
      </c>
      <c r="H17" s="4" t="s">
        <v>351</v>
      </c>
      <c r="I17" s="5">
        <f t="shared" si="0"/>
        <v>560000</v>
      </c>
      <c r="J17" s="5">
        <f t="shared" si="1"/>
        <v>0</v>
      </c>
    </row>
    <row r="18" spans="1:10" ht="15" customHeight="1" x14ac:dyDescent="0.25">
      <c r="A18" t="s">
        <v>140</v>
      </c>
      <c r="B18" s="4" t="s">
        <v>266</v>
      </c>
      <c r="C18" t="s">
        <v>142</v>
      </c>
      <c r="D18" s="12">
        <v>4</v>
      </c>
      <c r="E18" s="13">
        <v>55000</v>
      </c>
      <c r="F18" s="12" t="s">
        <v>143</v>
      </c>
      <c r="G18" s="12">
        <v>1</v>
      </c>
      <c r="H18" s="4" t="s">
        <v>267</v>
      </c>
      <c r="I18" s="5">
        <f t="shared" si="0"/>
        <v>220000</v>
      </c>
      <c r="J18" s="5">
        <f t="shared" si="1"/>
        <v>0</v>
      </c>
    </row>
    <row r="19" spans="1:10" ht="15" customHeight="1" x14ac:dyDescent="0.25">
      <c r="A19" t="s">
        <v>140</v>
      </c>
      <c r="B19" s="4" t="s">
        <v>268</v>
      </c>
      <c r="C19" t="s">
        <v>148</v>
      </c>
      <c r="D19" s="12">
        <v>1</v>
      </c>
      <c r="E19" s="13">
        <v>300000</v>
      </c>
      <c r="F19" s="12" t="s">
        <v>143</v>
      </c>
      <c r="G19" s="12">
        <v>1</v>
      </c>
      <c r="H19" s="4" t="s">
        <v>269</v>
      </c>
      <c r="I19" s="5">
        <f t="shared" si="0"/>
        <v>300000</v>
      </c>
      <c r="J19" s="5">
        <f t="shared" si="1"/>
        <v>0</v>
      </c>
    </row>
    <row r="20" spans="1:10" ht="15" customHeight="1" x14ac:dyDescent="0.25">
      <c r="A20" t="s">
        <v>140</v>
      </c>
      <c r="B20" s="4" t="s">
        <v>352</v>
      </c>
      <c r="C20" t="s">
        <v>142</v>
      </c>
      <c r="D20" s="12">
        <v>1</v>
      </c>
      <c r="E20" s="13">
        <f>ROUND(42340/(1+НДС),0)</f>
        <v>36500</v>
      </c>
      <c r="F20" s="12" t="s">
        <v>143</v>
      </c>
      <c r="G20" s="12">
        <v>1</v>
      </c>
      <c r="H20" s="4" t="s">
        <v>353</v>
      </c>
      <c r="I20" s="5">
        <f t="shared" si="0"/>
        <v>36500</v>
      </c>
      <c r="J20" s="5">
        <f t="shared" si="1"/>
        <v>0</v>
      </c>
    </row>
    <row r="21" spans="1:10" ht="15" customHeight="1" x14ac:dyDescent="0.25">
      <c r="A21" t="s">
        <v>140</v>
      </c>
      <c r="B21" s="4" t="s">
        <v>354</v>
      </c>
      <c r="C21" t="s">
        <v>355</v>
      </c>
      <c r="D21" s="12">
        <v>1</v>
      </c>
      <c r="E21" s="13">
        <f>ROUND(6000/(1+НДС),0)</f>
        <v>5172</v>
      </c>
      <c r="F21" s="12" t="s">
        <v>143</v>
      </c>
      <c r="G21" s="12">
        <v>1</v>
      </c>
      <c r="H21" s="4" t="s">
        <v>356</v>
      </c>
      <c r="I21" s="5">
        <f t="shared" si="0"/>
        <v>5172</v>
      </c>
      <c r="J21" s="5">
        <f t="shared" si="1"/>
        <v>0</v>
      </c>
    </row>
    <row r="22" spans="1:10" ht="15" customHeight="1" x14ac:dyDescent="0.25">
      <c r="A22" t="s">
        <v>140</v>
      </c>
      <c r="B22" s="4" t="s">
        <v>357</v>
      </c>
      <c r="C22" t="s">
        <v>142</v>
      </c>
      <c r="D22" s="12">
        <v>1</v>
      </c>
      <c r="E22" s="13">
        <f>ROUND(114327/(1+НДС),0)</f>
        <v>98558</v>
      </c>
      <c r="F22" s="12" t="s">
        <v>143</v>
      </c>
      <c r="G22" s="12">
        <v>1</v>
      </c>
      <c r="H22" s="4" t="s">
        <v>358</v>
      </c>
      <c r="I22" s="5">
        <f t="shared" si="0"/>
        <v>98558</v>
      </c>
      <c r="J22" s="5">
        <f t="shared" si="1"/>
        <v>0</v>
      </c>
    </row>
    <row r="23" spans="1:10" ht="15" customHeight="1" x14ac:dyDescent="0.25">
      <c r="A23" t="s">
        <v>140</v>
      </c>
      <c r="B23" s="4" t="s">
        <v>359</v>
      </c>
      <c r="C23" t="s">
        <v>148</v>
      </c>
      <c r="D23" s="12">
        <v>1</v>
      </c>
      <c r="E23" s="13">
        <f>ROUND((100*55+100*68+100*26+100*37+100*57+100*244)/(1+НДС),0)</f>
        <v>41983</v>
      </c>
      <c r="F23" s="12" t="s">
        <v>143</v>
      </c>
      <c r="G23" s="12">
        <v>1</v>
      </c>
      <c r="H23" s="4" t="s">
        <v>360</v>
      </c>
      <c r="I23" s="5">
        <f t="shared" si="0"/>
        <v>41983</v>
      </c>
      <c r="J23" s="5">
        <f t="shared" si="1"/>
        <v>0</v>
      </c>
    </row>
    <row r="24" spans="1:10" ht="15" customHeight="1" x14ac:dyDescent="0.25">
      <c r="A24" t="s">
        <v>140</v>
      </c>
      <c r="B24" s="4" t="s">
        <v>425</v>
      </c>
      <c r="C24" t="s">
        <v>142</v>
      </c>
      <c r="D24" s="12">
        <v>31</v>
      </c>
      <c r="E24" s="13">
        <f>ROUND(4118/(1+НДС),0)</f>
        <v>3550</v>
      </c>
      <c r="F24" s="12" t="s">
        <v>143</v>
      </c>
      <c r="G24" s="12">
        <v>1</v>
      </c>
      <c r="H24" s="4" t="s">
        <v>426</v>
      </c>
      <c r="I24" s="5">
        <f t="shared" si="0"/>
        <v>110050</v>
      </c>
      <c r="J24" s="5">
        <f t="shared" si="1"/>
        <v>0</v>
      </c>
    </row>
    <row r="25" spans="1:10" ht="15" customHeight="1" x14ac:dyDescent="0.25">
      <c r="A25" t="s">
        <v>140</v>
      </c>
      <c r="B25" s="4" t="s">
        <v>420</v>
      </c>
      <c r="C25" t="s">
        <v>142</v>
      </c>
      <c r="D25" s="12">
        <v>5</v>
      </c>
      <c r="E25" s="13">
        <f>ROUND(6101/(1+НДС),0)</f>
        <v>5259</v>
      </c>
      <c r="F25" s="12" t="s">
        <v>143</v>
      </c>
      <c r="G25" s="12">
        <v>1</v>
      </c>
      <c r="H25" s="4" t="s">
        <v>421</v>
      </c>
      <c r="I25" s="5">
        <f t="shared" si="0"/>
        <v>26295</v>
      </c>
      <c r="J25" s="5">
        <f t="shared" si="1"/>
        <v>0</v>
      </c>
    </row>
    <row r="26" spans="1:10" ht="15" customHeight="1" x14ac:dyDescent="0.25">
      <c r="A26" t="s">
        <v>140</v>
      </c>
      <c r="B26" s="4" t="s">
        <v>427</v>
      </c>
      <c r="C26" t="s">
        <v>142</v>
      </c>
      <c r="D26" s="12">
        <v>4</v>
      </c>
      <c r="E26" s="13">
        <f>ROUND(7235/(1+НДС),0)</f>
        <v>6237</v>
      </c>
      <c r="F26" s="12" t="s">
        <v>143</v>
      </c>
      <c r="G26" s="12">
        <v>1</v>
      </c>
      <c r="H26" s="4" t="s">
        <v>428</v>
      </c>
      <c r="I26" s="5">
        <f t="shared" si="0"/>
        <v>24948</v>
      </c>
      <c r="J26" s="5">
        <f t="shared" si="1"/>
        <v>0</v>
      </c>
    </row>
    <row r="27" spans="1:10" ht="15" customHeight="1" x14ac:dyDescent="0.25">
      <c r="A27" t="s">
        <v>140</v>
      </c>
      <c r="B27" s="4" t="s">
        <v>429</v>
      </c>
      <c r="C27" t="s">
        <v>142</v>
      </c>
      <c r="D27" s="12">
        <v>5</v>
      </c>
      <c r="E27" s="13">
        <f>ROUND(9039/(1+НДС),0)</f>
        <v>7792</v>
      </c>
      <c r="F27" s="12" t="s">
        <v>143</v>
      </c>
      <c r="G27" s="12">
        <v>1</v>
      </c>
      <c r="H27" s="4" t="s">
        <v>430</v>
      </c>
      <c r="I27" s="5">
        <f t="shared" si="0"/>
        <v>38960</v>
      </c>
      <c r="J27" s="5">
        <f t="shared" si="1"/>
        <v>0</v>
      </c>
    </row>
    <row r="28" spans="1:10" ht="15" customHeight="1" x14ac:dyDescent="0.25">
      <c r="A28" t="s">
        <v>140</v>
      </c>
      <c r="B28" s="4" t="s">
        <v>533</v>
      </c>
      <c r="C28" t="s">
        <v>142</v>
      </c>
      <c r="D28" s="12">
        <v>10</v>
      </c>
      <c r="E28" s="13">
        <f>ROUND(89302/(1+НДС),0)</f>
        <v>76984</v>
      </c>
      <c r="F28" s="12" t="s">
        <v>143</v>
      </c>
      <c r="G28" s="12">
        <v>1</v>
      </c>
      <c r="H28" s="4" t="s">
        <v>534</v>
      </c>
      <c r="I28" s="5">
        <f t="shared" ref="I28" si="2">IF(F28="разово",IF(G28&lt;=3,D28*E28,0),IF(F28="мес",D28*E28*MAX(0,4-G28),D28*E28*MAX(0,4-G28)/12))</f>
        <v>769840</v>
      </c>
      <c r="J28" s="5">
        <f t="shared" ref="J28" si="3">IF(F28="разово",IF(AND(G28&gt;3,G28&lt;=15),D28*E28,0),IF(F28="мес",D28*E28*MAX(0,MIN(12,16-MAX(G28,4))),D28*E28*MAX(0,MIN(12,16-MAX(G28,4)))/12))</f>
        <v>0</v>
      </c>
    </row>
    <row r="29" spans="1:10" ht="15" customHeight="1" x14ac:dyDescent="0.25">
      <c r="A29" t="s">
        <v>140</v>
      </c>
      <c r="B29" s="4" t="s">
        <v>156</v>
      </c>
      <c r="C29" t="s">
        <v>142</v>
      </c>
      <c r="D29" s="12">
        <v>1</v>
      </c>
      <c r="E29" s="13">
        <v>450000</v>
      </c>
      <c r="F29" s="12" t="s">
        <v>143</v>
      </c>
      <c r="G29" s="12">
        <v>1</v>
      </c>
      <c r="H29" s="4" t="s">
        <v>424</v>
      </c>
      <c r="I29" s="5">
        <f t="shared" si="0"/>
        <v>450000</v>
      </c>
      <c r="J29" s="5">
        <f t="shared" si="1"/>
        <v>0</v>
      </c>
    </row>
    <row r="30" spans="1:10" ht="15" customHeight="1" x14ac:dyDescent="0.25">
      <c r="A30" t="s">
        <v>140</v>
      </c>
      <c r="B30" s="4" t="s">
        <v>422</v>
      </c>
      <c r="C30" t="s">
        <v>142</v>
      </c>
      <c r="D30" s="12">
        <v>1</v>
      </c>
      <c r="E30" s="13">
        <f>ROUND(57852/(1+НДС),0)</f>
        <v>49872</v>
      </c>
      <c r="F30" s="12" t="s">
        <v>143</v>
      </c>
      <c r="G30" s="12">
        <v>1</v>
      </c>
      <c r="H30" s="4" t="s">
        <v>423</v>
      </c>
      <c r="I30" s="5">
        <f t="shared" si="0"/>
        <v>49872</v>
      </c>
      <c r="J30" s="5">
        <f t="shared" si="1"/>
        <v>0</v>
      </c>
    </row>
    <row r="31" spans="1:10" ht="15" customHeight="1" x14ac:dyDescent="0.25">
      <c r="A31" t="s">
        <v>140</v>
      </c>
      <c r="B31" s="4" t="s">
        <v>157</v>
      </c>
      <c r="C31" t="s">
        <v>148</v>
      </c>
      <c r="D31" s="12">
        <v>1</v>
      </c>
      <c r="E31" s="13">
        <v>300000</v>
      </c>
      <c r="F31" s="12" t="s">
        <v>143</v>
      </c>
      <c r="G31" s="12">
        <v>1</v>
      </c>
      <c r="H31" s="4" t="s">
        <v>158</v>
      </c>
      <c r="I31" s="5">
        <f t="shared" si="0"/>
        <v>300000</v>
      </c>
      <c r="J31" s="5">
        <f t="shared" si="1"/>
        <v>0</v>
      </c>
    </row>
    <row r="32" spans="1:10" ht="15" customHeight="1" x14ac:dyDescent="0.25">
      <c r="A32" t="s">
        <v>140</v>
      </c>
      <c r="B32" s="4" t="s">
        <v>159</v>
      </c>
      <c r="C32" t="s">
        <v>148</v>
      </c>
      <c r="D32" s="12">
        <v>1</v>
      </c>
      <c r="E32" s="13">
        <v>800000</v>
      </c>
      <c r="F32" s="12" t="s">
        <v>143</v>
      </c>
      <c r="G32" s="12">
        <v>1</v>
      </c>
      <c r="H32" s="4" t="s">
        <v>153</v>
      </c>
      <c r="I32" s="5">
        <f t="shared" si="0"/>
        <v>800000</v>
      </c>
      <c r="J32" s="5">
        <f t="shared" si="1"/>
        <v>0</v>
      </c>
    </row>
    <row r="33" spans="1:10" ht="15" customHeight="1" x14ac:dyDescent="0.25">
      <c r="A33" t="s">
        <v>140</v>
      </c>
      <c r="B33" s="4" t="s">
        <v>160</v>
      </c>
      <c r="C33" t="s">
        <v>142</v>
      </c>
      <c r="D33" s="12">
        <v>1</v>
      </c>
      <c r="E33" s="13">
        <v>700000</v>
      </c>
      <c r="F33" s="12" t="s">
        <v>143</v>
      </c>
      <c r="G33" s="12">
        <v>1</v>
      </c>
      <c r="H33" s="4"/>
      <c r="I33" s="5">
        <f t="shared" si="0"/>
        <v>700000</v>
      </c>
      <c r="J33" s="5">
        <f t="shared" si="1"/>
        <v>0</v>
      </c>
    </row>
    <row r="34" spans="1:10" ht="27.75" customHeight="1" x14ac:dyDescent="0.25">
      <c r="A34" t="s">
        <v>140</v>
      </c>
      <c r="B34" s="4" t="s">
        <v>161</v>
      </c>
      <c r="C34" t="s">
        <v>162</v>
      </c>
      <c r="D34" s="12">
        <v>1</v>
      </c>
      <c r="E34" s="13">
        <f>'Смета фото-видео'!G35</f>
        <v>7062880</v>
      </c>
      <c r="F34" s="12" t="s">
        <v>143</v>
      </c>
      <c r="G34" s="12">
        <v>1</v>
      </c>
      <c r="H34" s="4" t="s">
        <v>163</v>
      </c>
      <c r="I34" s="5">
        <f t="shared" si="0"/>
        <v>7062880</v>
      </c>
      <c r="J34" s="5">
        <f t="shared" si="1"/>
        <v>0</v>
      </c>
    </row>
    <row r="35" spans="1:10" ht="15" customHeight="1" x14ac:dyDescent="0.25">
      <c r="A35" t="s">
        <v>140</v>
      </c>
      <c r="B35" s="4" t="s">
        <v>164</v>
      </c>
      <c r="C35" t="s">
        <v>148</v>
      </c>
      <c r="D35" s="12">
        <v>1</v>
      </c>
      <c r="E35" s="13">
        <v>400000</v>
      </c>
      <c r="F35" s="12" t="s">
        <v>143</v>
      </c>
      <c r="G35" s="12">
        <v>1</v>
      </c>
      <c r="H35" s="4"/>
      <c r="I35" s="5">
        <f t="shared" si="0"/>
        <v>400000</v>
      </c>
      <c r="J35" s="5">
        <f t="shared" si="1"/>
        <v>0</v>
      </c>
    </row>
    <row r="36" spans="1:10" ht="15" customHeight="1" x14ac:dyDescent="0.25">
      <c r="A36" t="s">
        <v>140</v>
      </c>
      <c r="B36" s="4" t="s">
        <v>165</v>
      </c>
      <c r="C36" t="s">
        <v>148</v>
      </c>
      <c r="D36" s="12">
        <v>1</v>
      </c>
      <c r="E36" s="13">
        <v>150000</v>
      </c>
      <c r="F36" s="12" t="s">
        <v>143</v>
      </c>
      <c r="G36" s="12">
        <v>1</v>
      </c>
      <c r="H36" s="4"/>
      <c r="I36" s="5">
        <f t="shared" si="0"/>
        <v>150000</v>
      </c>
      <c r="J36" s="5">
        <f t="shared" si="1"/>
        <v>0</v>
      </c>
    </row>
    <row r="37" spans="1:10" ht="15" customHeight="1" x14ac:dyDescent="0.25">
      <c r="A37" t="s">
        <v>140</v>
      </c>
      <c r="B37" s="4" t="s">
        <v>166</v>
      </c>
      <c r="C37" t="s">
        <v>148</v>
      </c>
      <c r="D37" s="12">
        <v>1</v>
      </c>
      <c r="E37" s="13">
        <v>400000</v>
      </c>
      <c r="F37" s="12" t="s">
        <v>143</v>
      </c>
      <c r="G37" s="12">
        <v>1</v>
      </c>
      <c r="H37" s="4"/>
      <c r="I37" s="5">
        <f t="shared" si="0"/>
        <v>400000</v>
      </c>
      <c r="J37" s="5">
        <f t="shared" si="1"/>
        <v>0</v>
      </c>
    </row>
    <row r="38" spans="1:10" ht="15" customHeight="1" x14ac:dyDescent="0.25">
      <c r="A38" t="s">
        <v>140</v>
      </c>
      <c r="B38" s="4" t="s">
        <v>167</v>
      </c>
      <c r="C38" t="s">
        <v>148</v>
      </c>
      <c r="D38" s="12">
        <v>1</v>
      </c>
      <c r="E38" s="13">
        <v>100000</v>
      </c>
      <c r="F38" s="12" t="s">
        <v>143</v>
      </c>
      <c r="G38" s="12">
        <v>1</v>
      </c>
      <c r="H38" s="4" t="s">
        <v>527</v>
      </c>
      <c r="I38" s="5">
        <f t="shared" si="0"/>
        <v>100000</v>
      </c>
      <c r="J38" s="5">
        <f t="shared" ref="J38:J66" si="4">IF(F38="разово",IF(AND(G38&gt;3,G38&lt;=15),D38*E38,0),IF(F38="мес",D38*E38*MAX(0,MIN(12,16-MAX(G38,4))),D38*E38*MAX(0,MIN(12,16-MAX(G38,4)))/12))</f>
        <v>0</v>
      </c>
    </row>
    <row r="39" spans="1:10" ht="27.75" customHeight="1" x14ac:dyDescent="0.25">
      <c r="A39" t="s">
        <v>168</v>
      </c>
      <c r="B39" s="4" t="s">
        <v>169</v>
      </c>
      <c r="C39" t="s">
        <v>170</v>
      </c>
      <c r="D39" s="12">
        <v>1</v>
      </c>
      <c r="E39" s="13">
        <f>Аренда_мес</f>
        <v>9856200</v>
      </c>
      <c r="F39" s="12" t="s">
        <v>171</v>
      </c>
      <c r="G39" s="12">
        <v>1</v>
      </c>
      <c r="H39" s="4" t="s">
        <v>524</v>
      </c>
      <c r="I39" s="5">
        <f>D39*E39*Аренда_мес_2026</f>
        <v>23209761.290322583</v>
      </c>
      <c r="J39" s="5">
        <f t="shared" si="4"/>
        <v>118274400</v>
      </c>
    </row>
    <row r="40" spans="1:10" ht="15" customHeight="1" x14ac:dyDescent="0.25">
      <c r="A40" t="s">
        <v>168</v>
      </c>
      <c r="B40" s="4" t="s">
        <v>335</v>
      </c>
      <c r="C40" t="s">
        <v>172</v>
      </c>
      <c r="D40" s="12">
        <v>1</v>
      </c>
      <c r="E40" s="13">
        <f>Аренда_мес*Депозит_мес</f>
        <v>9856200</v>
      </c>
      <c r="F40" s="12" t="s">
        <v>143</v>
      </c>
      <c r="G40" s="12">
        <v>1</v>
      </c>
      <c r="H40" s="4" t="s">
        <v>525</v>
      </c>
      <c r="I40" s="5">
        <f t="shared" ref="I40:I66" si="5">IF(F40="разово",IF(G40&lt;=3,D40*E40,0),IF(F40="мес",D40*E40*MAX(0,4-G40),D40*E40*MAX(0,4-G40)/12))</f>
        <v>9856200</v>
      </c>
      <c r="J40" s="5">
        <f t="shared" si="4"/>
        <v>0</v>
      </c>
    </row>
    <row r="41" spans="1:10" ht="27.75" customHeight="1" x14ac:dyDescent="0.25">
      <c r="A41" t="s">
        <v>168</v>
      </c>
      <c r="B41" s="4" t="s">
        <v>173</v>
      </c>
      <c r="C41" t="s">
        <v>174</v>
      </c>
      <c r="D41" s="12">
        <v>1</v>
      </c>
      <c r="E41" s="13">
        <v>3000000</v>
      </c>
      <c r="F41" s="12" t="s">
        <v>143</v>
      </c>
      <c r="G41" s="12">
        <v>1</v>
      </c>
      <c r="H41" s="4" t="s">
        <v>175</v>
      </c>
      <c r="I41" s="5">
        <f t="shared" si="5"/>
        <v>3000000</v>
      </c>
      <c r="J41" s="5">
        <f t="shared" si="4"/>
        <v>0</v>
      </c>
    </row>
    <row r="42" spans="1:10" ht="15" customHeight="1" x14ac:dyDescent="0.25">
      <c r="A42" t="s">
        <v>168</v>
      </c>
      <c r="B42" s="4" t="s">
        <v>176</v>
      </c>
      <c r="C42" t="s">
        <v>170</v>
      </c>
      <c r="D42" s="12">
        <v>1</v>
      </c>
      <c r="E42" s="13">
        <v>50000</v>
      </c>
      <c r="F42" s="12" t="s">
        <v>171</v>
      </c>
      <c r="G42" s="12">
        <v>1</v>
      </c>
      <c r="H42" s="4"/>
      <c r="I42" s="5">
        <f t="shared" si="5"/>
        <v>150000</v>
      </c>
      <c r="J42" s="5">
        <f t="shared" si="4"/>
        <v>600000</v>
      </c>
    </row>
    <row r="43" spans="1:10" ht="15" customHeight="1" x14ac:dyDescent="0.25">
      <c r="A43" t="s">
        <v>168</v>
      </c>
      <c r="B43" s="4" t="s">
        <v>177</v>
      </c>
      <c r="C43" t="s">
        <v>170</v>
      </c>
      <c r="D43" s="12">
        <v>1</v>
      </c>
      <c r="E43" s="13">
        <v>60000</v>
      </c>
      <c r="F43" s="12" t="s">
        <v>171</v>
      </c>
      <c r="G43" s="12">
        <v>1</v>
      </c>
      <c r="H43" s="4"/>
      <c r="I43" s="5">
        <f t="shared" si="5"/>
        <v>180000</v>
      </c>
      <c r="J43" s="5">
        <f t="shared" si="4"/>
        <v>720000</v>
      </c>
    </row>
    <row r="44" spans="1:10" ht="15" customHeight="1" x14ac:dyDescent="0.25">
      <c r="A44" t="s">
        <v>168</v>
      </c>
      <c r="B44" s="4" t="s">
        <v>178</v>
      </c>
      <c r="C44" t="s">
        <v>170</v>
      </c>
      <c r="D44" s="12">
        <v>1</v>
      </c>
      <c r="E44" s="13">
        <v>50000</v>
      </c>
      <c r="F44" s="12" t="s">
        <v>171</v>
      </c>
      <c r="G44" s="12">
        <v>1</v>
      </c>
      <c r="H44" s="4"/>
      <c r="I44" s="5">
        <f t="shared" si="5"/>
        <v>150000</v>
      </c>
      <c r="J44" s="5">
        <f t="shared" si="4"/>
        <v>600000</v>
      </c>
    </row>
    <row r="45" spans="1:10" ht="15" customHeight="1" x14ac:dyDescent="0.25">
      <c r="A45" t="s">
        <v>168</v>
      </c>
      <c r="B45" s="4" t="s">
        <v>179</v>
      </c>
      <c r="C45" t="s">
        <v>180</v>
      </c>
      <c r="D45" s="12">
        <v>25</v>
      </c>
      <c r="E45" s="13">
        <v>5000</v>
      </c>
      <c r="F45" s="12" t="s">
        <v>171</v>
      </c>
      <c r="G45" s="12">
        <v>1</v>
      </c>
      <c r="H45" s="4" t="s">
        <v>181</v>
      </c>
      <c r="I45" s="5">
        <f t="shared" si="5"/>
        <v>375000</v>
      </c>
      <c r="J45" s="5">
        <f t="shared" si="4"/>
        <v>1500000</v>
      </c>
    </row>
    <row r="46" spans="1:10" ht="15" customHeight="1" x14ac:dyDescent="0.25">
      <c r="A46" t="s">
        <v>168</v>
      </c>
      <c r="B46" s="4" t="s">
        <v>182</v>
      </c>
      <c r="C46" t="s">
        <v>170</v>
      </c>
      <c r="D46" s="12">
        <v>1</v>
      </c>
      <c r="E46" s="13">
        <v>60000</v>
      </c>
      <c r="F46" s="12" t="s">
        <v>171</v>
      </c>
      <c r="G46" s="12">
        <v>1</v>
      </c>
      <c r="H46" s="4"/>
      <c r="I46" s="5">
        <f t="shared" si="5"/>
        <v>180000</v>
      </c>
      <c r="J46" s="5">
        <f t="shared" si="4"/>
        <v>720000</v>
      </c>
    </row>
    <row r="47" spans="1:10" ht="15" customHeight="1" x14ac:dyDescent="0.25">
      <c r="A47" t="s">
        <v>168</v>
      </c>
      <c r="B47" s="4" t="s">
        <v>315</v>
      </c>
      <c r="C47" t="s">
        <v>170</v>
      </c>
      <c r="D47" s="12">
        <v>1</v>
      </c>
      <c r="E47" s="13">
        <f>Канцелярия!F22</f>
        <v>240750</v>
      </c>
      <c r="F47" s="12" t="s">
        <v>171</v>
      </c>
      <c r="G47" s="12">
        <v>1</v>
      </c>
      <c r="H47" s="4" t="s">
        <v>336</v>
      </c>
      <c r="I47" s="5">
        <f t="shared" si="5"/>
        <v>722250</v>
      </c>
      <c r="J47" s="5">
        <f t="shared" si="4"/>
        <v>2889000</v>
      </c>
    </row>
    <row r="48" spans="1:10" ht="15" customHeight="1" x14ac:dyDescent="0.25">
      <c r="A48" t="s">
        <v>168</v>
      </c>
      <c r="B48" s="4" t="s">
        <v>183</v>
      </c>
      <c r="C48" t="s">
        <v>170</v>
      </c>
      <c r="D48" s="12">
        <v>0</v>
      </c>
      <c r="E48" s="13">
        <v>200000</v>
      </c>
      <c r="F48" s="12" t="s">
        <v>171</v>
      </c>
      <c r="G48" s="12">
        <v>1</v>
      </c>
      <c r="H48" s="4" t="s">
        <v>526</v>
      </c>
      <c r="I48" s="5">
        <f t="shared" si="5"/>
        <v>0</v>
      </c>
      <c r="J48" s="5">
        <f t="shared" si="4"/>
        <v>0</v>
      </c>
    </row>
    <row r="49" spans="1:10" ht="15" customHeight="1" x14ac:dyDescent="0.25">
      <c r="A49" t="s">
        <v>168</v>
      </c>
      <c r="B49" s="4" t="s">
        <v>184</v>
      </c>
      <c r="C49" t="s">
        <v>170</v>
      </c>
      <c r="D49" s="12">
        <v>1</v>
      </c>
      <c r="E49" s="13">
        <v>150000</v>
      </c>
      <c r="F49" s="12" t="s">
        <v>171</v>
      </c>
      <c r="G49" s="12">
        <v>1</v>
      </c>
      <c r="H49" s="4"/>
      <c r="I49" s="5">
        <f t="shared" si="5"/>
        <v>450000</v>
      </c>
      <c r="J49" s="5">
        <f t="shared" si="4"/>
        <v>1800000</v>
      </c>
    </row>
    <row r="50" spans="1:10" ht="15" customHeight="1" x14ac:dyDescent="0.25">
      <c r="A50" t="s">
        <v>168</v>
      </c>
      <c r="B50" s="4" t="s">
        <v>185</v>
      </c>
      <c r="C50" t="s">
        <v>170</v>
      </c>
      <c r="D50" s="12">
        <v>1</v>
      </c>
      <c r="E50" s="13">
        <v>100000</v>
      </c>
      <c r="F50" s="12" t="s">
        <v>171</v>
      </c>
      <c r="G50" s="12">
        <v>1</v>
      </c>
      <c r="H50" s="4"/>
      <c r="I50" s="5">
        <f t="shared" si="5"/>
        <v>300000</v>
      </c>
      <c r="J50" s="5">
        <f t="shared" si="4"/>
        <v>1200000</v>
      </c>
    </row>
    <row r="51" spans="1:10" ht="15" customHeight="1" x14ac:dyDescent="0.25">
      <c r="A51" t="s">
        <v>186</v>
      </c>
      <c r="B51" s="4" t="s">
        <v>187</v>
      </c>
      <c r="C51" t="s">
        <v>188</v>
      </c>
      <c r="D51" s="12">
        <v>25</v>
      </c>
      <c r="E51" s="13">
        <v>7000</v>
      </c>
      <c r="F51" s="12" t="s">
        <v>171</v>
      </c>
      <c r="G51" s="12">
        <v>1</v>
      </c>
      <c r="H51" s="4" t="s">
        <v>181</v>
      </c>
      <c r="I51" s="5">
        <f t="shared" si="5"/>
        <v>525000</v>
      </c>
      <c r="J51" s="5">
        <f t="shared" si="4"/>
        <v>2100000</v>
      </c>
    </row>
    <row r="52" spans="1:10" ht="15" customHeight="1" x14ac:dyDescent="0.25">
      <c r="A52" t="s">
        <v>186</v>
      </c>
      <c r="B52" s="4" t="s">
        <v>189</v>
      </c>
      <c r="C52" t="s">
        <v>188</v>
      </c>
      <c r="D52" s="12">
        <v>3</v>
      </c>
      <c r="E52" s="13">
        <v>7500</v>
      </c>
      <c r="F52" s="12" t="s">
        <v>171</v>
      </c>
      <c r="G52" s="12">
        <v>1</v>
      </c>
      <c r="H52" s="4"/>
      <c r="I52" s="5">
        <f t="shared" si="5"/>
        <v>67500</v>
      </c>
      <c r="J52" s="5">
        <f t="shared" si="4"/>
        <v>270000</v>
      </c>
    </row>
    <row r="53" spans="1:10" ht="15" customHeight="1" x14ac:dyDescent="0.25">
      <c r="A53" t="s">
        <v>186</v>
      </c>
      <c r="B53" s="4" t="s">
        <v>190</v>
      </c>
      <c r="C53" t="s">
        <v>191</v>
      </c>
      <c r="D53" s="12">
        <v>2</v>
      </c>
      <c r="E53" s="13">
        <v>30000</v>
      </c>
      <c r="F53" s="12" t="s">
        <v>171</v>
      </c>
      <c r="G53" s="12">
        <v>1</v>
      </c>
      <c r="H53" s="4" t="s">
        <v>192</v>
      </c>
      <c r="I53" s="5">
        <f t="shared" si="5"/>
        <v>180000</v>
      </c>
      <c r="J53" s="5">
        <f t="shared" si="4"/>
        <v>720000</v>
      </c>
    </row>
    <row r="54" spans="1:10" ht="15" customHeight="1" x14ac:dyDescent="0.25">
      <c r="A54" t="s">
        <v>186</v>
      </c>
      <c r="B54" s="4" t="s">
        <v>193</v>
      </c>
      <c r="C54" t="s">
        <v>191</v>
      </c>
      <c r="D54" s="12">
        <v>2</v>
      </c>
      <c r="E54" s="13">
        <v>8000</v>
      </c>
      <c r="F54" s="12" t="s">
        <v>171</v>
      </c>
      <c r="G54" s="12">
        <v>1</v>
      </c>
      <c r="H54" s="4"/>
      <c r="I54" s="5">
        <f t="shared" si="5"/>
        <v>48000</v>
      </c>
      <c r="J54" s="5">
        <f t="shared" si="4"/>
        <v>192000</v>
      </c>
    </row>
    <row r="55" spans="1:10" ht="15" customHeight="1" x14ac:dyDescent="0.25">
      <c r="A55" t="s">
        <v>186</v>
      </c>
      <c r="B55" s="4" t="s">
        <v>194</v>
      </c>
      <c r="C55" t="s">
        <v>170</v>
      </c>
      <c r="D55" s="12">
        <v>1</v>
      </c>
      <c r="E55" s="13">
        <v>200000</v>
      </c>
      <c r="F55" s="12" t="s">
        <v>171</v>
      </c>
      <c r="G55" s="12">
        <v>4</v>
      </c>
      <c r="H55" s="4" t="s">
        <v>195</v>
      </c>
      <c r="I55" s="5">
        <f t="shared" si="5"/>
        <v>0</v>
      </c>
      <c r="J55" s="5">
        <f t="shared" si="4"/>
        <v>2400000</v>
      </c>
    </row>
    <row r="56" spans="1:10" ht="15" customHeight="1" x14ac:dyDescent="0.25">
      <c r="A56" t="s">
        <v>186</v>
      </c>
      <c r="B56" s="4" t="s">
        <v>196</v>
      </c>
      <c r="C56" t="s">
        <v>170</v>
      </c>
      <c r="D56" s="12">
        <v>1</v>
      </c>
      <c r="E56" s="13">
        <v>300000</v>
      </c>
      <c r="F56" s="12" t="s">
        <v>171</v>
      </c>
      <c r="G56" s="12">
        <v>4</v>
      </c>
      <c r="H56" s="4" t="s">
        <v>197</v>
      </c>
      <c r="I56" s="5">
        <f t="shared" si="5"/>
        <v>0</v>
      </c>
      <c r="J56" s="5">
        <f t="shared" si="4"/>
        <v>3600000</v>
      </c>
    </row>
    <row r="57" spans="1:10" ht="15" customHeight="1" x14ac:dyDescent="0.25">
      <c r="A57" t="s">
        <v>198</v>
      </c>
      <c r="B57" s="4" t="s">
        <v>510</v>
      </c>
      <c r="C57" t="s">
        <v>365</v>
      </c>
      <c r="D57" s="12"/>
      <c r="E57" s="13"/>
      <c r="F57" s="12" t="s">
        <v>362</v>
      </c>
      <c r="G57" s="12"/>
      <c r="H57" s="4"/>
      <c r="I57" s="5">
        <v>2000000</v>
      </c>
      <c r="J57" s="5">
        <v>20000000</v>
      </c>
    </row>
    <row r="58" spans="1:10" ht="15" customHeight="1" x14ac:dyDescent="0.25">
      <c r="A58" t="s">
        <v>198</v>
      </c>
      <c r="B58" s="4" t="s">
        <v>199</v>
      </c>
      <c r="C58" t="s">
        <v>200</v>
      </c>
      <c r="D58" s="12">
        <v>1</v>
      </c>
      <c r="E58" s="13">
        <v>5000000</v>
      </c>
      <c r="F58" s="12" t="s">
        <v>200</v>
      </c>
      <c r="G58" s="12">
        <v>1</v>
      </c>
      <c r="H58" s="4"/>
      <c r="I58" s="5">
        <f t="shared" si="5"/>
        <v>1250000</v>
      </c>
      <c r="J58" s="5">
        <f t="shared" si="4"/>
        <v>5000000</v>
      </c>
    </row>
    <row r="59" spans="1:10" ht="15" customHeight="1" x14ac:dyDescent="0.25">
      <c r="A59" t="s">
        <v>198</v>
      </c>
      <c r="B59" s="4" t="s">
        <v>201</v>
      </c>
      <c r="C59" t="s">
        <v>170</v>
      </c>
      <c r="D59" s="12">
        <v>1</v>
      </c>
      <c r="E59" s="13">
        <v>25000</v>
      </c>
      <c r="F59" s="12" t="s">
        <v>171</v>
      </c>
      <c r="G59" s="12">
        <v>1</v>
      </c>
      <c r="H59" s="4"/>
      <c r="I59" s="5">
        <f t="shared" si="5"/>
        <v>75000</v>
      </c>
      <c r="J59" s="5">
        <f t="shared" si="4"/>
        <v>300000</v>
      </c>
    </row>
    <row r="60" spans="1:10" ht="15" customHeight="1" x14ac:dyDescent="0.25">
      <c r="A60" t="s">
        <v>198</v>
      </c>
      <c r="B60" s="4" t="s">
        <v>202</v>
      </c>
      <c r="C60" t="s">
        <v>200</v>
      </c>
      <c r="D60" s="12">
        <v>0</v>
      </c>
      <c r="E60" s="13">
        <v>10000000</v>
      </c>
      <c r="F60" s="12" t="s">
        <v>200</v>
      </c>
      <c r="G60" s="12">
        <v>1</v>
      </c>
      <c r="H60" s="4" t="s">
        <v>363</v>
      </c>
      <c r="I60" s="5">
        <f t="shared" si="5"/>
        <v>0</v>
      </c>
      <c r="J60" s="5">
        <f t="shared" si="4"/>
        <v>0</v>
      </c>
    </row>
    <row r="61" spans="1:10" ht="15" customHeight="1" x14ac:dyDescent="0.25">
      <c r="A61" t="s">
        <v>203</v>
      </c>
      <c r="B61" s="4" t="s">
        <v>204</v>
      </c>
      <c r="C61" t="s">
        <v>205</v>
      </c>
      <c r="D61" s="12">
        <v>1</v>
      </c>
      <c r="E61" s="13">
        <v>700000</v>
      </c>
      <c r="F61" s="12" t="s">
        <v>143</v>
      </c>
      <c r="G61" s="12">
        <v>1</v>
      </c>
      <c r="H61" s="4" t="s">
        <v>206</v>
      </c>
      <c r="I61" s="5">
        <f t="shared" si="5"/>
        <v>700000</v>
      </c>
      <c r="J61" s="5">
        <f t="shared" si="4"/>
        <v>0</v>
      </c>
    </row>
    <row r="62" spans="1:10" ht="15" customHeight="1" x14ac:dyDescent="0.25">
      <c r="A62" t="s">
        <v>203</v>
      </c>
      <c r="B62" s="4" t="s">
        <v>207</v>
      </c>
      <c r="C62" t="s">
        <v>208</v>
      </c>
      <c r="D62" s="12">
        <v>25</v>
      </c>
      <c r="E62" s="13">
        <v>150000</v>
      </c>
      <c r="F62" s="12" t="s">
        <v>200</v>
      </c>
      <c r="G62" s="12">
        <v>1</v>
      </c>
      <c r="H62" s="4"/>
      <c r="I62" s="5">
        <f t="shared" si="5"/>
        <v>937500</v>
      </c>
      <c r="J62" s="5">
        <f t="shared" si="4"/>
        <v>3750000</v>
      </c>
    </row>
    <row r="63" spans="1:10" ht="15" customHeight="1" x14ac:dyDescent="0.25">
      <c r="A63" t="s">
        <v>203</v>
      </c>
      <c r="B63" s="4" t="s">
        <v>209</v>
      </c>
      <c r="C63" t="s">
        <v>200</v>
      </c>
      <c r="D63" s="12">
        <v>1</v>
      </c>
      <c r="E63" s="13">
        <v>2000000</v>
      </c>
      <c r="F63" s="12" t="s">
        <v>200</v>
      </c>
      <c r="G63" s="12">
        <v>1</v>
      </c>
      <c r="H63" s="4"/>
      <c r="I63" s="5">
        <f t="shared" si="5"/>
        <v>500000</v>
      </c>
      <c r="J63" s="5">
        <f t="shared" si="4"/>
        <v>2000000</v>
      </c>
    </row>
    <row r="64" spans="1:10" ht="15" customHeight="1" x14ac:dyDescent="0.25">
      <c r="A64" t="s">
        <v>203</v>
      </c>
      <c r="B64" s="4" t="s">
        <v>210</v>
      </c>
      <c r="C64" t="s">
        <v>200</v>
      </c>
      <c r="D64" s="12">
        <v>2</v>
      </c>
      <c r="E64" s="13">
        <v>3000000</v>
      </c>
      <c r="F64" s="12" t="s">
        <v>200</v>
      </c>
      <c r="G64" s="12">
        <v>0</v>
      </c>
      <c r="H64" s="4"/>
      <c r="I64" s="5">
        <v>3000000</v>
      </c>
      <c r="J64" s="5">
        <v>3000000</v>
      </c>
    </row>
    <row r="65" spans="1:10" ht="15" customHeight="1" x14ac:dyDescent="0.25">
      <c r="A65" t="s">
        <v>203</v>
      </c>
      <c r="B65" s="4" t="s">
        <v>211</v>
      </c>
      <c r="C65" t="s">
        <v>200</v>
      </c>
      <c r="D65" s="12">
        <v>1</v>
      </c>
      <c r="E65" s="13">
        <v>500000</v>
      </c>
      <c r="F65" s="12" t="s">
        <v>200</v>
      </c>
      <c r="G65" s="12">
        <v>1</v>
      </c>
      <c r="H65" s="4"/>
      <c r="I65" s="5">
        <f t="shared" si="5"/>
        <v>125000</v>
      </c>
      <c r="J65" s="5">
        <f t="shared" si="4"/>
        <v>500000</v>
      </c>
    </row>
    <row r="66" spans="1:10" ht="15" customHeight="1" x14ac:dyDescent="0.25">
      <c r="A66" t="s">
        <v>203</v>
      </c>
      <c r="B66" s="4" t="s">
        <v>212</v>
      </c>
      <c r="C66" t="s">
        <v>200</v>
      </c>
      <c r="D66" s="12">
        <v>1</v>
      </c>
      <c r="E66" s="13">
        <v>150000</v>
      </c>
      <c r="F66" s="12" t="s">
        <v>200</v>
      </c>
      <c r="G66" s="12">
        <v>1</v>
      </c>
      <c r="H66" s="4"/>
      <c r="I66" s="5">
        <f t="shared" si="5"/>
        <v>37500</v>
      </c>
      <c r="J66" s="5">
        <f t="shared" si="4"/>
        <v>150000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8"/>
  <sheetViews>
    <sheetView tabSelected="1" workbookViewId="0">
      <selection activeCell="E25" sqref="E25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customWidth="1"/>
    <col min="5" max="5" width="13.7109375" customWidth="1"/>
    <col min="6" max="6" width="10.7109375" customWidth="1"/>
    <col min="7" max="8" width="14.7109375" customWidth="1"/>
    <col min="9" max="13" width="8.7109375" customWidth="1"/>
  </cols>
  <sheetData>
    <row r="1" spans="1:8" ht="17.25" x14ac:dyDescent="0.3">
      <c r="A1" s="1" t="s">
        <v>476</v>
      </c>
    </row>
    <row r="2" spans="1:8" x14ac:dyDescent="0.25">
      <c r="A2" s="2"/>
    </row>
    <row r="4" spans="1:8" ht="31.5" customHeight="1" x14ac:dyDescent="0.25">
      <c r="A4" s="3" t="s">
        <v>134</v>
      </c>
      <c r="B4" s="3" t="s">
        <v>1</v>
      </c>
      <c r="C4" s="3" t="s">
        <v>135</v>
      </c>
      <c r="D4" s="3" t="s">
        <v>102</v>
      </c>
      <c r="E4" s="3" t="s">
        <v>136</v>
      </c>
      <c r="F4" s="3" t="s">
        <v>137</v>
      </c>
      <c r="G4" s="3" t="s">
        <v>130</v>
      </c>
      <c r="H4" s="3">
        <v>2027</v>
      </c>
    </row>
    <row r="5" spans="1:8" ht="30" x14ac:dyDescent="0.25">
      <c r="A5" t="s">
        <v>472</v>
      </c>
      <c r="B5" s="4" t="s">
        <v>473</v>
      </c>
      <c r="C5" t="s">
        <v>365</v>
      </c>
      <c r="D5" s="12"/>
      <c r="E5" s="13"/>
      <c r="F5" s="12" t="s">
        <v>362</v>
      </c>
      <c r="G5" s="5">
        <v>6000000</v>
      </c>
      <c r="H5" s="5">
        <v>12000000</v>
      </c>
    </row>
    <row r="6" spans="1:8" x14ac:dyDescent="0.25">
      <c r="A6" t="s">
        <v>472</v>
      </c>
      <c r="B6" s="4" t="s">
        <v>369</v>
      </c>
      <c r="C6" t="s">
        <v>365</v>
      </c>
      <c r="D6" s="12"/>
      <c r="E6" s="13"/>
      <c r="F6" s="12" t="s">
        <v>362</v>
      </c>
      <c r="G6" s="5">
        <v>2000000</v>
      </c>
      <c r="H6" s="5">
        <v>8000000</v>
      </c>
    </row>
    <row r="7" spans="1:8" x14ac:dyDescent="0.25">
      <c r="A7" t="s">
        <v>472</v>
      </c>
      <c r="B7" s="4" t="s">
        <v>474</v>
      </c>
      <c r="C7" t="s">
        <v>365</v>
      </c>
      <c r="D7" s="12"/>
      <c r="E7" s="13"/>
      <c r="F7" s="12" t="s">
        <v>362</v>
      </c>
      <c r="G7" s="5">
        <v>10000000</v>
      </c>
      <c r="H7" s="5">
        <v>300000000</v>
      </c>
    </row>
    <row r="8" spans="1:8" x14ac:dyDescent="0.25">
      <c r="A8" t="s">
        <v>472</v>
      </c>
      <c r="B8" s="4" t="s">
        <v>370</v>
      </c>
      <c r="C8" t="s">
        <v>365</v>
      </c>
      <c r="D8" s="12"/>
      <c r="E8" s="13"/>
      <c r="F8" s="12" t="s">
        <v>362</v>
      </c>
      <c r="G8" s="5">
        <v>0</v>
      </c>
      <c r="H8" s="5">
        <v>500000000</v>
      </c>
    </row>
    <row r="9" spans="1:8" x14ac:dyDescent="0.25">
      <c r="A9" t="s">
        <v>472</v>
      </c>
      <c r="B9" s="4" t="s">
        <v>371</v>
      </c>
      <c r="C9" t="s">
        <v>365</v>
      </c>
      <c r="D9" s="12"/>
      <c r="E9" s="13"/>
      <c r="F9" s="12" t="s">
        <v>362</v>
      </c>
      <c r="G9" s="5">
        <v>0</v>
      </c>
      <c r="H9" s="5">
        <v>45000000</v>
      </c>
    </row>
    <row r="10" spans="1:8" x14ac:dyDescent="0.25">
      <c r="A10" t="s">
        <v>472</v>
      </c>
      <c r="B10" s="4" t="s">
        <v>367</v>
      </c>
      <c r="C10" t="s">
        <v>365</v>
      </c>
      <c r="D10" s="12"/>
      <c r="E10" s="13"/>
      <c r="F10" s="12" t="s">
        <v>362</v>
      </c>
      <c r="G10" s="5">
        <v>0</v>
      </c>
      <c r="H10" s="5">
        <v>25000000</v>
      </c>
    </row>
    <row r="11" spans="1:8" ht="30" x14ac:dyDescent="0.25">
      <c r="A11" t="s">
        <v>472</v>
      </c>
      <c r="B11" s="4" t="s">
        <v>475</v>
      </c>
      <c r="C11" t="s">
        <v>365</v>
      </c>
      <c r="D11" s="12"/>
      <c r="E11" s="13"/>
      <c r="F11" s="12" t="s">
        <v>362</v>
      </c>
      <c r="G11" s="5">
        <v>30000000</v>
      </c>
      <c r="H11" s="5">
        <v>120000000</v>
      </c>
    </row>
    <row r="12" spans="1:8" x14ac:dyDescent="0.25">
      <c r="A12" t="s">
        <v>472</v>
      </c>
      <c r="B12" s="4" t="s">
        <v>366</v>
      </c>
      <c r="C12" t="s">
        <v>365</v>
      </c>
      <c r="D12" s="12"/>
      <c r="E12" s="13"/>
      <c r="F12" s="12" t="s">
        <v>362</v>
      </c>
      <c r="G12" s="5">
        <v>15000000</v>
      </c>
      <c r="H12" s="5">
        <v>120000000</v>
      </c>
    </row>
    <row r="13" spans="1:8" x14ac:dyDescent="0.25">
      <c r="A13" t="s">
        <v>472</v>
      </c>
      <c r="B13" s="4" t="s">
        <v>372</v>
      </c>
      <c r="C13" t="s">
        <v>365</v>
      </c>
      <c r="D13" s="12"/>
      <c r="E13" s="13"/>
      <c r="F13" s="12" t="s">
        <v>362</v>
      </c>
      <c r="G13" s="5">
        <v>50000000</v>
      </c>
      <c r="H13" s="5">
        <v>300000000</v>
      </c>
    </row>
    <row r="14" spans="1:8" x14ac:dyDescent="0.25">
      <c r="A14" t="s">
        <v>472</v>
      </c>
      <c r="B14" s="4" t="s">
        <v>364</v>
      </c>
      <c r="C14" t="s">
        <v>365</v>
      </c>
      <c r="D14" s="12"/>
      <c r="E14" s="13"/>
      <c r="F14" s="12" t="s">
        <v>362</v>
      </c>
      <c r="G14" s="5">
        <v>100000000</v>
      </c>
      <c r="H14" s="5">
        <v>100000000</v>
      </c>
    </row>
    <row r="15" spans="1:8" x14ac:dyDescent="0.25">
      <c r="G15" s="5"/>
      <c r="H15" s="5"/>
    </row>
    <row r="16" spans="1:8" x14ac:dyDescent="0.25">
      <c r="B16" s="10" t="s">
        <v>467</v>
      </c>
      <c r="C16" s="10"/>
      <c r="D16" s="10"/>
      <c r="E16" s="10"/>
      <c r="F16" s="10"/>
      <c r="G16" s="8">
        <f>SUM(G5:G14)</f>
        <v>213000000</v>
      </c>
      <c r="H16" s="8">
        <f>SUM(H5:H14)</f>
        <v>1530000000</v>
      </c>
    </row>
    <row r="18" spans="2:8" x14ac:dyDescent="0.25">
      <c r="B18" s="10" t="s">
        <v>515</v>
      </c>
      <c r="G18" s="81">
        <f>G16+H16</f>
        <v>1743000000</v>
      </c>
      <c r="H18" s="82"/>
    </row>
  </sheetData>
  <mergeCells count="1">
    <mergeCell ref="G18:H18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>
      <selection activeCell="E18" sqref="E18"/>
    </sheetView>
  </sheetViews>
  <sheetFormatPr defaultRowHeight="15" x14ac:dyDescent="0.25"/>
  <cols>
    <col min="1" max="1" width="18.7109375" customWidth="1"/>
    <col min="2" max="2" width="62.7109375" customWidth="1"/>
    <col min="3" max="3" width="10.7109375" customWidth="1"/>
    <col min="4" max="4" width="16.7109375" customWidth="1"/>
    <col min="5" max="5" width="12.7109375" customWidth="1"/>
    <col min="6" max="6" width="18.7109375" customWidth="1"/>
    <col min="7" max="7" width="48.7109375" customWidth="1"/>
  </cols>
  <sheetData>
    <row r="1" spans="1:7" s="10" customFormat="1" x14ac:dyDescent="0.25">
      <c r="A1" s="10" t="s">
        <v>270</v>
      </c>
    </row>
    <row r="2" spans="1:7" x14ac:dyDescent="0.25">
      <c r="A2" t="s">
        <v>271</v>
      </c>
    </row>
    <row r="4" spans="1:7" s="10" customFormat="1" x14ac:dyDescent="0.25">
      <c r="A4" s="10" t="s">
        <v>272</v>
      </c>
      <c r="B4" s="10" t="s">
        <v>273</v>
      </c>
      <c r="C4" s="10" t="s">
        <v>135</v>
      </c>
      <c r="D4" s="10" t="s">
        <v>274</v>
      </c>
      <c r="E4" s="10" t="s">
        <v>136</v>
      </c>
      <c r="F4" s="10" t="s">
        <v>275</v>
      </c>
      <c r="G4" s="10" t="s">
        <v>139</v>
      </c>
    </row>
    <row r="5" spans="1:7" x14ac:dyDescent="0.25">
      <c r="A5" t="s">
        <v>276</v>
      </c>
      <c r="B5" t="s">
        <v>277</v>
      </c>
      <c r="C5" t="s">
        <v>278</v>
      </c>
      <c r="D5" s="16">
        <v>7</v>
      </c>
      <c r="E5" s="5">
        <v>3000</v>
      </c>
      <c r="F5" s="5">
        <f t="shared" ref="F5:F21" si="0">D5*E5</f>
        <v>21000</v>
      </c>
      <c r="G5" t="s">
        <v>511</v>
      </c>
    </row>
    <row r="6" spans="1:7" x14ac:dyDescent="0.25">
      <c r="A6" t="s">
        <v>276</v>
      </c>
      <c r="B6" t="s">
        <v>279</v>
      </c>
      <c r="C6" t="s">
        <v>278</v>
      </c>
      <c r="D6" s="16">
        <v>0.5</v>
      </c>
      <c r="E6" s="5">
        <v>6500</v>
      </c>
      <c r="F6" s="5">
        <f t="shared" si="0"/>
        <v>3250</v>
      </c>
      <c r="G6" t="s">
        <v>280</v>
      </c>
    </row>
    <row r="7" spans="1:7" x14ac:dyDescent="0.25">
      <c r="A7" t="s">
        <v>276</v>
      </c>
      <c r="B7" t="s">
        <v>281</v>
      </c>
      <c r="C7" t="s">
        <v>282</v>
      </c>
      <c r="D7" s="16">
        <v>1</v>
      </c>
      <c r="E7" s="5">
        <v>6000</v>
      </c>
      <c r="F7" s="5">
        <f t="shared" si="0"/>
        <v>6000</v>
      </c>
      <c r="G7" t="s">
        <v>283</v>
      </c>
    </row>
    <row r="8" spans="1:7" x14ac:dyDescent="0.25">
      <c r="A8" t="s">
        <v>276</v>
      </c>
      <c r="B8" t="s">
        <v>284</v>
      </c>
      <c r="C8" t="s">
        <v>148</v>
      </c>
      <c r="D8" s="16">
        <v>0.5</v>
      </c>
      <c r="E8" s="5">
        <v>5000</v>
      </c>
      <c r="F8" s="5">
        <f t="shared" si="0"/>
        <v>2500</v>
      </c>
      <c r="G8" t="s">
        <v>285</v>
      </c>
    </row>
    <row r="9" spans="1:7" x14ac:dyDescent="0.25">
      <c r="A9" t="s">
        <v>286</v>
      </c>
      <c r="B9" t="s">
        <v>287</v>
      </c>
      <c r="C9" t="s">
        <v>148</v>
      </c>
      <c r="D9" s="16">
        <v>20</v>
      </c>
      <c r="E9" s="5">
        <v>1200</v>
      </c>
      <c r="F9" s="5">
        <f t="shared" si="0"/>
        <v>24000</v>
      </c>
      <c r="G9" t="s">
        <v>288</v>
      </c>
    </row>
    <row r="10" spans="1:7" x14ac:dyDescent="0.25">
      <c r="A10" t="s">
        <v>286</v>
      </c>
      <c r="B10" t="s">
        <v>289</v>
      </c>
      <c r="C10" t="s">
        <v>148</v>
      </c>
      <c r="D10" s="16">
        <v>20</v>
      </c>
      <c r="E10" s="5">
        <v>900</v>
      </c>
      <c r="F10" s="5">
        <f t="shared" si="0"/>
        <v>18000</v>
      </c>
      <c r="G10" t="s">
        <v>288</v>
      </c>
    </row>
    <row r="11" spans="1:7" x14ac:dyDescent="0.25">
      <c r="A11" t="s">
        <v>286</v>
      </c>
      <c r="B11" t="s">
        <v>290</v>
      </c>
      <c r="C11" t="s">
        <v>148</v>
      </c>
      <c r="D11" s="16">
        <v>10</v>
      </c>
      <c r="E11" s="5">
        <v>1500</v>
      </c>
      <c r="F11" s="5">
        <f t="shared" si="0"/>
        <v>15000</v>
      </c>
      <c r="G11" t="s">
        <v>291</v>
      </c>
    </row>
    <row r="12" spans="1:7" x14ac:dyDescent="0.25">
      <c r="A12" t="s">
        <v>286</v>
      </c>
      <c r="B12" t="s">
        <v>292</v>
      </c>
      <c r="C12" t="s">
        <v>148</v>
      </c>
      <c r="D12" s="16">
        <v>0.5</v>
      </c>
      <c r="E12" s="5">
        <v>8000</v>
      </c>
      <c r="F12" s="5">
        <f t="shared" si="0"/>
        <v>4000</v>
      </c>
      <c r="G12" t="s">
        <v>293</v>
      </c>
    </row>
    <row r="13" spans="1:7" x14ac:dyDescent="0.25">
      <c r="A13" t="s">
        <v>286</v>
      </c>
      <c r="B13" t="s">
        <v>294</v>
      </c>
      <c r="C13" t="s">
        <v>148</v>
      </c>
      <c r="D13" s="16">
        <v>1</v>
      </c>
      <c r="E13" s="5">
        <v>10000</v>
      </c>
      <c r="F13" s="5">
        <f t="shared" si="0"/>
        <v>10000</v>
      </c>
      <c r="G13" t="s">
        <v>295</v>
      </c>
    </row>
    <row r="14" spans="1:7" x14ac:dyDescent="0.25">
      <c r="A14" t="s">
        <v>286</v>
      </c>
      <c r="B14" t="s">
        <v>296</v>
      </c>
      <c r="C14" t="s">
        <v>148</v>
      </c>
      <c r="D14" s="16">
        <v>0.5</v>
      </c>
      <c r="E14" s="5">
        <v>6000</v>
      </c>
      <c r="F14" s="5">
        <f t="shared" si="0"/>
        <v>3000</v>
      </c>
    </row>
    <row r="15" spans="1:7" x14ac:dyDescent="0.25">
      <c r="A15" t="s">
        <v>286</v>
      </c>
      <c r="B15" t="s">
        <v>297</v>
      </c>
      <c r="C15" t="s">
        <v>148</v>
      </c>
      <c r="D15" s="16">
        <v>1</v>
      </c>
      <c r="E15" s="5">
        <v>12000</v>
      </c>
      <c r="F15" s="5">
        <f t="shared" si="0"/>
        <v>12000</v>
      </c>
      <c r="G15" t="s">
        <v>298</v>
      </c>
    </row>
    <row r="16" spans="1:7" x14ac:dyDescent="0.25">
      <c r="A16" t="s">
        <v>286</v>
      </c>
      <c r="B16" t="s">
        <v>299</v>
      </c>
      <c r="C16" t="s">
        <v>148</v>
      </c>
      <c r="D16" s="16">
        <v>0.5</v>
      </c>
      <c r="E16" s="5">
        <v>8000</v>
      </c>
      <c r="F16" s="5">
        <f t="shared" si="0"/>
        <v>4000</v>
      </c>
      <c r="G16" t="s">
        <v>300</v>
      </c>
    </row>
    <row r="17" spans="1:7" x14ac:dyDescent="0.25">
      <c r="A17" t="s">
        <v>301</v>
      </c>
      <c r="B17" t="s">
        <v>302</v>
      </c>
      <c r="C17" t="s">
        <v>148</v>
      </c>
      <c r="D17" s="16">
        <v>0.2</v>
      </c>
      <c r="E17" s="5">
        <v>25000</v>
      </c>
      <c r="F17" s="5">
        <f t="shared" si="0"/>
        <v>5000</v>
      </c>
      <c r="G17" t="s">
        <v>303</v>
      </c>
    </row>
    <row r="18" spans="1:7" x14ac:dyDescent="0.25">
      <c r="A18" t="s">
        <v>301</v>
      </c>
      <c r="B18" t="s">
        <v>304</v>
      </c>
      <c r="C18" t="s">
        <v>148</v>
      </c>
      <c r="D18" s="16">
        <v>1</v>
      </c>
      <c r="E18" s="5">
        <v>35000</v>
      </c>
      <c r="F18" s="5">
        <f t="shared" si="0"/>
        <v>35000</v>
      </c>
      <c r="G18" t="s">
        <v>305</v>
      </c>
    </row>
    <row r="19" spans="1:7" x14ac:dyDescent="0.25">
      <c r="A19" t="s">
        <v>301</v>
      </c>
      <c r="B19" t="s">
        <v>306</v>
      </c>
      <c r="C19" t="s">
        <v>148</v>
      </c>
      <c r="D19" s="16">
        <v>0.2</v>
      </c>
      <c r="E19" s="5">
        <v>10000</v>
      </c>
      <c r="F19" s="5">
        <f t="shared" si="0"/>
        <v>2000</v>
      </c>
    </row>
    <row r="20" spans="1:7" x14ac:dyDescent="0.25">
      <c r="A20" t="s">
        <v>301</v>
      </c>
      <c r="B20" t="s">
        <v>307</v>
      </c>
      <c r="C20" t="s">
        <v>308</v>
      </c>
      <c r="D20" s="16">
        <v>20</v>
      </c>
      <c r="E20" s="5">
        <v>1800</v>
      </c>
      <c r="F20" s="5">
        <f t="shared" si="0"/>
        <v>36000</v>
      </c>
      <c r="G20" t="s">
        <v>309</v>
      </c>
    </row>
    <row r="21" spans="1:7" x14ac:dyDescent="0.25">
      <c r="A21" t="s">
        <v>301</v>
      </c>
      <c r="B21" t="s">
        <v>310</v>
      </c>
      <c r="C21" t="s">
        <v>148</v>
      </c>
      <c r="D21" s="16">
        <v>1</v>
      </c>
      <c r="E21" s="5">
        <v>40000</v>
      </c>
      <c r="F21" s="5">
        <f t="shared" si="0"/>
        <v>40000</v>
      </c>
      <c r="G21" t="s">
        <v>311</v>
      </c>
    </row>
    <row r="22" spans="1:7" s="10" customFormat="1" x14ac:dyDescent="0.25">
      <c r="B22" s="10" t="s">
        <v>312</v>
      </c>
      <c r="D22" s="41"/>
      <c r="E22" s="8"/>
      <c r="F22" s="8">
        <f>SUM(F5:F21)</f>
        <v>240750</v>
      </c>
    </row>
    <row r="23" spans="1:7" x14ac:dyDescent="0.25">
      <c r="B23" t="s">
        <v>313</v>
      </c>
      <c r="D23" s="16"/>
      <c r="E23" s="5"/>
      <c r="F23" s="5">
        <f>F22*12</f>
        <v>2889000</v>
      </c>
    </row>
    <row r="24" spans="1:7" x14ac:dyDescent="0.25">
      <c r="B24" t="s">
        <v>314</v>
      </c>
      <c r="D24" s="5"/>
      <c r="E24" s="5"/>
      <c r="F24" s="5">
        <f>F22/20</f>
        <v>12037.5</v>
      </c>
    </row>
  </sheetData>
  <pageMargins left="0.7" right="0.7" top="0.75" bottom="0.75" header="0.3" footer="0.3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zoomScaleNormal="100" workbookViewId="0">
      <selection activeCell="D39" sqref="D39"/>
    </sheetView>
  </sheetViews>
  <sheetFormatPr defaultColWidth="8.7109375" defaultRowHeight="15" x14ac:dyDescent="0.25"/>
  <cols>
    <col min="1" max="1" width="5.7109375" customWidth="1"/>
    <col min="2" max="2" width="62.7109375" customWidth="1"/>
    <col min="3" max="3" width="10.7109375" customWidth="1"/>
    <col min="4" max="4" width="22.7109375" customWidth="1"/>
    <col min="5" max="5" width="7.7109375" customWidth="1"/>
    <col min="6" max="6" width="13.7109375" customWidth="1"/>
    <col min="7" max="7" width="14.7109375" customWidth="1"/>
  </cols>
  <sheetData>
    <row r="1" spans="1:7" ht="15.75" customHeight="1" x14ac:dyDescent="0.3">
      <c r="A1" s="1" t="s">
        <v>213</v>
      </c>
    </row>
    <row r="2" spans="1:7" ht="15" customHeight="1" x14ac:dyDescent="0.25">
      <c r="A2" s="2" t="s">
        <v>214</v>
      </c>
    </row>
    <row r="4" spans="1:7" ht="27.75" customHeight="1" x14ac:dyDescent="0.25">
      <c r="A4" s="3" t="s">
        <v>96</v>
      </c>
      <c r="B4" s="3" t="s">
        <v>215</v>
      </c>
      <c r="C4" s="3" t="s">
        <v>216</v>
      </c>
      <c r="D4" s="3" t="s">
        <v>217</v>
      </c>
      <c r="E4" s="3" t="s">
        <v>102</v>
      </c>
      <c r="F4" s="3" t="s">
        <v>136</v>
      </c>
      <c r="G4" s="3" t="s">
        <v>218</v>
      </c>
    </row>
    <row r="5" spans="1:7" ht="15" customHeight="1" x14ac:dyDescent="0.25">
      <c r="A5" s="10" t="s">
        <v>219</v>
      </c>
      <c r="B5" s="10"/>
      <c r="C5" s="10"/>
      <c r="D5" s="10"/>
      <c r="E5" s="10"/>
      <c r="F5" s="10"/>
      <c r="G5" s="10"/>
    </row>
    <row r="6" spans="1:7" ht="15" customHeight="1" x14ac:dyDescent="0.25">
      <c r="A6">
        <v>1</v>
      </c>
      <c r="B6" t="s">
        <v>220</v>
      </c>
      <c r="C6">
        <v>5659</v>
      </c>
      <c r="D6" t="s">
        <v>221</v>
      </c>
      <c r="E6">
        <v>1</v>
      </c>
      <c r="F6" s="5">
        <v>1669990</v>
      </c>
      <c r="G6" s="5">
        <f t="shared" ref="G6:G16" si="0">E6*F6</f>
        <v>1669990</v>
      </c>
    </row>
    <row r="7" spans="1:7" ht="15" customHeight="1" x14ac:dyDescent="0.25">
      <c r="A7">
        <v>2</v>
      </c>
      <c r="B7" t="s">
        <v>222</v>
      </c>
      <c r="C7">
        <v>2584</v>
      </c>
      <c r="D7" t="s">
        <v>223</v>
      </c>
      <c r="E7">
        <v>1</v>
      </c>
      <c r="F7" s="5">
        <v>485990</v>
      </c>
      <c r="G7" s="5">
        <f t="shared" si="0"/>
        <v>485990</v>
      </c>
    </row>
    <row r="8" spans="1:7" ht="15" customHeight="1" x14ac:dyDescent="0.25">
      <c r="A8">
        <v>3</v>
      </c>
      <c r="B8" t="s">
        <v>224</v>
      </c>
      <c r="C8">
        <v>2534</v>
      </c>
      <c r="D8" t="s">
        <v>225</v>
      </c>
      <c r="E8">
        <v>1</v>
      </c>
      <c r="F8" s="5">
        <v>1101990</v>
      </c>
      <c r="G8" s="5">
        <f t="shared" si="0"/>
        <v>1101990</v>
      </c>
    </row>
    <row r="9" spans="1:7" ht="15" customHeight="1" x14ac:dyDescent="0.25">
      <c r="A9">
        <v>4</v>
      </c>
      <c r="B9" t="s">
        <v>226</v>
      </c>
      <c r="C9">
        <v>6218</v>
      </c>
      <c r="D9" t="s">
        <v>223</v>
      </c>
      <c r="E9">
        <v>1</v>
      </c>
      <c r="F9" s="5">
        <v>479990</v>
      </c>
      <c r="G9" s="5">
        <f t="shared" si="0"/>
        <v>479990</v>
      </c>
    </row>
    <row r="10" spans="1:7" ht="15" customHeight="1" x14ac:dyDescent="0.25">
      <c r="A10">
        <v>5</v>
      </c>
      <c r="B10" t="s">
        <v>227</v>
      </c>
      <c r="C10">
        <v>7045</v>
      </c>
      <c r="D10" t="s">
        <v>221</v>
      </c>
      <c r="E10">
        <v>1</v>
      </c>
      <c r="F10" s="5">
        <v>638990</v>
      </c>
      <c r="G10" s="5">
        <f t="shared" si="0"/>
        <v>638990</v>
      </c>
    </row>
    <row r="11" spans="1:7" ht="15" customHeight="1" x14ac:dyDescent="0.25">
      <c r="A11">
        <v>6</v>
      </c>
      <c r="B11" t="s">
        <v>228</v>
      </c>
      <c r="C11">
        <v>4240</v>
      </c>
      <c r="D11" t="s">
        <v>223</v>
      </c>
      <c r="E11">
        <v>1</v>
      </c>
      <c r="F11" s="5">
        <v>104990</v>
      </c>
      <c r="G11" s="5">
        <f t="shared" si="0"/>
        <v>104990</v>
      </c>
    </row>
    <row r="12" spans="1:7" ht="15" customHeight="1" x14ac:dyDescent="0.25">
      <c r="A12">
        <v>7</v>
      </c>
      <c r="B12" t="s">
        <v>229</v>
      </c>
      <c r="C12">
        <v>6976</v>
      </c>
      <c r="D12" t="s">
        <v>223</v>
      </c>
      <c r="E12">
        <v>1</v>
      </c>
      <c r="F12" s="5">
        <v>119990</v>
      </c>
      <c r="G12" s="5">
        <f t="shared" si="0"/>
        <v>119990</v>
      </c>
    </row>
    <row r="13" spans="1:7" ht="15" customHeight="1" x14ac:dyDescent="0.25">
      <c r="A13">
        <v>8</v>
      </c>
      <c r="B13" t="s">
        <v>230</v>
      </c>
      <c r="C13">
        <v>5729</v>
      </c>
      <c r="D13" t="s">
        <v>223</v>
      </c>
      <c r="E13">
        <v>1</v>
      </c>
      <c r="F13" s="5">
        <v>779990</v>
      </c>
      <c r="G13" s="5">
        <f t="shared" si="0"/>
        <v>779990</v>
      </c>
    </row>
    <row r="14" spans="1:7" ht="15" customHeight="1" x14ac:dyDescent="0.25">
      <c r="A14">
        <v>9</v>
      </c>
      <c r="B14" t="s">
        <v>231</v>
      </c>
      <c r="C14">
        <v>3288</v>
      </c>
      <c r="D14" t="s">
        <v>223</v>
      </c>
      <c r="E14">
        <v>1</v>
      </c>
      <c r="F14" s="5">
        <v>58990</v>
      </c>
      <c r="G14" s="5">
        <f t="shared" si="0"/>
        <v>58990</v>
      </c>
    </row>
    <row r="15" spans="1:7" ht="15" customHeight="1" x14ac:dyDescent="0.25">
      <c r="A15">
        <v>10</v>
      </c>
      <c r="B15" t="s">
        <v>232</v>
      </c>
      <c r="C15">
        <v>1756</v>
      </c>
      <c r="D15" t="s">
        <v>223</v>
      </c>
      <c r="E15">
        <v>1</v>
      </c>
      <c r="F15" s="5">
        <v>31990</v>
      </c>
      <c r="G15" s="5">
        <f t="shared" si="0"/>
        <v>31990</v>
      </c>
    </row>
    <row r="16" spans="1:7" ht="15" customHeight="1" x14ac:dyDescent="0.25">
      <c r="A16">
        <v>11</v>
      </c>
      <c r="B16" t="s">
        <v>233</v>
      </c>
      <c r="C16">
        <v>4400</v>
      </c>
      <c r="D16" t="s">
        <v>223</v>
      </c>
      <c r="E16">
        <v>1</v>
      </c>
      <c r="F16" s="5">
        <v>44990</v>
      </c>
      <c r="G16" s="5">
        <f t="shared" si="0"/>
        <v>44990</v>
      </c>
    </row>
    <row r="17" spans="1:7" ht="15" customHeight="1" x14ac:dyDescent="0.25">
      <c r="A17" s="10"/>
      <c r="B17" s="10" t="s">
        <v>234</v>
      </c>
      <c r="C17" s="10"/>
      <c r="D17" s="10"/>
      <c r="E17" s="10"/>
      <c r="F17" s="8"/>
      <c r="G17" s="8">
        <f>SUM(G6:G16)</f>
        <v>5517890</v>
      </c>
    </row>
    <row r="18" spans="1:7" ht="15" customHeight="1" x14ac:dyDescent="0.25">
      <c r="F18" s="5"/>
      <c r="G18" s="5"/>
    </row>
    <row r="19" spans="1:7" ht="15" customHeight="1" x14ac:dyDescent="0.25">
      <c r="A19" s="10" t="s">
        <v>235</v>
      </c>
      <c r="B19" s="10"/>
      <c r="C19" s="10"/>
      <c r="D19" s="10"/>
      <c r="E19" s="10"/>
      <c r="F19" s="8"/>
      <c r="G19" s="8"/>
    </row>
    <row r="20" spans="1:7" ht="15" customHeight="1" x14ac:dyDescent="0.25">
      <c r="A20">
        <v>2.1</v>
      </c>
      <c r="B20" t="s">
        <v>236</v>
      </c>
      <c r="D20" t="s">
        <v>237</v>
      </c>
      <c r="E20">
        <v>2</v>
      </c>
      <c r="F20" s="5">
        <v>240000</v>
      </c>
      <c r="G20" s="5">
        <f t="shared" ref="G20:G25" si="1">E20*F20</f>
        <v>480000</v>
      </c>
    </row>
    <row r="21" spans="1:7" ht="15" customHeight="1" x14ac:dyDescent="0.25">
      <c r="A21">
        <v>2.2000000000000002</v>
      </c>
      <c r="B21" t="s">
        <v>238</v>
      </c>
      <c r="D21" t="s">
        <v>237</v>
      </c>
      <c r="E21">
        <v>1</v>
      </c>
      <c r="F21" s="5">
        <v>200000</v>
      </c>
      <c r="G21" s="5">
        <f t="shared" si="1"/>
        <v>200000</v>
      </c>
    </row>
    <row r="22" spans="1:7" ht="15" customHeight="1" x14ac:dyDescent="0.25">
      <c r="A22">
        <v>2.2999999999999998</v>
      </c>
      <c r="B22" t="s">
        <v>239</v>
      </c>
      <c r="D22" t="s">
        <v>240</v>
      </c>
      <c r="E22">
        <v>1</v>
      </c>
      <c r="F22" s="5">
        <v>95000</v>
      </c>
      <c r="G22" s="5">
        <f t="shared" si="1"/>
        <v>95000</v>
      </c>
    </row>
    <row r="23" spans="1:7" ht="15" customHeight="1" x14ac:dyDescent="0.25">
      <c r="A23">
        <v>2.4</v>
      </c>
      <c r="B23" t="s">
        <v>241</v>
      </c>
      <c r="D23" t="s">
        <v>242</v>
      </c>
      <c r="E23">
        <v>1</v>
      </c>
      <c r="F23" s="5">
        <v>95000</v>
      </c>
      <c r="G23" s="5">
        <f t="shared" si="1"/>
        <v>95000</v>
      </c>
    </row>
    <row r="24" spans="1:7" ht="15" customHeight="1" x14ac:dyDescent="0.25">
      <c r="A24">
        <v>2.5</v>
      </c>
      <c r="B24" t="s">
        <v>243</v>
      </c>
      <c r="D24" t="s">
        <v>237</v>
      </c>
      <c r="E24">
        <v>1</v>
      </c>
      <c r="F24" s="5">
        <v>40000</v>
      </c>
      <c r="G24" s="5">
        <f t="shared" si="1"/>
        <v>40000</v>
      </c>
    </row>
    <row r="25" spans="1:7" ht="15" customHeight="1" x14ac:dyDescent="0.25">
      <c r="A25">
        <v>2.6</v>
      </c>
      <c r="B25" t="s">
        <v>244</v>
      </c>
      <c r="D25" t="s">
        <v>237</v>
      </c>
      <c r="E25">
        <v>12</v>
      </c>
      <c r="F25" s="5">
        <v>5000</v>
      </c>
      <c r="G25" s="5">
        <f t="shared" si="1"/>
        <v>60000</v>
      </c>
    </row>
    <row r="26" spans="1:7" ht="15" customHeight="1" x14ac:dyDescent="0.25">
      <c r="A26" s="10"/>
      <c r="B26" s="10" t="s">
        <v>245</v>
      </c>
      <c r="C26" s="10"/>
      <c r="D26" s="10"/>
      <c r="E26" s="10"/>
      <c r="F26" s="8"/>
      <c r="G26" s="8">
        <f>SUM(G20:G25)</f>
        <v>970000</v>
      </c>
    </row>
    <row r="27" spans="1:7" ht="15" customHeight="1" x14ac:dyDescent="0.25">
      <c r="F27" s="5"/>
      <c r="G27" s="5"/>
    </row>
    <row r="28" spans="1:7" ht="15" customHeight="1" x14ac:dyDescent="0.25">
      <c r="A28" s="10" t="s">
        <v>246</v>
      </c>
      <c r="B28" s="10"/>
      <c r="C28" s="10"/>
      <c r="D28" s="10"/>
      <c r="E28" s="10"/>
      <c r="F28" s="8"/>
      <c r="G28" s="8"/>
    </row>
    <row r="29" spans="1:7" ht="15" customHeight="1" x14ac:dyDescent="0.25">
      <c r="A29">
        <v>3.1</v>
      </c>
      <c r="B29" t="s">
        <v>247</v>
      </c>
      <c r="D29" t="s">
        <v>237</v>
      </c>
      <c r="E29">
        <v>1</v>
      </c>
      <c r="F29" s="5">
        <v>70000</v>
      </c>
      <c r="G29" s="5">
        <f>E29*F29</f>
        <v>70000</v>
      </c>
    </row>
    <row r="30" spans="1:7" ht="15" customHeight="1" x14ac:dyDescent="0.25">
      <c r="A30">
        <v>3.2</v>
      </c>
      <c r="B30" t="s">
        <v>248</v>
      </c>
      <c r="D30" t="s">
        <v>249</v>
      </c>
      <c r="E30">
        <v>1</v>
      </c>
      <c r="F30" s="5">
        <v>104990</v>
      </c>
      <c r="G30" s="5">
        <f>E30*F30</f>
        <v>104990</v>
      </c>
    </row>
    <row r="31" spans="1:7" ht="15" customHeight="1" x14ac:dyDescent="0.25">
      <c r="A31">
        <v>3.3</v>
      </c>
      <c r="B31" t="s">
        <v>250</v>
      </c>
      <c r="D31" t="s">
        <v>237</v>
      </c>
      <c r="E31">
        <v>1</v>
      </c>
      <c r="F31" s="5">
        <v>250000</v>
      </c>
      <c r="G31" s="5">
        <f>E31*F31</f>
        <v>250000</v>
      </c>
    </row>
    <row r="32" spans="1:7" ht="15" customHeight="1" x14ac:dyDescent="0.25">
      <c r="A32">
        <v>3.4</v>
      </c>
      <c r="B32" t="s">
        <v>251</v>
      </c>
      <c r="D32" t="s">
        <v>237</v>
      </c>
      <c r="E32">
        <v>1</v>
      </c>
      <c r="F32" s="5">
        <v>150000</v>
      </c>
      <c r="G32" s="5">
        <f>E32*F32</f>
        <v>150000</v>
      </c>
    </row>
    <row r="33" spans="1:7" ht="15" customHeight="1" x14ac:dyDescent="0.25">
      <c r="A33" s="10"/>
      <c r="B33" s="10" t="s">
        <v>252</v>
      </c>
      <c r="C33" s="10"/>
      <c r="D33" s="10"/>
      <c r="E33" s="10"/>
      <c r="F33" s="8"/>
      <c r="G33" s="8">
        <f>SUM(G29:G32)</f>
        <v>574990</v>
      </c>
    </row>
    <row r="34" spans="1:7" ht="15" customHeight="1" x14ac:dyDescent="0.25">
      <c r="F34" s="5"/>
      <c r="G34" s="5"/>
    </row>
    <row r="35" spans="1:7" ht="15" customHeight="1" x14ac:dyDescent="0.25">
      <c r="A35" s="14"/>
      <c r="B35" s="14" t="s">
        <v>253</v>
      </c>
      <c r="C35" s="14"/>
      <c r="D35" s="14"/>
      <c r="E35" s="14"/>
      <c r="F35" s="15"/>
      <c r="G35" s="15">
        <f>G17+G26+G33</f>
        <v>7062880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48</vt:i4>
      </vt:variant>
    </vt:vector>
  </HeadingPairs>
  <TitlesOfParts>
    <vt:vector size="57" baseType="lpstr">
      <vt:lpstr>Свод</vt:lpstr>
      <vt:lpstr>Параметры</vt:lpstr>
      <vt:lpstr>Штат</vt:lpstr>
      <vt:lpstr>Аутсорс</vt:lpstr>
      <vt:lpstr>Командировки</vt:lpstr>
      <vt:lpstr>Оснащение и офис</vt:lpstr>
      <vt:lpstr>Проекты (вне бюджета)</vt:lpstr>
      <vt:lpstr>Канцелярия</vt:lpstr>
      <vt:lpstr>Смета фото-видео</vt:lpstr>
      <vt:lpstr>Авиа_межд</vt:lpstr>
      <vt:lpstr>Авиа_РК</vt:lpstr>
      <vt:lpstr>Аренда_депозит</vt:lpstr>
      <vt:lpstr>Аренда_мес</vt:lpstr>
      <vt:lpstr>Аренда_мес_2026</vt:lpstr>
      <vt:lpstr>Аренда_с_НДС</vt:lpstr>
      <vt:lpstr>Депозит_мес</vt:lpstr>
      <vt:lpstr>ДМС</vt:lpstr>
      <vt:lpstr>Дней_межд</vt:lpstr>
      <vt:lpstr>Дней_РК</vt:lpstr>
      <vt:lpstr>Индекс_МРП_2027</vt:lpstr>
      <vt:lpstr>Кап_ООСМС</vt:lpstr>
      <vt:lpstr>Кап_СО</vt:lpstr>
      <vt:lpstr>Коммун_мес</vt:lpstr>
      <vt:lpstr>Курс</vt:lpstr>
      <vt:lpstr>Мес_2026_новые</vt:lpstr>
      <vt:lpstr>МЗП</vt:lpstr>
      <vt:lpstr>МРП</vt:lpstr>
      <vt:lpstr>МРП_2027</vt:lpstr>
      <vt:lpstr>НДС</vt:lpstr>
      <vt:lpstr>Ночей_межд</vt:lpstr>
      <vt:lpstr>Ночей_РК</vt:lpstr>
      <vt:lpstr>ОСНС</vt:lpstr>
      <vt:lpstr>Отель_межд</vt:lpstr>
      <vt:lpstr>Отель_РК</vt:lpstr>
      <vt:lpstr>Парковка_мест</vt:lpstr>
      <vt:lpstr>Парковка_цена</vt:lpstr>
      <vt:lpstr>Площадь_офиса</vt:lpstr>
      <vt:lpstr>Поездка_межд</vt:lpstr>
      <vt:lpstr>Поездка_местн</vt:lpstr>
      <vt:lpstr>Поездка_местн_2027</vt:lpstr>
      <vt:lpstr>Поездка_РК</vt:lpstr>
      <vt:lpstr>Поездка_РК_2027</vt:lpstr>
      <vt:lpstr>Премия_KPI</vt:lpstr>
      <vt:lpstr>Премия_НГ</vt:lpstr>
      <vt:lpstr>Резерв</vt:lpstr>
      <vt:lpstr>Сборка_мебели_проц</vt:lpstr>
      <vt:lpstr>Ставка_аренды_м2</vt:lpstr>
      <vt:lpstr>Ставка_ВОСМС</vt:lpstr>
      <vt:lpstr>Ставка_ООСМС</vt:lpstr>
      <vt:lpstr>Ставка_ОПВ</vt:lpstr>
      <vt:lpstr>Ставка_ОПВР</vt:lpstr>
      <vt:lpstr>Ставка_СН</vt:lpstr>
      <vt:lpstr>Ставка_СО</vt:lpstr>
      <vt:lpstr>Страх_межд</vt:lpstr>
      <vt:lpstr>Сут_межд</vt:lpstr>
      <vt:lpstr>Сут_РК</vt:lpstr>
      <vt:lpstr>Трансп_РК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Temirbekov</cp:lastModifiedBy>
  <cp:revision>0</cp:revision>
  <cp:lastPrinted>2026-09-17T09:16:45Z</cp:lastPrinted>
  <dcterms:created xsi:type="dcterms:W3CDTF">2026-09-12T13:59:35Z</dcterms:created>
  <dcterms:modified xsi:type="dcterms:W3CDTF">2026-10-10T04:27:26Z</dcterms:modified>
  <dc:language>en-US</dc:language>
</cp:coreProperties>
</file>