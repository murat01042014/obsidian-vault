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1" l="1"/>
  <c r="D4" i="1" s="1"/>
  <c r="B4" i="1"/>
  <c r="K77" i="5"/>
  <c r="J77" i="5"/>
  <c r="K76" i="5"/>
  <c r="K75" i="5"/>
  <c r="J75" i="5"/>
  <c r="K74" i="5"/>
  <c r="J74" i="5"/>
  <c r="K73" i="5"/>
  <c r="J73" i="5"/>
  <c r="B14" i="1" s="1"/>
  <c r="K72" i="5"/>
  <c r="J72" i="5"/>
  <c r="K71" i="5"/>
  <c r="K70" i="5"/>
  <c r="J70" i="5"/>
  <c r="K69" i="5"/>
  <c r="J69" i="5"/>
  <c r="K68" i="5"/>
  <c r="C13" i="1" s="1"/>
  <c r="J68" i="5"/>
  <c r="K67" i="5"/>
  <c r="J67" i="5"/>
  <c r="K66" i="5"/>
  <c r="K64" i="5"/>
  <c r="J64" i="5"/>
  <c r="K62" i="5"/>
  <c r="J62" i="5"/>
  <c r="K61" i="5"/>
  <c r="J61" i="5"/>
  <c r="K60" i="5"/>
  <c r="J60" i="5"/>
  <c r="K59" i="5"/>
  <c r="K57" i="5"/>
  <c r="J56" i="5"/>
  <c r="K55" i="5"/>
  <c r="J54" i="5"/>
  <c r="K53" i="5"/>
  <c r="K52" i="5"/>
  <c r="K51" i="5"/>
  <c r="K50" i="5"/>
  <c r="J49" i="5"/>
  <c r="K48" i="5"/>
  <c r="K47" i="5"/>
  <c r="J46" i="5"/>
  <c r="J45" i="5"/>
  <c r="K44" i="5"/>
  <c r="K43" i="5"/>
  <c r="K42" i="5"/>
  <c r="K41" i="5"/>
  <c r="K40" i="5"/>
  <c r="K39" i="5"/>
  <c r="K38" i="5"/>
  <c r="K37" i="5"/>
  <c r="K36" i="5"/>
  <c r="K35" i="5"/>
  <c r="K34" i="5"/>
  <c r="K33" i="5"/>
  <c r="J32" i="5"/>
  <c r="J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C14" i="1" l="1"/>
  <c r="D14" i="1" s="1"/>
  <c r="E63" i="5"/>
  <c r="E42" i="5"/>
  <c r="I42" i="5" s="1"/>
  <c r="J42" i="5" s="1"/>
  <c r="I63" i="5" l="1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C8" i="1"/>
  <c r="G11" i="9"/>
  <c r="B20" i="16"/>
  <c r="B21" i="16"/>
  <c r="B22" i="16" s="1"/>
  <c r="I11" i="9"/>
  <c r="H11" i="9"/>
  <c r="B5" i="16"/>
  <c r="B11" i="16" s="1"/>
  <c r="C11" i="16" s="1"/>
  <c r="D11" i="16" s="1"/>
  <c r="D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I10" i="8" l="1"/>
  <c r="H10" i="8"/>
  <c r="H5" i="8"/>
  <c r="I5" i="8"/>
  <c r="I7" i="8"/>
  <c r="H7" i="8"/>
  <c r="H8" i="8"/>
  <c r="I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I6" i="8"/>
  <c r="I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I13" i="8" l="1"/>
  <c r="C19" i="1" s="1"/>
  <c r="D19" i="1" s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D5" i="1" s="1"/>
  <c r="H44" i="3" l="1"/>
  <c r="C7" i="1" s="1"/>
  <c r="D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D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K58" i="5" l="1"/>
  <c r="J58" i="5"/>
  <c r="J65" i="5"/>
  <c r="K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C6" i="1" l="1"/>
  <c r="B6" i="1"/>
  <c r="D20" i="1"/>
  <c r="B12" i="1"/>
  <c r="D6" i="1"/>
  <c r="C12" i="1"/>
  <c r="M7" i="3"/>
  <c r="O7" i="3" s="1"/>
  <c r="M6" i="3"/>
  <c r="O6" i="3" s="1"/>
  <c r="N37" i="3"/>
  <c r="B9" i="1" s="1"/>
  <c r="D9" i="1" s="1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B10" i="1" l="1"/>
  <c r="B15" i="1" s="1"/>
  <c r="B16" i="1" s="1"/>
  <c r="C10" i="1"/>
  <c r="C15" i="1" s="1"/>
  <c r="C16" i="1" s="1"/>
  <c r="D12" i="1"/>
  <c r="K49" i="5"/>
  <c r="C11" i="1" s="1"/>
  <c r="D11" i="1" s="1"/>
  <c r="B17" i="1"/>
  <c r="O5" i="3"/>
  <c r="M37" i="3"/>
  <c r="D10" i="1" l="1"/>
  <c r="C17" i="1"/>
  <c r="D17" i="1" s="1"/>
  <c r="O37" i="3"/>
  <c r="C18" i="1" l="1"/>
  <c r="C21" i="1" s="1"/>
  <c r="D15" i="1"/>
  <c r="D16" i="1"/>
  <c r="B18" i="1" l="1"/>
  <c r="B21" i="1" s="1"/>
  <c r="D18" i="1" l="1"/>
  <c r="B23" i="1"/>
  <c r="D21" i="1" l="1"/>
  <c r="D25" i="1" s="1"/>
  <c r="C23" i="1"/>
  <c r="C25" i="1" s="1"/>
  <c r="B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<sst xmlns="http://schemas.openxmlformats.org/spreadsheetml/2006/main" count="1052" uniqueCount="573">
  <si>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</si>
  <si>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</si>
  <si>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</si>
  <si>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</si>
  <si>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</si>
  <si>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</si>
  <si>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</si>
  <si>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</si>
  <si>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</si>
  <si>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</si>
  <si>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</si>
  <si>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</si>
  <si>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</si>
  <si>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</si>
  <si>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</si>
  <si>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</si>
  <si>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</si>
  <si>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</si>
  <si>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</si>
  <si>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</si>
  <si>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</si>
  <si>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</si>
  <si>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</si>
  <si>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</si>
  <si>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</si>
  <si>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</si>
  <si>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</si>
  <si>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</si>
  <si>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</si>
  <si>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</si>
  <si>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</si>
  <si>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</si>
  <si>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</si>
  <si>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</si>
  <si>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</si>
  <si>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</si>
  <si>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</si>
  <si>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</si>
  <si>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</si>
  <si>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</si>
  <si>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</si>
  <si>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</si>
  <si>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</si>
  <si>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</si>
  <si>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</si>
  <si>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</si>
  <si>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</si>
  <si>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</si>
  <si>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</si>
  <si>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</si>
  <si>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</si>
  <si>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</si>
  <si>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</si>
  <si>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</si>
  <si>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</si>
  <si>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</si>
  <si>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</si>
  <si>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</si>
  <si>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</si>
  <si>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</si>
  <si>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</si>
  <si>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</si>
  <si>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</si>
  <si>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</si>
  <si>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</si>
  <si>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</si>
  <si>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</si>
  <si>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</si>
  <si>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</si>
  <si>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</si>
  <si>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</si>
  <si>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</si>
  <si>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</si>
  <si>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</si>
  <si>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</si>
  <si>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</si>
  <si>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</si>
  <si>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</si>
  <si>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</si>
  <si>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</si>
  <si>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</si>
  <si>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</si>
  <si>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</si>
  <si>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</si>
  <si>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</si>
  <si>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</si>
  <si>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</si>
  <si>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</si>
  <si>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</si>
  <si>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</si>
  <si>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</si>
  <si>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</si>
  <si>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</si>
  <si>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</si>
  <si>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</si>
  <si>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</si>
  <si>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</si>
  <si>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</si>
  <si>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</si>
  <si>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</si>
  <si>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</si>
  <si>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</si>
  <si>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</si>
  <si>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</si>
  <si>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</si>
  <si>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</si>
  <si>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</si>
  <si>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</si>
  <si>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</si>
  <si>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</si>
  <si>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</si>
  <si>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</si>
  <si>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</si>
  <si>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</si>
  <si>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</si>
  <si>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</si>
  <si>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</si>
  <si>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</si>
  <si>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</si>
  <si>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</si>
  <si>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</si>
  <si>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</si>
  <si>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</si>
  <si>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</si>
  <si>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</si>
  <si>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</si>
  <si>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</si>
  <si>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</si>
  <si>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</si>
  <si>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</si>
  <si>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</si>
  <si>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</si>
  <si>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</si>
  <si>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</si>
  <si>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</si>
  <si>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</si>
  <si>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</si>
  <si>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</si>
  <si>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</si>
  <si>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</si>
  <si>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</si>
  <si>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</si>
  <si>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</si>
  <si>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</si>
  <si>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</si>
  <si>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</si>
  <si>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</si>
  <si>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</si>
  <si>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</si>
  <si>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</si>
  <si>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</si>
  <si>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</si>
  <si>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</si>
  <si>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</si>
  <si>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</si>
  <si>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</si>
  <si>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</si>
  <si>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</si>
  <si>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</si>
  <si>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</si>
  <si>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</si>
  <si>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</si>
  <si>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</si>
  <si>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</si>
  <si>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</si>
  <si>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</si>
  <si>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</si>
  <si>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</si>
  <si>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</si>
  <si>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</si>
  <si>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</si>
  <si>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</si>
  <si>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</si>
  <si>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</si>
  <si>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</si>
  <si>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</si>
  <si>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</si>
  <si>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</si>
  <si>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</si>
  <si>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</si>
  <si>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</si>
  <si>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</si>
  <si>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</si>
  <si>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</si>
  <si>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</si>
  <si>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</si>
  <si>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</si>
  <si>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</si>
  <si>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</si>
  <si>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</si>
  <si>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</si>
  <si>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</si>
  <si>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</si>
  <si>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</si>
  <si>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</si>
  <si>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</si>
  <si>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</si>
  <si>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</si>
  <si>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</si>
  <si>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</si>
  <si>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</si>
  <si>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</si>
  <si>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</si>
  <si>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</si>
  <si>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</si>
  <si>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</si>
  <si>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</si>
  <si>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</si>
  <si>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</si>
  <si>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</si>
  <si>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</si>
  <si>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</si>
  <si>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</si>
  <si>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</si>
  <si>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</si>
  <si>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</si>
  <si>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</si>
  <si>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</si>
  <si>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</si>
  <si>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</si>
  <si>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</si>
  <si>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</si>
  <si>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</si>
  <si>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</si>
  <si>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</si>
  <si>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</si>
  <si>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</si>
  <si>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</si>
  <si>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</si>
  <si>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</si>
  <si>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</si>
  <si>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</si>
  <si>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</si>
  <si>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</si>
  <si>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</si>
  <si>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</si>
  <si>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</si>
  <si>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</si>
  <si>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</si>
  <si>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</si>
  <si>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</si>
  <si>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</si>
  <si>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</si>
  <si>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</si>
  <si>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</si>
  <si>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</si>
  <si>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</si>
  <si>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</si>
  <si>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</si>
  <si>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</si>
  <si>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</si>
  <si>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</si>
  <si>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</si>
  <si>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</si>
  <si>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</si>
  <si>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</si>
  <si>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</si>
  <si>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</si>
  <si>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</si>
  <si>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</si>
  <si>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</si>
  <si>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</si>
  <si>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</si>
  <si>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</si>
  <si>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</si>
  <si>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</si>
  <si>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</si>
  <si>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</si>
  <si>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</si>
  <si>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</si>
  <si>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</si>
  <si>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</si>
  <si>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</si>
  <si>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</si>
  <si>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</si>
  <si>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</si>
  <si>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</si>
  <si>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</si>
  <si>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</si>
  <si>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</si>
  <si>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</si>
  <si>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</si>
  <si>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</si>
  <si>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</si>
  <si>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</si>
  <si>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</si>
  <si>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</si>
  <si>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</si>
  <si>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</si>
  <si>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</si>
  <si>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</si>
  <si>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</si>
  <si>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</si>
  <si>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</si>
  <si>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</si>
  <si>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</si>
  <si>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</si>
  <si>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</si>
  <si>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</si>
  <si>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</si>
  <si>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</si>
  <si>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</si>
  <si>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</si>
  <si>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</si>
  <si>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</si>
  <si>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</si>
  <si>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</si>
  <si>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</si>
  <si>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</si>
  <si>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</si>
  <si>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</si>
  <si>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</si>
  <si>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</si>
  <si>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</si>
  <si>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</si>
  <si>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</si>
  <si>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</si>
  <si>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</si>
  <si>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</si>
  <si>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</si>
  <si>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</si>
  <si>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</si>
  <si>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</si>
  <si>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</si>
  <si>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</si>
  <si>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</si>
  <si>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</si>
  <si>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</si>
  <si>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</si>
  <si>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</si>
  <si>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</si>
  <si>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</si>
  <si>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</si>
  <si>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</si>
  <si>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</si>
  <si>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</si>
  <si>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</si>
  <si>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</si>
  <si>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</si>
  <si>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</si>
  <si>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</si>
  <si>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</si>
  <si>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</si>
  <si>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</si>
  <si>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</si>
  <si>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</si>
  <si>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</si>
  <si>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</si>
  <si>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</si>
  <si>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</si>
  <si>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</si>
  <si>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</si>
  <si>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</si>
  <si>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</si>
  <si>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</si>
  <si>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</si>
  <si>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</si>
  <si>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</si>
  <si>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</si>
  <si>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</si>
  <si>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</si>
  <si>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</si>
  <si>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</si>
  <si>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</si>
  <si>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</si>
  <si>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</si>
  <si>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</si>
  <si>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</si>
  <si>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</si>
  <si>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</si>
  <si>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</si>
  <si>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</si>
  <si>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</si>
  <si>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</si>
  <si>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</si>
  <si>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</si>
  <si>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</si>
  <si>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</si>
  <si>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</si>
  <si>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</si>
  <si>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</si>
  <si>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</si>
  <si>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</si>
  <si>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</si>
  <si>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</si>
  <si>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</si>
  <si>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</si>
  <si>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</si>
  <si>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</si>
  <si>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</si>
  <si>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</si>
  <si>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</si>
  <si>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</si>
  <si>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</si>
  <si>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</si>
  <si>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</si>
  <si>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</si>
  <si>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</si>
  <si>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</si>
  <si>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</si>
  <si>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</si>
  <si>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</si>
  <si>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</si>
  <si>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</si>
  <si>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</si>
  <si>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</si>
  <si>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</si>
  <si>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</si>
  <si>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</si>
  <si>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</si>
  <si>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</si>
  <si>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</si>
  <si>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</si>
  <si>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</si>
  <si>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</si>
  <si>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</si>
  <si>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</si>
  <si>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</si>
  <si>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</si>
  <si>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</si>
  <si>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</si>
  <si>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</si>
  <si>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</si>
  <si>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</si>
  <si>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</si>
  <si>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</si>
  <si>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</si>
  <si>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</si>
  <si>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</si>
  <si>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</si>
  <si>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</si>
  <si>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</si>
  <si>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</si>
  <si>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</si>
  <si>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</si>
  <si>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</si>
  <si>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</si>
  <si>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</si>
  <si>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</si>
  <si>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</si>
  <si>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</si>
  <si>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</si>
  <si>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</si>
  <si>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</si>
  <si>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</si>
  <si>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</si>
  <si>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</si>
  <si>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</si>
  <si>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</si>
  <si>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</si>
  <si>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</si>
  <si>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</si>
  <si>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</si>
  <si>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</si>
  <si>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</si>
  <si>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</si>
  <si>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</si>
  <si>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</si>
  <si>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</si>
  <si>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</si>
  <si>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</si>
  <si>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</si>
  <si>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</si>
  <si>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</si>
  <si>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</si>
  <si>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</si>
  <si>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</si>
  <si>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</si>
  <si>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</si>
  <si>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</si>
  <si>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</si>
  <si>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</si>
  <si>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</si>
  <si>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</si>
  <si>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</si>
  <si>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</si>
  <si>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</si>
  <si>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</si>
  <si>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</si>
  <si>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</si>
  <si>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</si>
  <si>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</si>
  <si>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</si>
  <si>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</si>
  <si>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</si>
  <si>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</si>
  <si>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</si>
  <si>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</si>
  <si>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</si>
  <si>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</si>
  <si>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</si>
  <si>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</si>
  <si>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</si>
  <si>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</si>
  <si>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</si>
  <si>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</si>
  <si>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</si>
  <si>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</si>
  <si>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</si>
  <si>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</si>
  <si>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</si>
  <si>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</si>
  <si>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</si>
  <si>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</si>
  <si>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</si>
  <si>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</si>
  <si>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</si>
  <si>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</si>
  <si>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</si>
  <si>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</si>
  <si>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</si>
  <si>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</si>
  <si>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</si>
  <si>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</si>
  <si>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</si>
  <si>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</si>
  <si>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</si>
  <si>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</si>
  <si>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</si>
  <si>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</si>
  <si>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</si>
  <si>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</si>
  <si>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</si>
  <si>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</si>
  <si>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</si>
  <si>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</si>
  <si>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</si>
  <si>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</si>
  <si>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</si>
  <si>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</si>
  <si>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</si>
  <si>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</si>
  <si>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</si>
  <si>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</si>
  <si>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</si>
  <si>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</si>
  <si>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</si>
  <si>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</si>
  <si>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</si>
  <si>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</si>
  <si>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</si>
  <si>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</si>
  <si>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</si>
  <si>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</si>
  <si>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</si>
  <si>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</si>
  <si>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</si>
  <si>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</si>
  <si>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</si>
  <si>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</si>
  <si>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</si>
  <si>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</si>
  <si>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</si>
  <si>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</si>
  <si>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</si>
  <si>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</si>
  <si>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</si>
  <si>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</si>
  <si>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</si>
  <si>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</si>
  <si>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</si>
  <si>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</si>
  <si>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</si>
  <si>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Месяц оплаты разовых (11 / 12)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</si>
  <si>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</si>
  <si>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</si>
  <si>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</si>
  <si>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</si>
  <si>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ноябрь–декабрь 2026 года, ₸</t>
  </si>
  <si>
    <t>Итого ноябрь–декабрь 2026</t>
  </si>
  <si>
    <t>В. Долг по зарплате и налогам за июль–октябрь 2026</t>
  </si>
  <si>
    <t>1. Оплата труда и отчисления работодателя</t>
  </si>
  <si>
    <t>ВСЕГО (А + 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</si>
</sst>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1" fontId="4" fillId="0" borderId="2" xfId="0" applyNumberFormat="1" applyFont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5"/>
  <sheetViews>
    <sheetView tabSelected="1" zoomScaleNormal="100" workbookViewId="0">
      <selection activeCell="A20" sqref="A20:XFD20"/>
    </sheetView>
  </sheetViews>
  <sheetFormatPr defaultColWidth="8.7109375" defaultRowHeight="15" x14ac:dyDescent="0.25"/>
  <cols>
    <col min="1" max="1" width="80.7109375" style="4" customWidth="1"/>
    <col min="2" max="3" width="22.7109375" style="4" customWidth="1"/>
    <col min="4" max="4" width="10.85546875" style="4" bestFit="1" customWidth="1"/>
    <col min="5" max="16384" width="8.7109375" style="4"/>
  </cols>
  <sheetData>
    <row r="1" spans="1:4" ht="17.25" x14ac:dyDescent="0.3">
      <c r="A1" s="33" t="s">
        <v>568</v>
      </c>
    </row>
    <row r="3" spans="1:4" ht="60" x14ac:dyDescent="0.25">
      <c r="A3" s="35" t="s">
        <v>0</v>
      </c>
      <c r="B3" s="35" t="s">
        <v>561</v>
      </c>
      <c r="C3" s="35" t="s">
        <v>562</v>
      </c>
      <c r="D3" s="35" t="s">
        <v>569</v>
      </c>
    </row>
    <row r="4" spans="1:4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107">
        <f>C4</f>
        <v>22</v>
      </c>
    </row>
    <row r="5" spans="1:4" x14ac:dyDescent="0.25">
      <c r="A5" s="36" t="s">
        <v>331</v>
      </c>
      <c r="B5" s="37"/>
      <c r="C5" s="37"/>
      <c r="D5" s="107">
        <f>Штат!G38</f>
        <v>15</v>
      </c>
    </row>
    <row r="6" spans="1:4" x14ac:dyDescent="0.25">
      <c r="A6" s="36" t="s">
        <v>571</v>
      </c>
      <c r="B6" s="38">
        <f>(SUMPRODUCT((Штат!$E$5:$E$36="штат")*Штат!$K$5:$K$36*(Штат!$I$5:$I$36&lt;=2)))+B7+B20</f>
        <v>63001690</v>
      </c>
      <c r="C6" s="38">
        <f>(SUMPRODUCT((Штат!$E$5:$E$36="штат")*Штат!$K$5:$K$36*(Штат!$I$5:$I$36&lt;=3)))+C7+C20</f>
        <v>36424100</v>
      </c>
      <c r="D6" s="40">
        <f t="shared" ref="D6:D19" si="0">B6+C6</f>
        <v>99425790</v>
      </c>
    </row>
    <row r="7" spans="1:4" ht="30" hidden="1" x14ac:dyDescent="0.25">
      <c r="A7" s="36" t="s">
        <v>488</v>
      </c>
      <c r="B7" s="38">
        <v>0</v>
      </c>
      <c r="C7" s="38">
        <f>Штат!$H$44</f>
        <v>9389520</v>
      </c>
      <c r="D7" s="40">
        <f t="shared" si="0"/>
        <v>9389520</v>
      </c>
    </row>
    <row r="8" spans="1:4" ht="30" x14ac:dyDescent="0.25">
      <c r="A8" s="36" t="s">
        <v>386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40">
        <f t="shared" si="0"/>
        <v>13763192</v>
      </c>
    </row>
    <row r="9" spans="1:4" x14ac:dyDescent="0.25">
      <c r="A9" s="36" t="s">
        <v>356</v>
      </c>
      <c r="B9" s="38">
        <f>Штат!$N$37</f>
        <v>611142.85714285716</v>
      </c>
      <c r="C9" s="38">
        <v>0</v>
      </c>
      <c r="D9" s="40">
        <f t="shared" si="0"/>
        <v>611142.85714285716</v>
      </c>
    </row>
    <row r="10" spans="1:4" x14ac:dyDescent="0.25">
      <c r="A10" s="36" t="s">
        <v>332</v>
      </c>
      <c r="B10" s="38">
        <f>Командировки!$G$12/2</f>
        <v>1899506.25</v>
      </c>
      <c r="C10" s="38">
        <f>Командировки!$G$12/2</f>
        <v>1899506.25</v>
      </c>
      <c r="D10" s="40">
        <f t="shared" si="0"/>
        <v>3799012.5</v>
      </c>
    </row>
    <row r="11" spans="1:4" ht="30" x14ac:dyDescent="0.25">
      <c r="A11" s="36" t="s">
        <v>333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40">
        <f t="shared" si="0"/>
        <v>14032042.9</v>
      </c>
    </row>
    <row r="12" spans="1:4" ht="30" x14ac:dyDescent="0.25">
      <c r="A12" s="36" t="s">
        <v>346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40">
        <f t="shared" si="0"/>
        <v>17042449.948387094</v>
      </c>
    </row>
    <row r="13" spans="1:4" x14ac:dyDescent="0.25">
      <c r="A13" s="36" t="s">
        <v>334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40">
        <f t="shared" si="0"/>
        <v>586447</v>
      </c>
    </row>
    <row r="14" spans="1:4" x14ac:dyDescent="0.25">
      <c r="A14" s="36" t="s">
        <v>335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40">
        <f t="shared" si="0"/>
        <v>2350000</v>
      </c>
    </row>
    <row r="15" spans="1:4" x14ac:dyDescent="0.25">
      <c r="A15" s="39" t="s">
        <v>336</v>
      </c>
      <c r="B15" s="40">
        <f>SUM(B6:B14)-B7</f>
        <v>98068022.855529949</v>
      </c>
      <c r="C15" s="40">
        <f>SUM(C6:C14)-C7</f>
        <v>53542054.350000001</v>
      </c>
      <c r="D15" s="40">
        <f t="shared" si="0"/>
        <v>151610077.20552996</v>
      </c>
    </row>
    <row r="16" spans="1:4" ht="30" x14ac:dyDescent="0.25">
      <c r="A16" s="36" t="s">
        <v>357</v>
      </c>
      <c r="B16" s="38">
        <f>(B15-B20)*Резерв+SUMIFS('Оснащение и офис'!$J$5:$J$77,'Оснащение и офис'!$A$5:$A$77,"Прочие")</f>
        <v>6411802.2855529953</v>
      </c>
      <c r="C16" s="38">
        <f>(C15-C20)*Резерв+SUMIFS('Оснащение и офис'!$K$5:$K$77,'Оснащение и офис'!$A$5:$A$77,"Прочие")</f>
        <v>5354205.4350000005</v>
      </c>
      <c r="D16" s="40">
        <f t="shared" si="0"/>
        <v>11766007.720552996</v>
      </c>
    </row>
    <row r="17" spans="1:4" ht="30" x14ac:dyDescent="0.25">
      <c r="A17" s="36" t="s">
        <v>564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40">
        <f t="shared" si="0"/>
        <v>5128954.6437161295</v>
      </c>
    </row>
    <row r="18" spans="1:4" x14ac:dyDescent="0.25">
      <c r="A18" s="41" t="s">
        <v>337</v>
      </c>
      <c r="B18" s="42">
        <f>B15+B16+B17</f>
        <v>108141493.81519908</v>
      </c>
      <c r="C18" s="42">
        <f>C15+C16+C17</f>
        <v>60363545.754600003</v>
      </c>
      <c r="D18" s="42">
        <f t="shared" si="0"/>
        <v>168505039.56979907</v>
      </c>
    </row>
    <row r="19" spans="1:4" x14ac:dyDescent="0.25">
      <c r="A19" s="39" t="s">
        <v>338</v>
      </c>
      <c r="B19" s="40">
        <f>Проекты!$H$13</f>
        <v>38245973.333333336</v>
      </c>
      <c r="C19" s="40">
        <f>Проекты!$I$13</f>
        <v>31831173.333333332</v>
      </c>
      <c r="D19" s="40">
        <f t="shared" si="0"/>
        <v>70077146.666666672</v>
      </c>
    </row>
    <row r="20" spans="1:4" hidden="1" x14ac:dyDescent="0.25">
      <c r="A20" s="39" t="s">
        <v>570</v>
      </c>
      <c r="B20" s="40">
        <v>37450000</v>
      </c>
      <c r="C20" s="40">
        <v>0</v>
      </c>
      <c r="D20" s="40">
        <f>SUM(B20:C20)</f>
        <v>37450000</v>
      </c>
    </row>
    <row r="21" spans="1:4" x14ac:dyDescent="0.25">
      <c r="A21" s="43" t="s">
        <v>572</v>
      </c>
      <c r="B21" s="44">
        <f>B18+B19</f>
        <v>146387467.14853242</v>
      </c>
      <c r="C21" s="44">
        <f>C18+C19</f>
        <v>92194719.087933332</v>
      </c>
      <c r="D21" s="44">
        <f>D18+D19</f>
        <v>238582186.23646575</v>
      </c>
    </row>
    <row r="23" spans="1:4" x14ac:dyDescent="0.25">
      <c r="A23" s="106" t="s">
        <v>565</v>
      </c>
      <c r="B23" s="44">
        <f>B21</f>
        <v>146387467.14853242</v>
      </c>
      <c r="C23" s="44">
        <f>B23+C21</f>
        <v>238582186.23646575</v>
      </c>
      <c r="D23" s="44"/>
    </row>
    <row r="24" spans="1:4" x14ac:dyDescent="0.25">
      <c r="A24" s="106" t="s">
        <v>566</v>
      </c>
      <c r="B24" s="44"/>
      <c r="C24" s="44"/>
      <c r="D24" s="44">
        <v>250000000</v>
      </c>
    </row>
    <row r="25" spans="1:4" x14ac:dyDescent="0.25">
      <c r="A25" s="43" t="s">
        <v>567</v>
      </c>
      <c r="B25" s="44">
        <f>$D$24-B23</f>
        <v>103612532.85146758</v>
      </c>
      <c r="C25" s="44">
        <f>$D$24-C23</f>
        <v>11417813.763534248</v>
      </c>
      <c r="D25" s="44">
        <f>D24-D21</f>
        <v>11417813.763534248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354</v>
      </c>
      <c r="B15" s="8">
        <f>ROUND(0.29%*12*SUMIFS(Штат!$H$5:$H$36,Штат!$E$5:$E$36,"штат",Штат!$F$5:$F$36,"новая"),-3)</f>
        <v>713000</v>
      </c>
      <c r="C15" t="s">
        <v>385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389</v>
      </c>
      <c r="M4" s="3" t="s">
        <v>76</v>
      </c>
      <c r="N4" s="3" t="s">
        <v>355</v>
      </c>
      <c r="O4" s="3" t="s">
        <v>77</v>
      </c>
      <c r="P4" s="3" t="s">
        <v>316</v>
      </c>
      <c r="Q4" s="88" t="s">
        <v>486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263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359</v>
      </c>
      <c r="Q7" s="89"/>
    </row>
    <row r="8" spans="1:17" ht="90" x14ac:dyDescent="0.25">
      <c r="A8" s="16">
        <v>4</v>
      </c>
      <c r="B8" s="16" t="s">
        <v>207</v>
      </c>
      <c r="C8" s="17" t="s">
        <v>361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362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373</v>
      </c>
      <c r="Q9" s="89"/>
    </row>
    <row r="10" spans="1:17" ht="60" x14ac:dyDescent="0.25">
      <c r="A10" s="16">
        <v>6</v>
      </c>
      <c r="B10" s="16" t="s">
        <v>236</v>
      </c>
      <c r="C10" s="17" t="s">
        <v>374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375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376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377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363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364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365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372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366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368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367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370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371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369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360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358</v>
      </c>
      <c r="Q32" s="89"/>
    </row>
    <row r="33" spans="1:17" s="79" customFormat="1" ht="45" x14ac:dyDescent="0.25">
      <c r="A33" s="16">
        <v>35</v>
      </c>
      <c r="B33" s="16" t="s">
        <v>360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360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518</v>
      </c>
      <c r="G3" s="103" t="s">
        <v>519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378</v>
      </c>
      <c r="C9" s="27" t="s">
        <v>379</v>
      </c>
      <c r="D9" s="27" t="s">
        <v>380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381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382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2" width="13.7109375" customWidth="1"/>
  </cols>
  <sheetData>
    <row r="1" spans="1:12" ht="15.75" customHeight="1" x14ac:dyDescent="0.3">
      <c r="A1" s="1" t="s">
        <v>323</v>
      </c>
    </row>
    <row r="2" spans="1:12" ht="15" customHeight="1" x14ac:dyDescent="0.25">
      <c r="A2" s="2" t="s">
        <v>324</v>
      </c>
    </row>
    <row r="4" spans="1:12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</row>
    <row r="5" spans="1:12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383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IF($F5="разово",IF($L5=12,0,$I5),IF($F5="мес",$D5*$E5*(($G5&lt;=1)+($G5&lt;=2)),IF($F5="год",$D5*$E5/12*(($G5&lt;=1)+($G5&lt;=2)),$I5/2)))</f>
        <v>1800000</v>
      </c>
      <c r="K5" s="5">
        <f t="shared" ref="K5:K36" si="2">IF($F5="разово",IF($L5=12,$I5,0),IF($F5="мес",$D5*$E5*($G5&lt;=3),IF($F5="год",$D5*$E5/12*($G5&lt;=3),$I5/2)))</f>
        <v>0</v>
      </c>
      <c r="L5" s="89">
        <v>11</v>
      </c>
    </row>
    <row r="6" spans="1:12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89">
        <v>11</v>
      </c>
    </row>
    <row r="7" spans="1:12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89">
        <v>11</v>
      </c>
    </row>
    <row r="8" spans="1:12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89">
        <v>11</v>
      </c>
    </row>
    <row r="9" spans="1:12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3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89">
        <v>11</v>
      </c>
    </row>
    <row r="10" spans="1:12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4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89">
        <v>11</v>
      </c>
    </row>
    <row r="11" spans="1:12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5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89">
        <v>11</v>
      </c>
    </row>
    <row r="12" spans="1:12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89">
        <v>11</v>
      </c>
    </row>
    <row r="13" spans="1:12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89">
        <v>11</v>
      </c>
    </row>
    <row r="14" spans="1:12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89">
        <v>11</v>
      </c>
    </row>
    <row r="15" spans="1:12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6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89">
        <v>11</v>
      </c>
    </row>
    <row r="16" spans="1:12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7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89">
        <v>11</v>
      </c>
    </row>
    <row r="17" spans="1:12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7"/>
        <v>431032</v>
      </c>
      <c r="J17" s="5">
        <f t="shared" si="1"/>
        <v>431032</v>
      </c>
      <c r="K17" s="5">
        <f t="shared" si="2"/>
        <v>0</v>
      </c>
      <c r="L17" s="89">
        <v>11</v>
      </c>
    </row>
    <row r="18" spans="1:12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7"/>
        <v>456896</v>
      </c>
      <c r="J18" s="5">
        <f t="shared" si="1"/>
        <v>456896</v>
      </c>
      <c r="K18" s="5">
        <f t="shared" si="2"/>
        <v>0</v>
      </c>
      <c r="L18" s="89">
        <v>11</v>
      </c>
    </row>
    <row r="19" spans="1:12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7"/>
        <v>69582</v>
      </c>
      <c r="J19" s="5">
        <f t="shared" si="1"/>
        <v>69582</v>
      </c>
      <c r="K19" s="5">
        <f t="shared" si="2"/>
        <v>0</v>
      </c>
      <c r="L19" s="89">
        <v>11</v>
      </c>
    </row>
    <row r="20" spans="1:12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7"/>
        <v>102466</v>
      </c>
      <c r="J20" s="5">
        <f t="shared" si="1"/>
        <v>102466</v>
      </c>
      <c r="K20" s="5">
        <f t="shared" si="2"/>
        <v>0</v>
      </c>
      <c r="L20" s="89">
        <v>11</v>
      </c>
    </row>
    <row r="21" spans="1:12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7"/>
        <v>31888</v>
      </c>
      <c r="J21" s="5">
        <f t="shared" si="1"/>
        <v>31888</v>
      </c>
      <c r="K21" s="5">
        <f t="shared" si="2"/>
        <v>0</v>
      </c>
      <c r="L21" s="89">
        <v>11</v>
      </c>
    </row>
    <row r="22" spans="1:12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89">
        <v>11</v>
      </c>
    </row>
    <row r="23" spans="1:12" ht="15" customHeight="1" x14ac:dyDescent="0.25">
      <c r="A23" t="s">
        <v>97</v>
      </c>
      <c r="B23" s="4" t="s">
        <v>340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89">
        <v>11</v>
      </c>
    </row>
    <row r="24" spans="1:12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89">
        <v>11</v>
      </c>
    </row>
    <row r="25" spans="1:12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89">
        <v>11</v>
      </c>
    </row>
    <row r="26" spans="1:12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89">
        <v>11</v>
      </c>
    </row>
    <row r="27" spans="1:12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89">
        <v>11</v>
      </c>
    </row>
    <row r="28" spans="1:12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89">
        <v>11</v>
      </c>
    </row>
    <row r="29" spans="1:12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89">
        <v>11</v>
      </c>
    </row>
    <row r="30" spans="1:12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89">
        <v>11</v>
      </c>
    </row>
    <row r="31" spans="1:12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89">
        <v>12</v>
      </c>
    </row>
    <row r="32" spans="1:12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89">
        <v>12</v>
      </c>
    </row>
    <row r="33" spans="1:12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89">
        <v>11</v>
      </c>
    </row>
    <row r="34" spans="1:12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89">
        <v>11</v>
      </c>
    </row>
    <row r="35" spans="1:12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89">
        <v>11</v>
      </c>
    </row>
    <row r="36" spans="1:12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89">
        <v>11</v>
      </c>
    </row>
    <row r="37" spans="1:12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384</v>
      </c>
      <c r="I37" s="5">
        <f t="shared" si="0"/>
        <v>74550</v>
      </c>
      <c r="J37" s="5">
        <f t="shared" ref="J37:J57" si="8">IF($F37="разово",IF($L37=12,0,$I37),IF($F37="мес",$D37*$E37*(($G37&lt;=1)+($G37&lt;=2)),IF($F37="год",$D37*$E37/12*(($G37&lt;=1)+($G37&lt;=2)),$I37/2)))</f>
        <v>74550</v>
      </c>
      <c r="K37" s="5">
        <f t="shared" ref="K37:K68" si="9">IF($F37="разово",IF($L37=12,$I37,0),IF($F37="мес",$D37*$E37*($G37&lt;=3),IF($F37="год",$D37*$E37/12*($G37&lt;=3),$I37/2)))</f>
        <v>0</v>
      </c>
      <c r="L37" s="89">
        <v>11</v>
      </c>
    </row>
    <row r="38" spans="1:12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341</v>
      </c>
      <c r="I38" s="5">
        <f t="shared" si="0"/>
        <v>15777</v>
      </c>
      <c r="J38" s="5">
        <f t="shared" si="8"/>
        <v>15777</v>
      </c>
      <c r="K38" s="5">
        <f t="shared" si="9"/>
        <v>0</v>
      </c>
      <c r="L38" s="89">
        <v>11</v>
      </c>
    </row>
    <row r="39" spans="1:12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8"/>
        <v>24948</v>
      </c>
      <c r="K39" s="5">
        <f t="shared" si="9"/>
        <v>0</v>
      </c>
      <c r="L39" s="89">
        <v>11</v>
      </c>
    </row>
    <row r="40" spans="1:12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8"/>
        <v>77920</v>
      </c>
      <c r="K40" s="5">
        <f t="shared" si="9"/>
        <v>0</v>
      </c>
      <c r="L40" s="89">
        <v>11</v>
      </c>
    </row>
    <row r="41" spans="1:12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0">IF(F41="разово",IF(G41&lt;=3,D41*E41,0),IF(F41="мес",D41*E41*MAX(0,4-G41),D41*E41*MAX(0,4-G41)/12))</f>
        <v>769840</v>
      </c>
      <c r="J41" s="5">
        <f t="shared" si="8"/>
        <v>769840</v>
      </c>
      <c r="K41" s="5">
        <f t="shared" si="9"/>
        <v>0</v>
      </c>
      <c r="L41" s="89">
        <v>11</v>
      </c>
    </row>
    <row r="42" spans="1:12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 t="shared" si="8"/>
        <v>31240</v>
      </c>
      <c r="K42" s="5">
        <f t="shared" si="9"/>
        <v>0</v>
      </c>
      <c r="L42" s="89">
        <v>11</v>
      </c>
    </row>
    <row r="43" spans="1:12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8"/>
        <v>0</v>
      </c>
      <c r="K43" s="5">
        <f t="shared" si="9"/>
        <v>0</v>
      </c>
      <c r="L43" s="89">
        <v>11</v>
      </c>
    </row>
    <row r="44" spans="1:12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 t="shared" si="8"/>
        <v>49129</v>
      </c>
      <c r="K44" s="5">
        <f t="shared" si="9"/>
        <v>0</v>
      </c>
      <c r="L44" s="89">
        <v>11</v>
      </c>
    </row>
    <row r="45" spans="1:12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 t="shared" si="8"/>
        <v>0</v>
      </c>
      <c r="K45" s="5">
        <f t="shared" si="9"/>
        <v>96211</v>
      </c>
      <c r="L45" s="89">
        <v>12</v>
      </c>
    </row>
    <row r="46" spans="1:12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 t="shared" si="8"/>
        <v>0</v>
      </c>
      <c r="K46" s="5">
        <f t="shared" si="9"/>
        <v>300000</v>
      </c>
      <c r="L46" s="89">
        <v>12</v>
      </c>
    </row>
    <row r="47" spans="1:12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8"/>
        <v>0</v>
      </c>
      <c r="K47" s="5">
        <f t="shared" si="9"/>
        <v>0</v>
      </c>
      <c r="L47" s="89">
        <v>11</v>
      </c>
    </row>
    <row r="48" spans="1:12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8"/>
        <v>0</v>
      </c>
      <c r="K48" s="5">
        <f t="shared" si="9"/>
        <v>0</v>
      </c>
      <c r="L48" s="89">
        <v>11</v>
      </c>
    </row>
    <row r="49" spans="1:12" ht="27.75" customHeight="1" x14ac:dyDescent="0.25">
      <c r="A49" t="s">
        <v>97</v>
      </c>
      <c r="B49" s="4" t="s">
        <v>342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387</v>
      </c>
      <c r="I49" s="5">
        <f t="shared" si="0"/>
        <v>300000</v>
      </c>
      <c r="J49" s="5">
        <f t="shared" si="8"/>
        <v>0</v>
      </c>
      <c r="K49" s="5">
        <f t="shared" si="9"/>
        <v>300000</v>
      </c>
      <c r="L49" s="89">
        <v>12</v>
      </c>
    </row>
    <row r="50" spans="1:12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8"/>
        <v>400000</v>
      </c>
      <c r="K50" s="5">
        <f t="shared" si="9"/>
        <v>0</v>
      </c>
      <c r="L50" s="89">
        <v>11</v>
      </c>
    </row>
    <row r="51" spans="1:12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1">IF(F51="разово",IF(G51&lt;=3,D51*E51,0),IF(F51="мес",D51*E51*MAX(0,4-G51),D51*E51*MAX(0,4-G51)/12))</f>
        <v>31026</v>
      </c>
      <c r="J51" s="5">
        <f t="shared" si="8"/>
        <v>31026</v>
      </c>
      <c r="K51" s="5">
        <f t="shared" si="9"/>
        <v>0</v>
      </c>
      <c r="L51" s="89">
        <v>11</v>
      </c>
    </row>
    <row r="52" spans="1:12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12">IF(F52="разово",IF(G52&lt;=3,D52*E52,0),IF(F52="мес",D52*E52*MAX(0,4-G52),D52*E52*MAX(0,4-G52)/12))</f>
        <v>130940</v>
      </c>
      <c r="J52" s="5">
        <f t="shared" si="8"/>
        <v>130940</v>
      </c>
      <c r="K52" s="5">
        <f t="shared" si="9"/>
        <v>0</v>
      </c>
      <c r="L52" s="89">
        <v>11</v>
      </c>
    </row>
    <row r="53" spans="1:12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12"/>
        <v>369600</v>
      </c>
      <c r="J53" s="5">
        <f t="shared" si="8"/>
        <v>369600</v>
      </c>
      <c r="K53" s="5">
        <f t="shared" si="9"/>
        <v>0</v>
      </c>
      <c r="L53" s="89">
        <v>11</v>
      </c>
    </row>
    <row r="54" spans="1:12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12"/>
        <v>79398</v>
      </c>
      <c r="J54" s="5">
        <f t="shared" si="8"/>
        <v>0</v>
      </c>
      <c r="K54" s="5">
        <f t="shared" si="9"/>
        <v>79398</v>
      </c>
      <c r="L54" s="89">
        <v>12</v>
      </c>
    </row>
    <row r="55" spans="1:12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8"/>
        <v>150000</v>
      </c>
      <c r="K55" s="5">
        <f t="shared" si="9"/>
        <v>0</v>
      </c>
      <c r="L55" s="89">
        <v>11</v>
      </c>
    </row>
    <row r="56" spans="1:12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8"/>
        <v>0</v>
      </c>
      <c r="K56" s="5">
        <f t="shared" si="9"/>
        <v>400000</v>
      </c>
      <c r="L56" s="89">
        <v>12</v>
      </c>
    </row>
    <row r="57" spans="1:12" ht="15" customHeight="1" x14ac:dyDescent="0.25">
      <c r="A57" t="s">
        <v>97</v>
      </c>
      <c r="B57" s="4" t="s">
        <v>343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8"/>
        <v>10000</v>
      </c>
      <c r="K57" s="5">
        <f t="shared" si="9"/>
        <v>0</v>
      </c>
      <c r="L57" s="89">
        <v>11</v>
      </c>
    </row>
    <row r="58" spans="1:12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9"/>
        <v>4869152.0999999996</v>
      </c>
      <c r="L58" s="89"/>
    </row>
    <row r="59" spans="1:12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3">IF(F59="разово",IF(G59&lt;=3,D59*E59,0),IF(F59="мес",D59*E59*MAX(0,4-G59),D59*E59*MAX(0,4-G59)/12))</f>
        <v>4869152.0999999996</v>
      </c>
      <c r="J59" s="5">
        <f t="shared" ref="J59:J77" si="14">IF($F59="разово",IF($L59=12,0,$I59),IF($F59="мес",$D59*$E59*(($G59&lt;=1)+($G59&lt;=2)),IF($F59="год",$D59*$E59/12*(($G59&lt;=1)+($G59&lt;=2)),$I59/2)))</f>
        <v>4869152.0999999996</v>
      </c>
      <c r="K59" s="5">
        <f t="shared" si="9"/>
        <v>0</v>
      </c>
      <c r="L59" s="89">
        <v>11</v>
      </c>
    </row>
    <row r="60" spans="1:12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13"/>
        <v>200000</v>
      </c>
      <c r="J60" s="5">
        <f t="shared" si="14"/>
        <v>100000</v>
      </c>
      <c r="K60" s="5">
        <f t="shared" si="9"/>
        <v>100000</v>
      </c>
      <c r="L60" s="89"/>
    </row>
    <row r="61" spans="1:12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3"/>
        <v>60000</v>
      </c>
      <c r="J61" s="5">
        <f t="shared" si="14"/>
        <v>30000</v>
      </c>
      <c r="K61" s="5">
        <f t="shared" si="9"/>
        <v>30000</v>
      </c>
      <c r="L61" s="89"/>
    </row>
    <row r="62" spans="1:12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3"/>
        <v>100000</v>
      </c>
      <c r="J62" s="5">
        <f t="shared" si="14"/>
        <v>50000</v>
      </c>
      <c r="K62" s="5">
        <f t="shared" si="9"/>
        <v>50000</v>
      </c>
      <c r="L62" s="89"/>
    </row>
    <row r="63" spans="1:12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 t="shared" si="14"/>
        <v>9466</v>
      </c>
      <c r="K63" s="5">
        <f t="shared" si="9"/>
        <v>9466</v>
      </c>
      <c r="L63" s="89"/>
    </row>
    <row r="64" spans="1:12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3"/>
        <v>60000</v>
      </c>
      <c r="J64" s="5">
        <f t="shared" si="14"/>
        <v>30000</v>
      </c>
      <c r="K64" s="5">
        <f t="shared" si="9"/>
        <v>30000</v>
      </c>
      <c r="L64" s="89"/>
    </row>
    <row r="65" spans="1:12" ht="15" customHeight="1" x14ac:dyDescent="0.25">
      <c r="A65" t="s">
        <v>111</v>
      </c>
      <c r="B65" s="4" t="s">
        <v>350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351</v>
      </c>
      <c r="I65" s="5">
        <f t="shared" si="13"/>
        <v>48250</v>
      </c>
      <c r="J65" s="5">
        <f t="shared" si="14"/>
        <v>24125</v>
      </c>
      <c r="K65" s="5">
        <f t="shared" si="9"/>
        <v>24125</v>
      </c>
      <c r="L65" s="89"/>
    </row>
    <row r="66" spans="1:12" ht="15" customHeight="1" x14ac:dyDescent="0.25">
      <c r="A66" t="s">
        <v>111</v>
      </c>
      <c r="B66" s="4" t="s">
        <v>352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353</v>
      </c>
      <c r="I66" s="5">
        <f t="shared" ref="I66" si="15">IF(F66="разово",IF(G66&lt;=3,D66*E66,0),IF(F66="мес",D66*E66*MAX(0,4-G66),D66*E66*MAX(0,4-G66)/12))</f>
        <v>20048</v>
      </c>
      <c r="J66" s="5">
        <f t="shared" si="14"/>
        <v>20048</v>
      </c>
      <c r="K66" s="5">
        <f t="shared" si="9"/>
        <v>0</v>
      </c>
      <c r="L66" s="89">
        <v>11</v>
      </c>
    </row>
    <row r="67" spans="1:12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3"/>
        <v>200000</v>
      </c>
      <c r="J67" s="5">
        <f t="shared" si="14"/>
        <v>100000</v>
      </c>
      <c r="K67" s="5">
        <f t="shared" si="9"/>
        <v>100000</v>
      </c>
      <c r="L67" s="89"/>
    </row>
    <row r="68" spans="1:12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344</v>
      </c>
      <c r="I68" s="5">
        <f t="shared" si="13"/>
        <v>266000</v>
      </c>
      <c r="J68" s="5">
        <f t="shared" si="14"/>
        <v>133000</v>
      </c>
      <c r="K68" s="5">
        <f t="shared" si="9"/>
        <v>133000</v>
      </c>
      <c r="L68" s="89"/>
    </row>
    <row r="69" spans="1:12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3"/>
        <v>45000</v>
      </c>
      <c r="J69" s="5">
        <f t="shared" si="14"/>
        <v>22500</v>
      </c>
      <c r="K69" s="5">
        <f t="shared" ref="K69:K77" si="16">IF($F69="разово",IF($L69=12,$I69,0),IF($F69="мес",$D69*$E69*($G69&lt;=3),IF($F69="год",$D69*$E69/12*($G69&lt;=3),$I69/2)))</f>
        <v>22500</v>
      </c>
      <c r="L69" s="89"/>
    </row>
    <row r="70" spans="1:12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3"/>
        <v>120000</v>
      </c>
      <c r="J70" s="5">
        <f t="shared" si="14"/>
        <v>60000</v>
      </c>
      <c r="K70" s="5">
        <f t="shared" si="16"/>
        <v>60000</v>
      </c>
      <c r="L70" s="89"/>
    </row>
    <row r="71" spans="1:12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13"/>
        <v>79447</v>
      </c>
      <c r="J71" s="5">
        <f t="shared" si="14"/>
        <v>79447</v>
      </c>
      <c r="K71" s="5">
        <f t="shared" si="16"/>
        <v>0</v>
      </c>
      <c r="L71" s="89">
        <v>11</v>
      </c>
    </row>
    <row r="72" spans="1:12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 t="shared" si="14"/>
        <v>38000</v>
      </c>
      <c r="K72" s="5">
        <f t="shared" si="16"/>
        <v>38000</v>
      </c>
      <c r="L72" s="89"/>
    </row>
    <row r="73" spans="1:12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4"/>
        <v>1000000</v>
      </c>
      <c r="K73" s="5">
        <f t="shared" si="16"/>
        <v>1000000</v>
      </c>
      <c r="L73" s="89"/>
    </row>
    <row r="74" spans="1:12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3"/>
        <v>300000</v>
      </c>
      <c r="J74" s="5">
        <f t="shared" si="14"/>
        <v>150000</v>
      </c>
      <c r="K74" s="5">
        <f t="shared" si="16"/>
        <v>150000</v>
      </c>
      <c r="L74" s="89"/>
    </row>
    <row r="75" spans="1:12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3"/>
        <v>50000</v>
      </c>
      <c r="J75" s="5">
        <f t="shared" si="14"/>
        <v>25000</v>
      </c>
      <c r="K75" s="5">
        <f t="shared" si="16"/>
        <v>25000</v>
      </c>
      <c r="L75" s="89"/>
    </row>
    <row r="76" spans="1:12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13"/>
        <v>350000</v>
      </c>
      <c r="J76" s="5">
        <f t="shared" si="14"/>
        <v>350000</v>
      </c>
      <c r="K76" s="5">
        <f t="shared" si="16"/>
        <v>0</v>
      </c>
      <c r="L76" s="89">
        <v>11</v>
      </c>
    </row>
    <row r="77" spans="1:12" ht="15" customHeight="1" x14ac:dyDescent="0.25">
      <c r="A77" t="s">
        <v>132</v>
      </c>
      <c r="B77" s="4" t="s">
        <v>345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3"/>
        <v>0</v>
      </c>
      <c r="J77" s="5">
        <f t="shared" si="14"/>
        <v>0</v>
      </c>
      <c r="K77" s="5">
        <f t="shared" si="16"/>
        <v>0</v>
      </c>
      <c r="L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9" width="14.7109375" customWidth="1"/>
    <col min="10" max="11" width="8.7109375" customWidth="1"/>
  </cols>
  <sheetData>
    <row r="1" spans="1:9" ht="17.25" x14ac:dyDescent="0.3">
      <c r="A1" s="1" t="s">
        <v>326</v>
      </c>
    </row>
    <row r="2" spans="1:9" x14ac:dyDescent="0.25">
      <c r="A2" s="2"/>
    </row>
    <row r="4" spans="1:9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</row>
    <row r="5" spans="1:9" ht="30" x14ac:dyDescent="0.25">
      <c r="A5" t="s">
        <v>273</v>
      </c>
      <c r="B5" s="4" t="s">
        <v>448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</row>
    <row r="6" spans="1:9" x14ac:dyDescent="0.25">
      <c r="A6" t="s">
        <v>273</v>
      </c>
      <c r="B6" s="4" t="s">
        <v>449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</row>
    <row r="7" spans="1:9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I8" si="0">$G7*1/3</f>
        <v>5761333.333333333</v>
      </c>
      <c r="I7" s="5">
        <f t="shared" si="0"/>
        <v>5761333.333333333</v>
      </c>
    </row>
    <row r="8" spans="1:9" x14ac:dyDescent="0.25">
      <c r="A8" t="s">
        <v>273</v>
      </c>
      <c r="B8" s="4" t="s">
        <v>450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</row>
    <row r="9" spans="1:9" x14ac:dyDescent="0.25">
      <c r="A9" t="s">
        <v>273</v>
      </c>
      <c r="B9" s="4" t="s">
        <v>451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</row>
    <row r="10" spans="1:9" x14ac:dyDescent="0.25">
      <c r="A10" t="s">
        <v>273</v>
      </c>
      <c r="B10" s="4" t="s">
        <v>447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</row>
    <row r="11" spans="1:9" x14ac:dyDescent="0.25">
      <c r="B11" s="4"/>
      <c r="D11" s="9"/>
      <c r="E11" s="10"/>
      <c r="F11" s="9"/>
      <c r="G11" s="5"/>
      <c r="H11" s="5"/>
      <c r="I11" s="5"/>
    </row>
    <row r="12" spans="1:9" x14ac:dyDescent="0.25">
      <c r="G12" s="5"/>
      <c r="H12" s="5"/>
      <c r="I12" s="5"/>
    </row>
    <row r="13" spans="1:9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393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416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429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435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443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446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349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347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348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339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2026-10-28T07:08:21Z</dcterms:modified>
  <dc:language>en-US</dc:language>
</cp:coreProperties>
</file>