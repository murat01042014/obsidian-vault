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1" l="1"/>
  <c r="D4" i="1" s="1"/>
  <c r="B4" i="1"/>
  <c r="K77" i="5"/>
  <c r="J77" i="5"/>
  <c r="K76" i="5"/>
  <c r="K75" i="5"/>
  <c r="J75" i="5"/>
  <c r="K74" i="5"/>
  <c r="J74" i="5"/>
  <c r="K73" i="5"/>
  <c r="C14" i="1" s="1"/>
  <c r="J73" i="5"/>
  <c r="B14" i="1" s="1"/>
  <c r="K72" i="5"/>
  <c r="J72" i="5"/>
  <c r="K71" i="5"/>
  <c r="K70" i="5"/>
  <c r="J70" i="5"/>
  <c r="K69" i="5"/>
  <c r="J69" i="5"/>
  <c r="K68" i="5"/>
  <c r="C13" i="1" s="1"/>
  <c r="J68" i="5"/>
  <c r="K67" i="5"/>
  <c r="J67" i="5"/>
  <c r="K66" i="5"/>
  <c r="K64" i="5"/>
  <c r="J64" i="5"/>
  <c r="K62" i="5"/>
  <c r="J62" i="5"/>
  <c r="K61" i="5"/>
  <c r="J61" i="5"/>
  <c r="K60" i="5"/>
  <c r="J60" i="5"/>
  <c r="K59" i="5"/>
  <c r="K57" i="5"/>
  <c r="J56" i="5"/>
  <c r="K55" i="5"/>
  <c r="J54" i="5"/>
  <c r="K53" i="5"/>
  <c r="K52" i="5"/>
  <c r="K51" i="5"/>
  <c r="K50" i="5"/>
  <c r="J49" i="5"/>
  <c r="K48" i="5"/>
  <c r="K47" i="5"/>
  <c r="J46" i="5"/>
  <c r="J45" i="5"/>
  <c r="K44" i="5"/>
  <c r="K43" i="5"/>
  <c r="K42" i="5"/>
  <c r="K41" i="5"/>
  <c r="K40" i="5"/>
  <c r="K39" i="5"/>
  <c r="K38" i="5"/>
  <c r="K37" i="5"/>
  <c r="K36" i="5"/>
  <c r="K35" i="5"/>
  <c r="K34" i="5"/>
  <c r="K33" i="5"/>
  <c r="J32" i="5"/>
  <c r="J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D14" i="1" l="1"/>
  <c r="E63" i="5"/>
  <c r="E42" i="5"/>
  <c r="I42" i="5" s="1"/>
  <c r="J42" i="5" s="1"/>
  <c r="I63" i="5" l="1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C8" i="1"/>
  <c r="G11" i="9"/>
  <c r="B20" i="16"/>
  <c r="B21" i="16"/>
  <c r="B22" i="16" s="1"/>
  <c r="I11" i="9"/>
  <c r="H11" i="9"/>
  <c r="B5" i="16"/>
  <c r="B11" i="16" s="1"/>
  <c r="C11" i="16" s="1"/>
  <c r="D11" i="16" s="1"/>
  <c r="D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8" i="5"/>
  <c r="E26" i="5" s="1"/>
  <c r="I9" i="5" l="1"/>
  <c r="J9" i="5" s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I10" i="8" l="1"/>
  <c r="H10" i="8"/>
  <c r="H5" i="8"/>
  <c r="I5" i="8"/>
  <c r="I7" i="8"/>
  <c r="H7" i="8"/>
  <c r="H8" i="8"/>
  <c r="I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I6" i="8"/>
  <c r="I9" i="8"/>
  <c r="H9" i="8"/>
  <c r="H13" i="8" s="1"/>
  <c r="B19" i="1" s="1"/>
  <c r="G13" i="8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I13" i="8" l="1"/>
  <c r="C19" i="1" s="1"/>
  <c r="D19" i="1" s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s="1"/>
  <c r="E66" i="5" l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D5" i="1" s="1"/>
  <c r="H44" i="3" l="1"/>
  <c r="C7" i="1" s="1"/>
  <c r="D7" i="1" s="1"/>
  <c r="E40" i="5"/>
  <c r="I40" i="5" s="1"/>
  <c r="J40" i="5" s="1"/>
  <c r="E39" i="5"/>
  <c r="I39" i="5" s="1"/>
  <c r="J39" i="5" s="1"/>
  <c r="E37" i="5"/>
  <c r="I44" i="5" l="1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B13" i="1" s="1"/>
  <c r="D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K58" i="5" l="1"/>
  <c r="J58" i="5"/>
  <c r="J65" i="5"/>
  <c r="K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2" i="1" l="1"/>
  <c r="B6" i="1"/>
  <c r="D6" i="1" s="1"/>
  <c r="C6" i="1"/>
  <c r="C12" i="1"/>
  <c r="M7" i="3"/>
  <c r="O7" i="3" s="1"/>
  <c r="M6" i="3"/>
  <c r="O6" i="3" s="1"/>
  <c r="N37" i="3"/>
  <c r="B9" i="1" s="1"/>
  <c r="D9" i="1" s="1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B10" i="1" l="1"/>
  <c r="C10" i="1"/>
  <c r="D12" i="1"/>
  <c r="K49" i="5"/>
  <c r="C11" i="1" s="1"/>
  <c r="D11" i="1" s="1"/>
  <c r="B17" i="1"/>
  <c r="O5" i="3"/>
  <c r="M37" i="3"/>
  <c r="D10" i="1" l="1"/>
  <c r="C15" i="1"/>
  <c r="C16" i="1"/>
  <c r="C18" i="1" s="1"/>
  <c r="C20" i="1" s="1"/>
  <c r="B15" i="1"/>
  <c r="D15" i="1" s="1"/>
  <c r="C17" i="1"/>
  <c r="D17" i="1" s="1"/>
  <c r="O37" i="3"/>
  <c r="B16" i="1" l="1"/>
  <c r="D16" i="1" s="1"/>
  <c r="B18" i="1" l="1"/>
  <c r="D18" i="1" s="1"/>
  <c r="B20" i="1" l="1"/>
  <c r="D20" i="1" l="1"/>
  <c r="D24" i="1" s="1"/>
  <c r="B22" i="1"/>
  <c r="C22" i="1" l="1"/>
  <c r="C24" i="1" s="1"/>
  <c r="B24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<sst xmlns="http://schemas.openxmlformats.org/spreadsheetml/2006/main" count="1051" uniqueCount="572">
  <si>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</si>
  <si>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</si>
  <si>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</si>
  <si>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</si>
  <si>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</si>
  <si>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</si>
  <si>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</si>
  <si>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</si>
  <si>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</si>
  <si>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</si>
  <si>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</si>
  <si>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</si>
  <si>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</si>
  <si>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</si>
  <si>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</si>
  <si>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</si>
  <si>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</si>
  <si>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</si>
  <si>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</si>
  <si>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</si>
  <si>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</si>
  <si>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</si>
  <si>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</si>
  <si>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</si>
  <si>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</si>
  <si>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</si>
  <si>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</si>
  <si>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</si>
  <si>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</si>
  <si>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</si>
  <si>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</si>
  <si>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</si>
  <si>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</si>
  <si>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</si>
  <si>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</si>
  <si>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</si>
  <si>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</si>
  <si>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</si>
  <si>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</si>
  <si>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</si>
  <si>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</si>
  <si>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</si>
  <si>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</si>
  <si>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</si>
  <si>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</si>
  <si>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</si>
  <si>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</si>
  <si>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</si>
  <si>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</si>
  <si>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</si>
  <si>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</si>
  <si>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</si>
  <si>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</si>
  <si>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</si>
  <si>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</si>
  <si>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</si>
  <si>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</si>
  <si>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</si>
  <si>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</si>
  <si>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</si>
  <si>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</si>
  <si>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</si>
  <si>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</si>
  <si>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</si>
  <si>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</si>
  <si>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</si>
  <si>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</si>
  <si>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</si>
  <si>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</si>
  <si>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</si>
  <si>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</si>
  <si>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</si>
  <si>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</si>
  <si>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</si>
  <si>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</si>
  <si>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</si>
  <si>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</si>
  <si>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</si>
  <si>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</si>
  <si>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</si>
  <si>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</si>
  <si>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</si>
  <si>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</si>
  <si>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</si>
  <si>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</si>
  <si>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</si>
  <si>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</si>
  <si>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</si>
  <si>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</si>
  <si>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</si>
  <si>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</si>
  <si>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</si>
  <si>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</si>
  <si>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</si>
  <si>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</si>
  <si>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</si>
  <si>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</si>
  <si>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</si>
  <si>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</si>
  <si>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</si>
  <si>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</si>
  <si>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</si>
  <si>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</si>
  <si>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</si>
  <si>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</si>
  <si>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</si>
  <si>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</si>
  <si>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</si>
  <si>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</si>
  <si>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</si>
  <si>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</si>
  <si>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</si>
  <si>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</si>
  <si>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</si>
  <si>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</si>
  <si>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</si>
  <si>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</si>
  <si>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</si>
  <si>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</si>
  <si>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</si>
  <si>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</si>
  <si>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</si>
  <si>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</si>
  <si>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</si>
  <si>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</si>
  <si>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</si>
  <si>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</si>
  <si>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</si>
  <si>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</si>
  <si>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</si>
  <si>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</si>
  <si>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</si>
  <si>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</si>
  <si>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</si>
  <si>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</si>
  <si>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</si>
  <si>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</si>
  <si>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</si>
  <si>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</si>
  <si>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</si>
  <si>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</si>
  <si>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</si>
  <si>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</si>
  <si>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</si>
  <si>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</si>
  <si>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</si>
  <si>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</si>
  <si>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</si>
  <si>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</si>
  <si>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</si>
  <si>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</si>
  <si>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</si>
  <si>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</si>
  <si>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</si>
  <si>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</si>
  <si>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</si>
  <si>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</si>
  <si>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</si>
  <si>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</si>
  <si>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</si>
  <si>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</si>
  <si>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</si>
  <si>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</si>
  <si>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</si>
  <si>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</si>
  <si>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</si>
  <si>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</si>
  <si>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</si>
  <si>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</si>
  <si>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</si>
  <si>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</si>
  <si>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</si>
  <si>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</si>
  <si>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</si>
  <si>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</si>
  <si>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</si>
  <si>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</si>
  <si>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</si>
  <si>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</si>
  <si>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</si>
  <si>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</si>
  <si>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</si>
  <si>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</si>
  <si>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</si>
  <si>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</si>
  <si>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</si>
  <si>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</si>
  <si>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</si>
  <si>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</si>
  <si>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</si>
  <si>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</si>
  <si>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</si>
  <si>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</si>
  <si>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</si>
  <si>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</si>
  <si>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</si>
  <si>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</si>
  <si>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</si>
  <si>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</si>
  <si>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</si>
  <si>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</si>
  <si>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</si>
  <si>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</si>
  <si>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</si>
  <si>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</si>
  <si>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</si>
  <si>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</si>
  <si>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</si>
  <si>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</si>
  <si>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</si>
  <si>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</si>
  <si>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</si>
  <si>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</si>
  <si>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</si>
  <si>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</si>
  <si>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</si>
  <si>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</si>
  <si>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</si>
  <si>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</si>
  <si>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</si>
  <si>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</si>
  <si>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</si>
  <si>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</si>
  <si>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</si>
  <si>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</si>
  <si>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</si>
  <si>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</si>
  <si>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</si>
  <si>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</si>
  <si>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</si>
  <si>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</si>
  <si>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</si>
  <si>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</si>
  <si>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</si>
  <si>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</si>
  <si>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</si>
  <si>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</si>
  <si>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</si>
  <si>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</si>
  <si>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</si>
  <si>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</si>
  <si>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</si>
  <si>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</si>
  <si>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</si>
  <si>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</si>
  <si>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</si>
  <si>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</si>
  <si>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</si>
  <si>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</si>
  <si>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</si>
  <si>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</si>
  <si>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</si>
  <si>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</si>
  <si>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</si>
  <si>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</si>
  <si>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</si>
  <si>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</si>
  <si>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</si>
  <si>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</si>
  <si>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</si>
  <si>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</si>
  <si>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</si>
  <si>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</si>
  <si>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</si>
  <si>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</si>
  <si>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</si>
  <si>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</si>
  <si>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</si>
  <si>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</si>
  <si>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</si>
  <si>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</si>
  <si>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</si>
  <si>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</si>
  <si>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</si>
  <si>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</si>
  <si>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</si>
  <si>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</si>
  <si>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</si>
  <si>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</si>
  <si>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</si>
  <si>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</si>
  <si>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</si>
  <si>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</si>
  <si>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</si>
  <si>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</si>
  <si>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</si>
  <si>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</si>
  <si>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</si>
  <si>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</si>
  <si>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</si>
  <si>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</si>
  <si>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</si>
  <si>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</si>
  <si>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</si>
  <si>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</si>
  <si>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</si>
  <si>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</si>
  <si>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</si>
  <si>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</si>
  <si>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</si>
  <si>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</si>
  <si>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</si>
  <si>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</si>
  <si>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</si>
  <si>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</si>
  <si>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</si>
  <si>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</si>
  <si>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</si>
  <si>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</si>
  <si>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</si>
  <si>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</si>
  <si>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</si>
  <si>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</si>
  <si>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</si>
  <si>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</si>
  <si>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</si>
  <si>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</si>
  <si>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</si>
  <si>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</si>
  <si>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</si>
  <si>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</si>
  <si>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</si>
  <si>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</si>
  <si>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</si>
  <si>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</si>
  <si>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</si>
  <si>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</si>
  <si>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</si>
  <si>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</si>
  <si>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</si>
  <si>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</si>
  <si>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</si>
  <si>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</si>
  <si>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</si>
  <si>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</si>
  <si>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</si>
  <si>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</si>
  <si>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</si>
  <si>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</si>
  <si>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</si>
  <si>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</si>
  <si>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</si>
  <si>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</si>
  <si>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</si>
  <si>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</si>
  <si>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</si>
  <si>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</si>
  <si>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</si>
  <si>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</si>
  <si>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</si>
  <si>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</si>
  <si>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</si>
  <si>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</si>
  <si>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</si>
  <si>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</si>
  <si>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</si>
  <si>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</si>
  <si>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</si>
  <si>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</si>
  <si>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</si>
  <si>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</si>
  <si>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</si>
  <si>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</si>
  <si>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</si>
  <si>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</si>
  <si>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</si>
  <si>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</si>
  <si>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</si>
  <si>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</si>
  <si>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</si>
  <si>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</si>
  <si>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</si>
  <si>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</si>
  <si>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</si>
  <si>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</si>
  <si>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</si>
  <si>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</si>
  <si>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</si>
  <si>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</si>
  <si>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</si>
  <si>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</si>
  <si>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</si>
  <si>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</si>
  <si>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</si>
  <si>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</si>
  <si>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</si>
  <si>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</si>
  <si>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</si>
  <si>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</si>
  <si>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</si>
  <si>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</si>
  <si>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</si>
  <si>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</si>
  <si>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</si>
  <si>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</si>
  <si>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</si>
  <si>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</si>
  <si>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</si>
  <si>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</si>
  <si>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</si>
  <si>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</si>
  <si>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</si>
  <si>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</si>
  <si>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</si>
  <si>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</si>
  <si>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</si>
  <si>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</si>
  <si>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</si>
  <si>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</si>
  <si>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</si>
  <si>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</si>
  <si>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</si>
  <si>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</si>
  <si>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</si>
  <si>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</si>
  <si>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</si>
  <si>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</si>
  <si>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</si>
  <si>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</si>
  <si>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</si>
  <si>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</si>
  <si>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</si>
  <si>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</si>
  <si>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</si>
  <si>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</si>
  <si>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</si>
  <si>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</si>
  <si>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</si>
  <si>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</si>
  <si>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</si>
  <si>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</si>
  <si>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</si>
  <si>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</si>
  <si>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</si>
  <si>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</si>
  <si>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</si>
  <si>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</si>
  <si>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</si>
  <si>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</si>
  <si>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</si>
  <si>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</si>
  <si>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</si>
  <si>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</si>
  <si>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</si>
  <si>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</si>
  <si>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</si>
  <si>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</si>
  <si>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</si>
  <si>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</si>
  <si>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</si>
  <si>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</si>
  <si>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</si>
  <si>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</si>
  <si>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</si>
  <si>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</si>
  <si>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</si>
  <si>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</si>
  <si>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</si>
  <si>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</si>
  <si>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</si>
  <si>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</si>
  <si>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</si>
  <si>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</si>
  <si>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</si>
  <si>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</si>
  <si>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</si>
  <si>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</si>
  <si>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</si>
  <si>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</si>
  <si>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</si>
  <si>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</si>
  <si>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</si>
  <si>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</si>
  <si>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</si>
  <si>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</si>
  <si>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</si>
  <si>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</si>
  <si>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</si>
  <si>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</si>
  <si>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</si>
  <si>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</si>
  <si>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</si>
  <si>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</si>
  <si>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</si>
  <si>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</si>
  <si>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</si>
  <si>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</si>
  <si>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</si>
  <si>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</si>
  <si>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</si>
  <si>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</si>
  <si>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</si>
  <si>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</si>
  <si>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</si>
  <si>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</si>
  <si>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</si>
  <si>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</si>
  <si>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</si>
  <si>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</si>
  <si>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</si>
  <si>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</si>
  <si>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</si>
  <si>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</si>
  <si>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</si>
  <si>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</si>
  <si>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</si>
  <si>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</si>
  <si>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</si>
  <si>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</si>
  <si>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</si>
  <si>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</si>
  <si>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</si>
  <si>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</si>
  <si>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</si>
  <si>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</si>
  <si>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</si>
  <si>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</si>
  <si>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</si>
  <si>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</si>
  <si>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</si>
  <si>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</si>
  <si>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</si>
  <si>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</si>
  <si>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</si>
  <si>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</si>
  <si>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</si>
  <si>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</si>
  <si>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</si>
  <si>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</si>
  <si>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</si>
  <si>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</si>
  <si>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</si>
  <si>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</si>
  <si>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</si>
  <si>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</si>
  <si>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</si>
  <si>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</si>
  <si>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</si>
  <si>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</si>
  <si>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</si>
  <si>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</si>
  <si>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</si>
  <si>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</si>
  <si>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</si>
  <si>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</si>
  <si>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</si>
  <si>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</si>
  <si>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</si>
  <si>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</si>
  <si>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</si>
  <si>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</si>
  <si>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</si>
  <si>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</si>
  <si>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</si>
  <si>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</si>
  <si>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</si>
  <si>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</si>
  <si>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</si>
  <si>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</si>
  <si>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</si>
  <si>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</si>
  <si>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</si>
  <si>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</si>
  <si>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</si>
  <si>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</si>
  <si>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Месяц оплаты разовых (11 / 12)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</si>
  <si>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</si>
  <si>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</si>
  <si>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</si>
  <si>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</si>
  <si>
    <t>Бюджет ЦАКФ на ноябрь–декабрь 2026 года, ₸</t>
  </si>
  <si>
    <t>Итого ноябрь–декабрь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</si>
</sst>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  <xf numFmtId="1" fontId="4" fillId="0" borderId="2" xfId="0" applyNumberFormat="1" applyFont="1" applyBorder="1" applyAlignment="1">
      <alignment vertical="center" wrapText="1"/>
    </xf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4"/>
  <sheetViews>
    <sheetView tabSelected="1" zoomScaleNormal="100" workbookViewId="0">
      <selection activeCell="A22" sqref="A22:D24"/>
    </sheetView>
  </sheetViews>
  <sheetFormatPr defaultColWidth="8.7109375" defaultRowHeight="15" x14ac:dyDescent="0.25"/>
  <cols>
    <col min="1" max="1" width="80.7109375" style="4" customWidth="1"/>
    <col min="2" max="3" width="22.7109375" style="4" customWidth="1"/>
    <col min="4" max="4" width="10.85546875" style="4" bestFit="1" customWidth="1"/>
    <col min="5" max="16384" width="8.7109375" style="4"/>
  </cols>
  <sheetData>
    <row r="1" spans="1:4" ht="17.25" x14ac:dyDescent="0.3">
      <c r="A1" s="33" t="s">
        <v>570</v>
      </c>
    </row>
    <row r="3" spans="1:4" ht="60" x14ac:dyDescent="0.25">
      <c r="A3" s="35" t="s">
        <v>0</v>
      </c>
      <c r="B3" s="35" t="s">
        <v>563</v>
      </c>
      <c r="C3" s="35" t="s">
        <v>564</v>
      </c>
      <c r="D3" s="35" t="s">
        <v>571</v>
      </c>
    </row>
    <row r="4" spans="1:4" x14ac:dyDescent="0.25">
      <c r="A4" s="36" t="s">
        <v>330</v>
      </c>
      <c r="B4" s="37">
        <f>SUMPRODUCT((Штат!$E$5:$E$36="штат")*Штат!$G$5:$G$36*(Штат!$I$5:$I$36&lt;=2))</f>
        <v>21</v>
      </c>
      <c r="C4" s="37">
        <f>SUMPRODUCT((Штат!$E$5:$E$36="штат")*Штат!$G$5:$G$36*(Штат!$I$5:$I$36&lt;=3))</f>
        <v>22</v>
      </c>
      <c r="D4" s="109">
        <f>C4</f>
        <v>22</v>
      </c>
    </row>
    <row r="5" spans="1:4" x14ac:dyDescent="0.25">
      <c r="A5" s="36" t="s">
        <v>331</v>
      </c>
      <c r="B5" s="37"/>
      <c r="C5" s="37"/>
      <c r="D5" s="109">
        <f>Штат!G38</f>
        <v>15</v>
      </c>
    </row>
    <row r="6" spans="1:4" x14ac:dyDescent="0.25">
      <c r="A6" s="36" t="s">
        <v>332</v>
      </c>
      <c r="B6" s="38">
        <f>SUMPRODUCT((Штат!$E$5:$E$36="штат")*Штат!$K$5:$K$36*((Штат!$F$5:$F$36="действующий")+(Штат!$I$5:$I$36&lt;=2)))</f>
        <v>32153930</v>
      </c>
      <c r="C6" s="38">
        <f>SUMPRODUCT((Штат!$E$5:$E$36="штат")*Штат!$K$5:$K$36*(Штат!$I$5:$I$36&lt;=3))</f>
        <v>27034580</v>
      </c>
      <c r="D6" s="40">
        <f>B6+C6</f>
        <v>59188510</v>
      </c>
    </row>
    <row r="7" spans="1:4" ht="30" x14ac:dyDescent="0.25">
      <c r="A7" s="36" t="s">
        <v>490</v>
      </c>
      <c r="B7" s="38">
        <v>0</v>
      </c>
      <c r="C7" s="38">
        <f>Штат!$H$44</f>
        <v>9389520</v>
      </c>
      <c r="D7" s="40">
        <f>B7+C7</f>
        <v>9389520</v>
      </c>
    </row>
    <row r="8" spans="1:4" ht="30" x14ac:dyDescent="0.25">
      <c r="A8" s="36" t="s">
        <v>388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40">
        <f>B8+C8</f>
        <v>13763192</v>
      </c>
    </row>
    <row r="9" spans="1:4" x14ac:dyDescent="0.25">
      <c r="A9" s="36" t="s">
        <v>358</v>
      </c>
      <c r="B9" s="38">
        <f>Штат!$N$37</f>
        <v>611142.85714285716</v>
      </c>
      <c r="C9" s="38">
        <v>0</v>
      </c>
      <c r="D9" s="40">
        <f>B9+C9</f>
        <v>611142.85714285716</v>
      </c>
    </row>
    <row r="10" spans="1:4" x14ac:dyDescent="0.25">
      <c r="A10" s="36" t="s">
        <v>333</v>
      </c>
      <c r="B10" s="38">
        <f>Командировки!$G$12/2</f>
        <v>1899506.25</v>
      </c>
      <c r="C10" s="38">
        <f>Командировки!$G$12/2</f>
        <v>1899506.25</v>
      </c>
      <c r="D10" s="40">
        <f>B10+C10</f>
        <v>3799012.5</v>
      </c>
    </row>
    <row r="11" spans="1:4" ht="30" x14ac:dyDescent="0.25">
      <c r="A11" s="36" t="s">
        <v>334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40">
        <f>B11+C11</f>
        <v>14032042.9</v>
      </c>
    </row>
    <row r="12" spans="1:4" ht="30" x14ac:dyDescent="0.25">
      <c r="A12" s="36" t="s">
        <v>348</v>
      </c>
      <c r="B12" s="38">
        <f>SUMIFS('Оснащение и офис'!$J$5:$J$77,'Оснащение и офис'!$A$5:$A$77,"Офис")</f>
        <v>11829706.848387096</v>
      </c>
      <c r="C12" s="38">
        <f>SUMIFS('Оснащение и офис'!$K$5:$K$77,'Оснащение и офис'!$A$5:$A$77,"Офис")</f>
        <v>5212743.0999999996</v>
      </c>
      <c r="D12" s="40">
        <f>B12+C12</f>
        <v>17042449.948387094</v>
      </c>
    </row>
    <row r="13" spans="1:4" x14ac:dyDescent="0.25">
      <c r="A13" s="36" t="s">
        <v>335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40">
        <f>B13+C13</f>
        <v>586447</v>
      </c>
    </row>
    <row r="14" spans="1:4" x14ac:dyDescent="0.25">
      <c r="A14" s="36" t="s">
        <v>336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40">
        <f>B14+C14</f>
        <v>2350000</v>
      </c>
    </row>
    <row r="15" spans="1:4" x14ac:dyDescent="0.25">
      <c r="A15" s="39" t="s">
        <v>337</v>
      </c>
      <c r="B15" s="40">
        <f>SUM(B6:B14)</f>
        <v>67220262.855529949</v>
      </c>
      <c r="C15" s="40">
        <f>SUM(C6:C14)</f>
        <v>53542054.350000001</v>
      </c>
      <c r="D15" s="40">
        <f>B15+C15</f>
        <v>120762317.20552996</v>
      </c>
    </row>
    <row r="16" spans="1:4" ht="30" x14ac:dyDescent="0.25">
      <c r="A16" s="36" t="s">
        <v>359</v>
      </c>
      <c r="B16" s="38">
        <f>B15*Резерв+SUMIFS('Оснащение и офис'!$J$5:$J$77,'Оснащение и офис'!$A$5:$A$77,"Прочие")</f>
        <v>7072026.2855529953</v>
      </c>
      <c r="C16" s="38">
        <f>C15*Резерв+SUMIFS('Оснащение и офис'!$K$5:$K$77,'Оснащение и офис'!$A$5:$A$77,"Прочие")</f>
        <v>5354205.4350000005</v>
      </c>
      <c r="D16" s="40">
        <f>B16+C16</f>
        <v>12426231.720552996</v>
      </c>
    </row>
    <row r="17" spans="1:4" ht="30" x14ac:dyDescent="0.25">
      <c r="A17" s="36" t="s">
        <v>566</v>
      </c>
      <c r="B17" s="38">
        <f>((B11+B12+B13+B14)-'Оснащение и офис'!$J$59)*(1+Резерв)*НДС</f>
        <v>3661668.6741161295</v>
      </c>
      <c r="C17" s="38">
        <f>((C11+C12+C13+C14)-'Оснащение и офис'!$K$59)*(1+Резерв)*НДС</f>
        <v>1467285.9696000002</v>
      </c>
      <c r="D17" s="40">
        <f>B17+C17</f>
        <v>5128954.6437161295</v>
      </c>
    </row>
    <row r="18" spans="1:4" x14ac:dyDescent="0.25">
      <c r="A18" s="41" t="s">
        <v>338</v>
      </c>
      <c r="B18" s="42">
        <f>B15+B16+B17</f>
        <v>77953957.815199077</v>
      </c>
      <c r="C18" s="42">
        <f>C15+C16+C17</f>
        <v>60363545.754600003</v>
      </c>
      <c r="D18" s="42">
        <f>B18+C18</f>
        <v>138317503.56979907</v>
      </c>
    </row>
    <row r="19" spans="1:4" x14ac:dyDescent="0.25">
      <c r="A19" s="39" t="s">
        <v>339</v>
      </c>
      <c r="B19" s="40">
        <f>Проекты!$H$13</f>
        <v>38245973.333333336</v>
      </c>
      <c r="C19" s="40">
        <f>Проекты!$I$13</f>
        <v>31831173.333333332</v>
      </c>
      <c r="D19" s="40">
        <f>B19+C19</f>
        <v>70077146.666666672</v>
      </c>
    </row>
    <row r="20" spans="1:4" x14ac:dyDescent="0.25">
      <c r="A20" s="43" t="s">
        <v>340</v>
      </c>
      <c r="B20" s="44">
        <f>B18+B19</f>
        <v>116199931.14853242</v>
      </c>
      <c r="C20" s="44">
        <f>C18+C19</f>
        <v>92194719.087933332</v>
      </c>
      <c r="D20" s="44">
        <f>B20+C20</f>
        <v>208394650.23646575</v>
      </c>
    </row>
    <row r="22" spans="1:4" x14ac:dyDescent="0.25">
      <c r="A22" s="106" t="s">
        <v>567</v>
      </c>
      <c r="B22" s="44">
        <f>B20</f>
        <v>116199931.14853242</v>
      </c>
      <c r="C22" s="44">
        <f>B22+C20</f>
        <v>208394650.23646575</v>
      </c>
      <c r="D22" s="44"/>
    </row>
    <row r="23" spans="1:4" x14ac:dyDescent="0.25">
      <c r="A23" s="106" t="s">
        <v>568</v>
      </c>
      <c r="B23" s="44"/>
      <c r="C23" s="44"/>
      <c r="D23" s="44">
        <v>250000000</v>
      </c>
    </row>
    <row r="24" spans="1:4" x14ac:dyDescent="0.25">
      <c r="A24" s="43" t="s">
        <v>569</v>
      </c>
      <c r="B24" s="44">
        <f>$D$23-B22</f>
        <v>133800068.85146758</v>
      </c>
      <c r="C24" s="44">
        <f>$D$23-C22</f>
        <v>41605349.763534248</v>
      </c>
      <c r="D24" s="44">
        <f>D23-D20</f>
        <v>41605349.763534248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356</v>
      </c>
      <c r="B15" s="8">
        <f>ROUND(0.29%*12*SUMIFS(Штат!$H$5:$H$36,Штат!$E$5:$E$36,"штат",Штат!$F$5:$F$36,"новая"),-3)</f>
        <v>713000</v>
      </c>
      <c r="C15" t="s">
        <v>387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304</v>
      </c>
    </row>
    <row r="33" spans="1:3" ht="15" customHeight="1" x14ac:dyDescent="0.25">
      <c r="A33" t="s">
        <v>60</v>
      </c>
      <c r="B33" s="8">
        <v>1</v>
      </c>
      <c r="C33" t="s">
        <v>221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328</v>
      </c>
    </row>
    <row r="38" spans="1:3" ht="15" customHeight="1" x14ac:dyDescent="0.25">
      <c r="A38" t="s">
        <v>329</v>
      </c>
    </row>
    <row r="41" spans="1:3" s="7" customFormat="1" x14ac:dyDescent="0.25">
      <c r="A41" s="7" t="s">
        <v>301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302</v>
      </c>
    </row>
    <row r="43" spans="1:3" x14ac:dyDescent="0.25">
      <c r="A43" t="s">
        <v>159</v>
      </c>
      <c r="B43" s="5">
        <v>13500</v>
      </c>
      <c r="C43" t="s">
        <v>299</v>
      </c>
    </row>
    <row r="44" spans="1:3" x14ac:dyDescent="0.25">
      <c r="A44" t="s">
        <v>210</v>
      </c>
      <c r="B44" s="5">
        <f>743*309.7</f>
        <v>230107.1</v>
      </c>
      <c r="C44" t="s">
        <v>303</v>
      </c>
    </row>
    <row r="45" spans="1:3" x14ac:dyDescent="0.25">
      <c r="A45" t="s">
        <v>160</v>
      </c>
      <c r="B45" s="5">
        <v>1</v>
      </c>
      <c r="C45" t="s">
        <v>538</v>
      </c>
    </row>
    <row r="46" spans="1:3" x14ac:dyDescent="0.25">
      <c r="A46" t="s">
        <v>161</v>
      </c>
      <c r="B46" s="5">
        <v>40000</v>
      </c>
      <c r="C46" t="s">
        <v>300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f>11/31+2</f>
        <v>2.3548387096774195</v>
      </c>
      <c r="C49" t="s">
        <v>219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220</v>
      </c>
      <c r="B52" s="15">
        <v>2</v>
      </c>
      <c r="C52" t="s">
        <v>390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271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315</v>
      </c>
      <c r="J4" s="3" t="s">
        <v>73</v>
      </c>
      <c r="K4" s="3" t="s">
        <v>74</v>
      </c>
      <c r="L4" s="3" t="s">
        <v>391</v>
      </c>
      <c r="M4" s="3" t="s">
        <v>76</v>
      </c>
      <c r="N4" s="3" t="s">
        <v>357</v>
      </c>
      <c r="O4" s="3" t="s">
        <v>77</v>
      </c>
      <c r="P4" s="3" t="s">
        <v>316</v>
      </c>
      <c r="Q4" s="88" t="s">
        <v>488</v>
      </c>
    </row>
    <row r="5" spans="1:17" ht="90" x14ac:dyDescent="0.25">
      <c r="A5" s="16">
        <v>1</v>
      </c>
      <c r="B5" s="16" t="s">
        <v>263</v>
      </c>
      <c r="C5" s="17" t="s">
        <v>264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3</v>
      </c>
      <c r="M5" s="18">
        <f t="shared" ref="M5:M36" si="3">K5*L5</f>
        <v>5454690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5454690</v>
      </c>
      <c r="P5" s="17" t="s">
        <v>458</v>
      </c>
      <c r="Q5" s="89"/>
    </row>
    <row r="6" spans="1:17" ht="60" x14ac:dyDescent="0.25">
      <c r="A6" s="16">
        <v>2</v>
      </c>
      <c r="B6" s="16" t="s">
        <v>263</v>
      </c>
      <c r="C6" s="17" t="s">
        <v>454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455</v>
      </c>
      <c r="Q6" s="89"/>
    </row>
    <row r="7" spans="1:17" ht="90" x14ac:dyDescent="0.25">
      <c r="A7" s="16">
        <v>3</v>
      </c>
      <c r="B7" s="16" t="s">
        <v>263</v>
      </c>
      <c r="C7" s="17" t="s">
        <v>255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361</v>
      </c>
      <c r="Q7" s="89"/>
    </row>
    <row r="8" spans="1:17" ht="90" x14ac:dyDescent="0.25">
      <c r="A8" s="16">
        <v>4</v>
      </c>
      <c r="B8" s="16" t="s">
        <v>207</v>
      </c>
      <c r="C8" s="17" t="s">
        <v>363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364</v>
      </c>
      <c r="Q8" s="89">
        <v>1</v>
      </c>
    </row>
    <row r="9" spans="1:17" ht="45" x14ac:dyDescent="0.25">
      <c r="A9" s="16">
        <v>6</v>
      </c>
      <c r="B9" s="16" t="s">
        <v>236</v>
      </c>
      <c r="C9" s="17" t="s">
        <v>237</v>
      </c>
      <c r="D9" s="17" t="s">
        <v>487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375</v>
      </c>
      <c r="Q9" s="89"/>
    </row>
    <row r="10" spans="1:17" ht="60" x14ac:dyDescent="0.25">
      <c r="A10" s="16">
        <v>6</v>
      </c>
      <c r="B10" s="16" t="s">
        <v>236</v>
      </c>
      <c r="C10" s="17" t="s">
        <v>376</v>
      </c>
      <c r="D10" s="17" t="s">
        <v>239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377</v>
      </c>
      <c r="Q10" s="89">
        <v>1</v>
      </c>
    </row>
    <row r="11" spans="1:17" ht="30" x14ac:dyDescent="0.25">
      <c r="A11" s="20">
        <v>6</v>
      </c>
      <c r="B11" s="20" t="s">
        <v>236</v>
      </c>
      <c r="C11" s="21" t="s">
        <v>378</v>
      </c>
      <c r="D11" s="21" t="s">
        <v>239</v>
      </c>
      <c r="E11" s="20" t="s">
        <v>245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379</v>
      </c>
      <c r="Q11" s="89"/>
    </row>
    <row r="12" spans="1:17" ht="30" x14ac:dyDescent="0.25">
      <c r="A12" s="16">
        <v>6</v>
      </c>
      <c r="B12" s="16" t="s">
        <v>236</v>
      </c>
      <c r="C12" s="17" t="s">
        <v>238</v>
      </c>
      <c r="D12" s="17" t="s">
        <v>239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320</v>
      </c>
      <c r="Q12" s="89"/>
    </row>
    <row r="13" spans="1:17" ht="30" x14ac:dyDescent="0.25">
      <c r="A13" s="16">
        <v>14</v>
      </c>
      <c r="B13" s="16" t="s">
        <v>240</v>
      </c>
      <c r="C13" s="17" t="s">
        <v>265</v>
      </c>
      <c r="D13" s="17" t="s">
        <v>242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266</v>
      </c>
      <c r="Q13" s="89"/>
    </row>
    <row r="14" spans="1:17" ht="60" x14ac:dyDescent="0.25">
      <c r="A14" s="16">
        <v>15</v>
      </c>
      <c r="B14" s="16" t="s">
        <v>240</v>
      </c>
      <c r="C14" s="17" t="s">
        <v>241</v>
      </c>
      <c r="D14" s="17" t="s">
        <v>242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365</v>
      </c>
      <c r="Q14" s="89">
        <v>1</v>
      </c>
    </row>
    <row r="15" spans="1:17" ht="75" x14ac:dyDescent="0.25">
      <c r="A15" s="16">
        <v>17</v>
      </c>
      <c r="B15" s="16" t="s">
        <v>240</v>
      </c>
      <c r="C15" s="17" t="s">
        <v>241</v>
      </c>
      <c r="D15" s="17" t="s">
        <v>242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366</v>
      </c>
      <c r="Q15" s="89">
        <v>1</v>
      </c>
    </row>
    <row r="16" spans="1:17" ht="60" x14ac:dyDescent="0.25">
      <c r="A16" s="16">
        <v>18</v>
      </c>
      <c r="B16" s="16" t="s">
        <v>240</v>
      </c>
      <c r="C16" s="17" t="s">
        <v>243</v>
      </c>
      <c r="D16" s="17" t="s">
        <v>242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367</v>
      </c>
      <c r="Q16" s="89">
        <v>1</v>
      </c>
    </row>
    <row r="17" spans="1:17" ht="30" x14ac:dyDescent="0.25">
      <c r="A17" s="16">
        <v>19</v>
      </c>
      <c r="B17" s="16" t="s">
        <v>240</v>
      </c>
      <c r="C17" s="17" t="s">
        <v>241</v>
      </c>
      <c r="D17" s="17" t="s">
        <v>242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463</v>
      </c>
      <c r="Q17" s="89"/>
    </row>
    <row r="18" spans="1:17" ht="30" x14ac:dyDescent="0.25">
      <c r="A18" s="16">
        <v>19</v>
      </c>
      <c r="B18" s="16" t="s">
        <v>240</v>
      </c>
      <c r="C18" s="17" t="s">
        <v>243</v>
      </c>
      <c r="D18" s="17" t="s">
        <v>242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464</v>
      </c>
      <c r="Q18" s="89"/>
    </row>
    <row r="19" spans="1:17" ht="30" x14ac:dyDescent="0.25">
      <c r="A19" s="16">
        <v>19</v>
      </c>
      <c r="B19" s="16" t="s">
        <v>240</v>
      </c>
      <c r="C19" s="17" t="s">
        <v>243</v>
      </c>
      <c r="D19" s="17" t="s">
        <v>242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374</v>
      </c>
      <c r="Q19" s="89"/>
    </row>
    <row r="20" spans="1:17" ht="75" x14ac:dyDescent="0.25">
      <c r="A20" s="16">
        <v>23</v>
      </c>
      <c r="B20" s="16" t="s">
        <v>244</v>
      </c>
      <c r="C20" s="17" t="s">
        <v>237</v>
      </c>
      <c r="D20" s="17" t="s">
        <v>487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368</v>
      </c>
      <c r="Q20" s="89">
        <v>1</v>
      </c>
    </row>
    <row r="21" spans="1:17" ht="30" x14ac:dyDescent="0.25">
      <c r="A21" s="20">
        <v>24</v>
      </c>
      <c r="B21" s="20" t="s">
        <v>244</v>
      </c>
      <c r="C21" s="21" t="s">
        <v>267</v>
      </c>
      <c r="D21" s="21" t="s">
        <v>239</v>
      </c>
      <c r="E21" s="20" t="s">
        <v>245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291</v>
      </c>
      <c r="Q21" s="89"/>
    </row>
    <row r="22" spans="1:17" ht="45" x14ac:dyDescent="0.25">
      <c r="A22" s="16">
        <v>25</v>
      </c>
      <c r="B22" s="16" t="s">
        <v>246</v>
      </c>
      <c r="C22" s="17" t="s">
        <v>247</v>
      </c>
      <c r="D22" s="17" t="s">
        <v>487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370</v>
      </c>
      <c r="Q22" s="89"/>
    </row>
    <row r="23" spans="1:17" ht="45" x14ac:dyDescent="0.25">
      <c r="A23" s="16">
        <v>26</v>
      </c>
      <c r="B23" s="16" t="s">
        <v>246</v>
      </c>
      <c r="C23" s="17" t="s">
        <v>248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369</v>
      </c>
      <c r="Q23" s="89">
        <v>1</v>
      </c>
    </row>
    <row r="24" spans="1:17" x14ac:dyDescent="0.25">
      <c r="A24" s="20">
        <v>27</v>
      </c>
      <c r="B24" s="20" t="s">
        <v>246</v>
      </c>
      <c r="C24" s="21" t="s">
        <v>252</v>
      </c>
      <c r="D24" s="21" t="s">
        <v>208</v>
      </c>
      <c r="E24" s="20" t="s">
        <v>245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292</v>
      </c>
      <c r="Q24" s="89"/>
    </row>
    <row r="25" spans="1:17" x14ac:dyDescent="0.25">
      <c r="A25" s="20">
        <v>28</v>
      </c>
      <c r="B25" s="20" t="s">
        <v>246</v>
      </c>
      <c r="C25" s="21" t="s">
        <v>253</v>
      </c>
      <c r="D25" s="21" t="s">
        <v>208</v>
      </c>
      <c r="E25" s="20" t="s">
        <v>245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293</v>
      </c>
      <c r="Q25" s="89"/>
    </row>
    <row r="26" spans="1:17" x14ac:dyDescent="0.25">
      <c r="A26" s="16">
        <v>29</v>
      </c>
      <c r="B26" s="16" t="s">
        <v>246</v>
      </c>
      <c r="C26" s="17" t="s">
        <v>372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373</v>
      </c>
      <c r="Q26" s="89">
        <v>1</v>
      </c>
    </row>
    <row r="27" spans="1:17" x14ac:dyDescent="0.25">
      <c r="A27" s="16">
        <v>30</v>
      </c>
      <c r="B27" s="16" t="s">
        <v>246</v>
      </c>
      <c r="C27" s="17" t="s">
        <v>249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371</v>
      </c>
      <c r="Q27" s="89"/>
    </row>
    <row r="28" spans="1:17" x14ac:dyDescent="0.25">
      <c r="A28" s="16">
        <v>31</v>
      </c>
      <c r="B28" s="16" t="s">
        <v>246</v>
      </c>
      <c r="C28" s="17" t="s">
        <v>250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251</v>
      </c>
      <c r="Q28" s="89"/>
    </row>
    <row r="29" spans="1:17" ht="30" x14ac:dyDescent="0.25">
      <c r="A29" s="20">
        <v>32</v>
      </c>
      <c r="B29" s="20" t="s">
        <v>246</v>
      </c>
      <c r="C29" s="21" t="s">
        <v>254</v>
      </c>
      <c r="D29" s="21" t="s">
        <v>208</v>
      </c>
      <c r="E29" s="20" t="s">
        <v>245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294</v>
      </c>
      <c r="Q29" s="89"/>
    </row>
    <row r="30" spans="1:17" ht="75" x14ac:dyDescent="0.25">
      <c r="A30" s="16">
        <v>33</v>
      </c>
      <c r="B30" s="16" t="s">
        <v>268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321</v>
      </c>
      <c r="Q30" s="89"/>
    </row>
    <row r="31" spans="1:17" ht="30" x14ac:dyDescent="0.25">
      <c r="A31" s="16">
        <v>34</v>
      </c>
      <c r="B31" s="16" t="s">
        <v>268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362</v>
      </c>
      <c r="C32" s="17" t="s">
        <v>461</v>
      </c>
      <c r="D32" s="17" t="s">
        <v>457</v>
      </c>
      <c r="E32" s="16" t="s">
        <v>79</v>
      </c>
      <c r="F32" s="16" t="s">
        <v>82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360</v>
      </c>
      <c r="Q32" s="89"/>
    </row>
    <row r="33" spans="1:17" s="79" customFormat="1" ht="45" x14ac:dyDescent="0.25">
      <c r="A33" s="16">
        <v>35</v>
      </c>
      <c r="B33" s="16" t="s">
        <v>362</v>
      </c>
      <c r="C33" s="17" t="s">
        <v>462</v>
      </c>
      <c r="D33" s="17" t="s">
        <v>457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459</v>
      </c>
      <c r="Q33" s="89"/>
    </row>
    <row r="34" spans="1:17" s="79" customFormat="1" ht="45" x14ac:dyDescent="0.25">
      <c r="A34" s="16">
        <v>35</v>
      </c>
      <c r="B34" s="16" t="s">
        <v>362</v>
      </c>
      <c r="C34" s="17" t="s">
        <v>462</v>
      </c>
      <c r="D34" s="17" t="s">
        <v>457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460</v>
      </c>
      <c r="Q34" s="89"/>
    </row>
    <row r="35" spans="1:17" ht="30" x14ac:dyDescent="0.25">
      <c r="A35" s="20">
        <v>36</v>
      </c>
      <c r="B35" s="20" t="s">
        <v>268</v>
      </c>
      <c r="C35" s="21" t="s">
        <v>269</v>
      </c>
      <c r="D35" s="21" t="s">
        <v>206</v>
      </c>
      <c r="E35" s="20" t="s">
        <v>245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295</v>
      </c>
      <c r="Q35" s="89"/>
    </row>
    <row r="36" spans="1:17" ht="30" x14ac:dyDescent="0.25">
      <c r="A36" s="20">
        <v>37</v>
      </c>
      <c r="B36" s="20" t="s">
        <v>268</v>
      </c>
      <c r="C36" s="21" t="s">
        <v>270</v>
      </c>
      <c r="D36" s="21" t="s">
        <v>206</v>
      </c>
      <c r="E36" s="20" t="s">
        <v>245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296</v>
      </c>
      <c r="Q36" s="89"/>
    </row>
    <row r="37" spans="1:17" x14ac:dyDescent="0.25">
      <c r="A37" s="7"/>
      <c r="B37" s="7"/>
      <c r="C37" s="7" t="s">
        <v>317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59188510</v>
      </c>
      <c r="N37" s="6">
        <f t="shared" ref="N37:O37" si="37">SUM(N5:N36)</f>
        <v>611142.85714285716</v>
      </c>
      <c r="O37" s="6">
        <f t="shared" si="37"/>
        <v>59799652.857142851</v>
      </c>
      <c r="P37" s="7"/>
    </row>
    <row r="38" spans="1:17" x14ac:dyDescent="0.25">
      <c r="C38" t="s">
        <v>318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319</v>
      </c>
      <c r="G39">
        <f>G37-G38</f>
        <v>7</v>
      </c>
      <c r="H39" s="5">
        <f>H37-H38</f>
        <v>8100000</v>
      </c>
    </row>
    <row r="41" spans="1:17" x14ac:dyDescent="0.25">
      <c r="C41" s="7" t="s">
        <v>483</v>
      </c>
    </row>
    <row r="42" spans="1:17" x14ac:dyDescent="0.25">
      <c r="C42" t="s">
        <v>489</v>
      </c>
      <c r="H42" s="5">
        <f>SUMPRODUCT(Q5:Q36,H5:H36)</f>
        <v>8400000</v>
      </c>
    </row>
    <row r="43" spans="1:17" x14ac:dyDescent="0.25">
      <c r="C43" t="s">
        <v>484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485</v>
      </c>
      <c r="H44" s="6">
        <f>H42+H43</f>
        <v>9389520</v>
      </c>
    </row>
    <row r="45" spans="1:17" x14ac:dyDescent="0.25">
      <c r="C45" t="s">
        <v>486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322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274</v>
      </c>
      <c r="E3" s="25" t="s">
        <v>275</v>
      </c>
      <c r="F3" s="103" t="s">
        <v>520</v>
      </c>
      <c r="G3" s="103" t="s">
        <v>521</v>
      </c>
      <c r="H3" s="25" t="s">
        <v>276</v>
      </c>
      <c r="I3" s="25" t="s">
        <v>277</v>
      </c>
      <c r="J3" s="25" t="s">
        <v>315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527</v>
      </c>
      <c r="C4" s="27" t="s">
        <v>206</v>
      </c>
      <c r="D4" s="27" t="s">
        <v>278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456</v>
      </c>
      <c r="C5" s="27" t="s">
        <v>206</v>
      </c>
      <c r="D5" s="27" t="s">
        <v>279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280</v>
      </c>
      <c r="C6" s="27" t="s">
        <v>281</v>
      </c>
      <c r="D6" s="27" t="s">
        <v>282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283</v>
      </c>
      <c r="C7" s="27" t="s">
        <v>284</v>
      </c>
      <c r="D7" s="27" t="s">
        <v>285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286</v>
      </c>
      <c r="C8" s="27" t="s">
        <v>284</v>
      </c>
      <c r="D8" s="27" t="s">
        <v>287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380</v>
      </c>
      <c r="C9" s="27" t="s">
        <v>381</v>
      </c>
      <c r="D9" s="27" t="s">
        <v>382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288</v>
      </c>
      <c r="C10" s="27" t="s">
        <v>284</v>
      </c>
      <c r="D10" s="27" t="s">
        <v>289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290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528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496</v>
      </c>
    </row>
    <row r="2" spans="1:7" ht="44.1" customHeight="1" x14ac:dyDescent="0.25">
      <c r="A2" s="4" t="s">
        <v>497</v>
      </c>
      <c r="B2" s="4"/>
      <c r="C2" s="4"/>
      <c r="D2" s="4"/>
      <c r="E2" s="4"/>
      <c r="F2" s="4"/>
      <c r="G2" s="4"/>
    </row>
    <row r="4" spans="1:7" x14ac:dyDescent="0.25">
      <c r="A4" t="s">
        <v>498</v>
      </c>
      <c r="B4" s="93">
        <v>0.1</v>
      </c>
      <c r="C4" t="s">
        <v>499</v>
      </c>
    </row>
    <row r="5" spans="1:7" x14ac:dyDescent="0.25">
      <c r="A5" t="s">
        <v>500</v>
      </c>
      <c r="B5" s="94">
        <f>Ставка_ОПВР+Ставка_ООСМС+Ставка_СН*(1-Ставка_ОПВ-Ставка_ВОСМС)</f>
        <v>0.1178</v>
      </c>
      <c r="C5" t="s">
        <v>501</v>
      </c>
    </row>
    <row r="7" spans="1:7" ht="45.95" customHeight="1" x14ac:dyDescent="0.25">
      <c r="A7" s="95" t="s">
        <v>502</v>
      </c>
      <c r="B7" s="95" t="s">
        <v>503</v>
      </c>
      <c r="C7" s="95" t="s">
        <v>504</v>
      </c>
      <c r="D7" s="95" t="s">
        <v>505</v>
      </c>
      <c r="E7" s="95" t="s">
        <v>506</v>
      </c>
      <c r="F7" s="95" t="s">
        <v>507</v>
      </c>
      <c r="G7" s="95" t="s">
        <v>508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509</v>
      </c>
    </row>
    <row r="14" spans="1:7" x14ac:dyDescent="0.25">
      <c r="A14" s="98" t="s">
        <v>510</v>
      </c>
      <c r="B14" s="97">
        <f>$B$4*(1+$B$5)</f>
        <v>0.11177999999999999</v>
      </c>
      <c r="C14" s="98" t="s">
        <v>511</v>
      </c>
    </row>
    <row r="15" spans="1:7" x14ac:dyDescent="0.25">
      <c r="A15" s="98" t="s">
        <v>512</v>
      </c>
      <c r="B15" s="97">
        <f>$B$4*(1+$B$5)*(1+НДС)</f>
        <v>0.12966479999999997</v>
      </c>
      <c r="C15" s="98" t="s">
        <v>513</v>
      </c>
    </row>
    <row r="17" spans="1:3" x14ac:dyDescent="0.25">
      <c r="A17" s="7" t="s">
        <v>514</v>
      </c>
    </row>
    <row r="18" spans="1:3" ht="32.1" customHeight="1" x14ac:dyDescent="0.25">
      <c r="A18" s="99" t="s">
        <v>522</v>
      </c>
      <c r="B18" s="99"/>
      <c r="C18" s="99"/>
    </row>
    <row r="19" spans="1:3" x14ac:dyDescent="0.25">
      <c r="A19" s="98" t="s">
        <v>523</v>
      </c>
      <c r="B19" s="96">
        <f>Аутсорс!E11</f>
        <v>5393100</v>
      </c>
      <c r="C19" s="96"/>
    </row>
    <row r="20" spans="1:3" x14ac:dyDescent="0.25">
      <c r="A20" s="98" t="s">
        <v>524</v>
      </c>
      <c r="B20" s="96">
        <f>Аутсорс!F11</f>
        <v>539310</v>
      </c>
      <c r="C20" s="96"/>
    </row>
    <row r="21" spans="1:3" x14ac:dyDescent="0.25">
      <c r="A21" s="100" t="s">
        <v>515</v>
      </c>
      <c r="B21" s="101">
        <f>Аутсорс!F11*2</f>
        <v>1078620</v>
      </c>
      <c r="C21" s="101"/>
    </row>
    <row r="22" spans="1:3" x14ac:dyDescent="0.25">
      <c r="A22" s="100" t="s">
        <v>516</v>
      </c>
      <c r="B22" s="101">
        <f>B21*(1+НДС)</f>
        <v>1251199.2</v>
      </c>
      <c r="C22" s="101"/>
    </row>
    <row r="23" spans="1:3" x14ac:dyDescent="0.25">
      <c r="A23" s="98" t="s">
        <v>525</v>
      </c>
      <c r="B23" s="96">
        <f>Аутсорс!L11</f>
        <v>13763192</v>
      </c>
      <c r="C23" s="96"/>
    </row>
    <row r="25" spans="1:3" x14ac:dyDescent="0.25">
      <c r="A25" t="s">
        <v>526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314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394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383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465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272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384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2" width="13.7109375" customWidth="1"/>
  </cols>
  <sheetData>
    <row r="1" spans="1:12" ht="15.75" customHeight="1" x14ac:dyDescent="0.3">
      <c r="A1" s="1" t="s">
        <v>323</v>
      </c>
    </row>
    <row r="2" spans="1:12" ht="15" customHeight="1" x14ac:dyDescent="0.25">
      <c r="A2" s="2" t="s">
        <v>324</v>
      </c>
    </row>
    <row r="4" spans="1:12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325</v>
      </c>
      <c r="H4" s="3" t="s">
        <v>96</v>
      </c>
      <c r="I4" s="3" t="s">
        <v>90</v>
      </c>
      <c r="J4" s="3" t="s">
        <v>563</v>
      </c>
      <c r="K4" s="3" t="s">
        <v>564</v>
      </c>
      <c r="L4" s="3" t="s">
        <v>565</v>
      </c>
    </row>
    <row r="5" spans="1:12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385</v>
      </c>
      <c r="I5" s="5">
        <f t="shared" ref="I5:I57" si="0">IF(F5="разово",IF(G5&lt;=3,D5*E5,0),IF(F5="мес",D5*E5*MAX(0,4-G5),D5*E5*MAX(0,4-G5)/12))</f>
        <v>1800000</v>
      </c>
      <c r="J5" s="5">
        <f>IF($F5="разово",IF($L5=12,0,$I5),IF($F5="мес",$D5*$E5*(($G5&lt;=1)+($G5&lt;=2)),IF($F5="год",$D5*$E5/12*(($G5&lt;=1)+($G5&lt;=2)),$I5/2)))</f>
        <v>1800000</v>
      </c>
      <c r="K5" s="5">
        <f>IF($F5="разово",IF($L5=12,$I5,0),IF($F5="мес",$D5*$E5*($G5&lt;=3),IF($F5="год",$D5*$E5/12*($G5&lt;=3),$I5/2)))</f>
        <v>0</v>
      </c>
      <c r="L5" s="89">
        <v>11</v>
      </c>
    </row>
    <row r="6" spans="1:12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308</v>
      </c>
      <c r="I6" s="5">
        <f t="shared" si="0"/>
        <v>900000</v>
      </c>
      <c r="J6" s="5">
        <f>IF($F6="разово",IF($L6=12,0,$I6),IF($F6="мес",$D6*$E6*(($G6&lt;=1)+($G6&lt;=2)),IF($F6="год",$D6*$E6/12*(($G6&lt;=1)+($G6&lt;=2)),$I6/2)))</f>
        <v>900000</v>
      </c>
      <c r="K6" s="5">
        <f>IF($F6="разово",IF($L6=12,$I6,0),IF($F6="мес",$D6*$E6*($G6&lt;=3),IF($F6="год",$D6*$E6/12*($G6&lt;=3),$I6/2)))</f>
        <v>0</v>
      </c>
      <c r="L6" s="89">
        <v>11</v>
      </c>
    </row>
    <row r="7" spans="1:12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529</v>
      </c>
      <c r="I7" s="5">
        <f t="shared" si="0"/>
        <v>500000</v>
      </c>
      <c r="J7" s="5">
        <f>IF($F7="разово",IF($L7=12,0,$I7),IF($F7="мес",$D7*$E7*(($G7&lt;=1)+($G7&lt;=2)),IF($F7="год",$D7*$E7/12*(($G7&lt;=1)+($G7&lt;=2)),$I7/2)))</f>
        <v>500000</v>
      </c>
      <c r="K7" s="5">
        <f>IF($F7="разово",IF($L7=12,$I7,0),IF($F7="мес",$D7*$E7*($G7&lt;=3),IF($F7="год",$D7*$E7/12*($G7&lt;=3),$I7/2)))</f>
        <v>0</v>
      </c>
      <c r="L7" s="89">
        <v>11</v>
      </c>
    </row>
    <row r="8" spans="1:12" ht="27.75" customHeight="1" x14ac:dyDescent="0.25">
      <c r="A8" t="s">
        <v>97</v>
      </c>
      <c r="B8" s="4" t="s">
        <v>467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468</v>
      </c>
      <c r="I8" s="5">
        <f t="shared" si="0"/>
        <v>1394160</v>
      </c>
      <c r="J8" s="5">
        <f>IF($F8="разово",IF($L8=12,0,$I8),IF($F8="мес",$D8*$E8*(($G8&lt;=1)+($G8&lt;=2)),IF($F8="год",$D8*$E8/12*(($G8&lt;=1)+($G8&lt;=2)),$I8/2)))</f>
        <v>1394160</v>
      </c>
      <c r="K8" s="5">
        <f>IF($F8="разово",IF($L8=12,$I8,0),IF($F8="мес",$D8*$E8*($G8&lt;=3),IF($F8="год",$D8*$E8/12*($G8&lt;=3),$I8/2)))</f>
        <v>0</v>
      </c>
      <c r="L8" s="89">
        <v>11</v>
      </c>
    </row>
    <row r="9" spans="1:12" s="80" customFormat="1" ht="27.75" customHeight="1" x14ac:dyDescent="0.25">
      <c r="A9" s="80" t="s">
        <v>97</v>
      </c>
      <c r="B9" s="4" t="s">
        <v>469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470</v>
      </c>
      <c r="I9" s="5">
        <f t="shared" ref="I9" si="1">IF(F9="разово",IF(G9&lt;=3,D9*E9,0),IF(F9="мес",D9*E9*MAX(0,4-G9),D9*E9*MAX(0,4-G9)/12))</f>
        <v>383500</v>
      </c>
      <c r="J9" s="5">
        <f>IF($F9="разово",IF($L9=12,0,$I9),IF($F9="мес",$D9*$E9*(($G9&lt;=1)+($G9&lt;=2)),IF($F9="год",$D9*$E9/12*(($G9&lt;=1)+($G9&lt;=2)),$I9/2)))</f>
        <v>383500</v>
      </c>
      <c r="K9" s="5">
        <f>IF($F9="разово",IF($L9=12,$I9,0),IF($F9="мес",$D9*$E9*($G9&lt;=3),IF($F9="год",$D9*$E9/12*($G9&lt;=3),$I9/2)))</f>
        <v>0</v>
      </c>
      <c r="L9" s="89">
        <v>11</v>
      </c>
    </row>
    <row r="10" spans="1:12" s="81" customFormat="1" ht="27.75" customHeight="1" x14ac:dyDescent="0.25">
      <c r="A10" s="81" t="s">
        <v>97</v>
      </c>
      <c r="B10" s="4" t="s">
        <v>471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539</v>
      </c>
      <c r="I10" s="5">
        <f t="shared" ref="I10" si="2">IF(F10="разово",IF(G10&lt;=3,D10*E10,0),IF(F10="мес",D10*E10*MAX(0,4-G10),D10*E10*MAX(0,4-G10)/12))</f>
        <v>244484</v>
      </c>
      <c r="J10" s="5">
        <f>IF($F10="разово",IF($L10=12,0,$I10),IF($F10="мес",$D10*$E10*(($G10&lt;=1)+($G10&lt;=2)),IF($F10="год",$D10*$E10/12*(($G10&lt;=1)+($G10&lt;=2)),$I10/2)))</f>
        <v>244484</v>
      </c>
      <c r="K10" s="5">
        <f>IF($F10="разово",IF($L10=12,$I10,0),IF($F10="мес",$D10*$E10*($G10&lt;=3),IF($F10="год",$D10*$E10/12*($G10&lt;=3),$I10/2)))</f>
        <v>0</v>
      </c>
      <c r="L10" s="89">
        <v>11</v>
      </c>
    </row>
    <row r="11" spans="1:12" s="82" customFormat="1" ht="27.75" customHeight="1" x14ac:dyDescent="0.25">
      <c r="A11" s="82" t="s">
        <v>97</v>
      </c>
      <c r="B11" s="4" t="s">
        <v>472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540</v>
      </c>
      <c r="I11" s="5">
        <f t="shared" ref="I11" si="3">IF(F11="разово",IF(G11&lt;=3,D11*E11,0),IF(F11="мес",D11*E11*MAX(0,4-G11),D11*E11*MAX(0,4-G11)/12))</f>
        <v>98672</v>
      </c>
      <c r="J11" s="5">
        <f>IF($F11="разово",IF($L11=12,0,$I11),IF($F11="мес",$D11*$E11*(($G11&lt;=1)+($G11&lt;=2)),IF($F11="год",$D11*$E11/12*(($G11&lt;=1)+($G11&lt;=2)),$I11/2)))</f>
        <v>98672</v>
      </c>
      <c r="K11" s="5">
        <f>IF($F11="разово",IF($L11=12,$I11,0),IF($F11="мес",$D11*$E11*($G11&lt;=3),IF($F11="год",$D11*$E11/12*($G11&lt;=3),$I11/2)))</f>
        <v>0</v>
      </c>
      <c r="L11" s="89">
        <v>11</v>
      </c>
    </row>
    <row r="12" spans="1:12" ht="15" customHeight="1" x14ac:dyDescent="0.25">
      <c r="A12" t="s">
        <v>97</v>
      </c>
      <c r="B12" s="4" t="s">
        <v>473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541</v>
      </c>
      <c r="I12" s="5">
        <f t="shared" si="0"/>
        <v>0</v>
      </c>
      <c r="J12" s="5">
        <f>IF($F12="разово",IF($L12=12,0,$I12),IF($F12="мес",$D12*$E12*(($G12&lt;=1)+($G12&lt;=2)),IF($F12="год",$D12*$E12/12*(($G12&lt;=1)+($G12&lt;=2)),$I12/2)))</f>
        <v>0</v>
      </c>
      <c r="K12" s="5">
        <f>IF($F12="разово",IF($L12=12,$I12,0),IF($F12="мес",$D12*$E12*($G12&lt;=3),IF($F12="год",$D12*$E12/12*($G12&lt;=3),$I12/2)))</f>
        <v>0</v>
      </c>
      <c r="L12" s="89">
        <v>11</v>
      </c>
    </row>
    <row r="13" spans="1:12" s="83" customFormat="1" ht="15" customHeight="1" x14ac:dyDescent="0.25">
      <c r="A13" s="84" t="s">
        <v>97</v>
      </c>
      <c r="B13" s="4" t="s">
        <v>531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542</v>
      </c>
      <c r="I13" s="5">
        <f>IF(F13="разово",IF(G13&lt;=3,D13*E13,0),IF(F13="мес",D13*E13*MAX(0,4-G13),D13*E13*MAX(0,4-G13)/12))</f>
        <v>39569</v>
      </c>
      <c r="J13" s="5">
        <f>IF($F13="разово",IF($L13=12,0,$I13),IF($F13="мес",$D13*$E13*(($G13&lt;=1)+($G13&lt;=2)),IF($F13="год",$D13*$E13/12*(($G13&lt;=1)+($G13&lt;=2)),$I13/2)))</f>
        <v>39569</v>
      </c>
      <c r="K13" s="5">
        <f>IF($F13="разово",IF($L13=12,$I13,0),IF($F13="мес",$D13*$E13*($G13&lt;=3),IF($F13="год",$D13*$E13/12*($G13&lt;=3),$I13/2)))</f>
        <v>0</v>
      </c>
      <c r="L13" s="89">
        <v>11</v>
      </c>
    </row>
    <row r="14" spans="1:12" s="83" customFormat="1" ht="15" customHeight="1" x14ac:dyDescent="0.25">
      <c r="A14" s="84" t="s">
        <v>97</v>
      </c>
      <c r="B14" s="4" t="s">
        <v>491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543</v>
      </c>
      <c r="I14" s="5">
        <f>IF(F14="разово",IF(G14&lt;=3,D14*E14,0),IF(F14="мес",D14*E14*MAX(0,4-G14),D14*E14*MAX(0,4-G14)/12))</f>
        <v>0</v>
      </c>
      <c r="J14" s="5">
        <f>IF($F14="разово",IF($L14=12,0,$I14),IF($F14="мес",$D14*$E14*(($G14&lt;=1)+($G14&lt;=2)),IF($F14="год",$D14*$E14/12*(($G14&lt;=1)+($G14&lt;=2)),$I14/2)))</f>
        <v>0</v>
      </c>
      <c r="K14" s="5">
        <f>IF($F14="разово",IF($L14=12,$I14,0),IF($F14="мес",$D14*$E14*($G14&lt;=3),IF($F14="год",$D14*$E14/12*($G14&lt;=3),$I14/2)))</f>
        <v>0</v>
      </c>
      <c r="L14" s="89">
        <v>11</v>
      </c>
    </row>
    <row r="15" spans="1:12" s="83" customFormat="1" ht="15" customHeight="1" x14ac:dyDescent="0.25">
      <c r="A15" s="83" t="s">
        <v>97</v>
      </c>
      <c r="B15" s="4" t="s">
        <v>492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544</v>
      </c>
      <c r="I15" s="5">
        <f t="shared" ref="I15" si="4">IF(F15="разово",IF(G15&lt;=3,D15*E15,0),IF(F15="мес",D15*E15*MAX(0,4-G15),D15*E15*MAX(0,4-G15)/12))</f>
        <v>0</v>
      </c>
      <c r="J15" s="5">
        <f>IF($F15="разово",IF($L15=12,0,$I15),IF($F15="мес",$D15*$E15*(($G15&lt;=1)+($G15&lt;=2)),IF($F15="год",$D15*$E15/12*(($G15&lt;=1)+($G15&lt;=2)),$I15/2)))</f>
        <v>0</v>
      </c>
      <c r="K15" s="5">
        <f>IF($F15="разово",IF($L15=12,$I15,0),IF($F15="мес",$D15*$E15*($G15&lt;=3),IF($F15="год",$D15*$E15/12*($G15&lt;=3),$I15/2)))</f>
        <v>0</v>
      </c>
      <c r="L15" s="89">
        <v>11</v>
      </c>
    </row>
    <row r="16" spans="1:12" s="92" customFormat="1" ht="15" customHeight="1" x14ac:dyDescent="0.25">
      <c r="A16" s="92" t="s">
        <v>97</v>
      </c>
      <c r="B16" s="4" t="s">
        <v>495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545</v>
      </c>
      <c r="I16" s="5">
        <f t="shared" ref="I16:I21" si="5">IF(F16="разово",IF(G16&lt;=3,D16*E16,0),IF(F16="мес",D16*E16*MAX(0,4-G16),D16*E16*MAX(0,4-G16)/12))</f>
        <v>38580</v>
      </c>
      <c r="J16" s="5">
        <f>IF($F16="разово",IF($L16=12,0,$I16),IF($F16="мес",$D16*$E16*(($G16&lt;=1)+($G16&lt;=2)),IF($F16="год",$D16*$E16/12*(($G16&lt;=1)+($G16&lt;=2)),$I16/2)))</f>
        <v>38580</v>
      </c>
      <c r="K16" s="5">
        <f>IF($F16="разово",IF($L16=12,$I16,0),IF($F16="мес",$D16*$E16*($G16&lt;=3),IF($F16="год",$D16*$E16/12*($G16&lt;=3),$I16/2)))</f>
        <v>0</v>
      </c>
      <c r="L16" s="89">
        <v>11</v>
      </c>
    </row>
    <row r="17" spans="1:12" s="87" customFormat="1" ht="15" customHeight="1" x14ac:dyDescent="0.25">
      <c r="A17" s="87" t="s">
        <v>97</v>
      </c>
      <c r="B17" s="4" t="s">
        <v>494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546</v>
      </c>
      <c r="I17" s="5">
        <f t="shared" si="5"/>
        <v>431032</v>
      </c>
      <c r="J17" s="5">
        <f>IF($F17="разово",IF($L17=12,0,$I17),IF($F17="мес",$D17*$E17*(($G17&lt;=1)+($G17&lt;=2)),IF($F17="год",$D17*$E17/12*(($G17&lt;=1)+($G17&lt;=2)),$I17/2)))</f>
        <v>431032</v>
      </c>
      <c r="K17" s="5">
        <f>IF($F17="разово",IF($L17=12,$I17,0),IF($F17="мес",$D17*$E17*($G17&lt;=3),IF($F17="год",$D17*$E17/12*($G17&lt;=3),$I17/2)))</f>
        <v>0</v>
      </c>
      <c r="L17" s="89">
        <v>11</v>
      </c>
    </row>
    <row r="18" spans="1:12" s="91" customFormat="1" ht="15" customHeight="1" x14ac:dyDescent="0.25">
      <c r="A18" s="91" t="s">
        <v>97</v>
      </c>
      <c r="B18" s="4" t="s">
        <v>530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547</v>
      </c>
      <c r="I18" s="5">
        <f t="shared" si="5"/>
        <v>456896</v>
      </c>
      <c r="J18" s="5">
        <f>IF($F18="разово",IF($L18=12,0,$I18),IF($F18="мес",$D18*$E18*(($G18&lt;=1)+($G18&lt;=2)),IF($F18="год",$D18*$E18/12*(($G18&lt;=1)+($G18&lt;=2)),$I18/2)))</f>
        <v>456896</v>
      </c>
      <c r="K18" s="5">
        <f>IF($F18="разово",IF($L18=12,$I18,0),IF($F18="мес",$D18*$E18*($G18&lt;=3),IF($F18="год",$D18*$E18/12*($G18&lt;=3),$I18/2)))</f>
        <v>0</v>
      </c>
      <c r="L18" s="89">
        <v>11</v>
      </c>
    </row>
    <row r="19" spans="1:12" s="85" customFormat="1" ht="15" customHeight="1" x14ac:dyDescent="0.25">
      <c r="A19" s="85" t="s">
        <v>97</v>
      </c>
      <c r="B19" s="4" t="s">
        <v>474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475</v>
      </c>
      <c r="I19" s="5">
        <f t="shared" si="5"/>
        <v>69582</v>
      </c>
      <c r="J19" s="5">
        <f>IF($F19="разово",IF($L19=12,0,$I19),IF($F19="мес",$D19*$E19*(($G19&lt;=1)+($G19&lt;=2)),IF($F19="год",$D19*$E19/12*(($G19&lt;=1)+($G19&lt;=2)),$I19/2)))</f>
        <v>69582</v>
      </c>
      <c r="K19" s="5">
        <f>IF($F19="разово",IF($L19=12,$I19,0),IF($F19="мес",$D19*$E19*($G19&lt;=3),IF($F19="год",$D19*$E19/12*($G19&lt;=3),$I19/2)))</f>
        <v>0</v>
      </c>
      <c r="L19" s="89">
        <v>11</v>
      </c>
    </row>
    <row r="20" spans="1:12" s="86" customFormat="1" ht="15" customHeight="1" x14ac:dyDescent="0.25">
      <c r="A20" s="86" t="s">
        <v>97</v>
      </c>
      <c r="B20" s="4" t="s">
        <v>476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548</v>
      </c>
      <c r="I20" s="5">
        <f t="shared" si="5"/>
        <v>102466</v>
      </c>
      <c r="J20" s="5">
        <f>IF($F20="разово",IF($L20=12,0,$I20),IF($F20="мес",$D20*$E20*(($G20&lt;=1)+($G20&lt;=2)),IF($F20="год",$D20*$E20/12*(($G20&lt;=1)+($G20&lt;=2)),$I20/2)))</f>
        <v>102466</v>
      </c>
      <c r="K20" s="5">
        <f>IF($F20="разово",IF($L20=12,$I20,0),IF($F20="мес",$D20*$E20*($G20&lt;=3),IF($F20="год",$D20*$E20/12*($G20&lt;=3),$I20/2)))</f>
        <v>0</v>
      </c>
      <c r="L20" s="89">
        <v>11</v>
      </c>
    </row>
    <row r="21" spans="1:12" s="86" customFormat="1" ht="15" customHeight="1" x14ac:dyDescent="0.25">
      <c r="A21" s="86" t="s">
        <v>97</v>
      </c>
      <c r="B21" s="4" t="s">
        <v>477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478</v>
      </c>
      <c r="I21" s="5">
        <f t="shared" si="5"/>
        <v>31888</v>
      </c>
      <c r="J21" s="5">
        <f>IF($F21="разово",IF($L21=12,0,$I21),IF($F21="мес",$D21*$E21*(($G21&lt;=1)+($G21&lt;=2)),IF($F21="год",$D21*$E21/12*(($G21&lt;=1)+($G21&lt;=2)),$I21/2)))</f>
        <v>31888</v>
      </c>
      <c r="K21" s="5">
        <f>IF($F21="разово",IF($L21=12,$I21,0),IF($F21="мес",$D21*$E21*($G21&lt;=3),IF($F21="год",$D21*$E21/12*($G21&lt;=3),$I21/2)))</f>
        <v>0</v>
      </c>
      <c r="L21" s="89">
        <v>11</v>
      </c>
    </row>
    <row r="22" spans="1:12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>IF($F22="разово",IF($L22=12,0,$I22),IF($F22="мес",$D22*$E22*(($G22&lt;=1)+($G22&lt;=2)),IF($F22="год",$D22*$E22/12*(($G22&lt;=1)+($G22&lt;=2)),$I22/2)))</f>
        <v>0</v>
      </c>
      <c r="K22" s="5">
        <f>IF($F22="разово",IF($L22=12,$I22,0),IF($F22="мес",$D22*$E22*($G22&lt;=3),IF($F22="год",$D22*$E22/12*($G22&lt;=3),$I22/2)))</f>
        <v>0</v>
      </c>
      <c r="L22" s="89">
        <v>11</v>
      </c>
    </row>
    <row r="23" spans="1:12" ht="15" customHeight="1" x14ac:dyDescent="0.25">
      <c r="A23" t="s">
        <v>97</v>
      </c>
      <c r="B23" s="4" t="s">
        <v>342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>IF($F23="разово",IF($L23=12,0,$I23),IF($F23="мес",$D23*$E23*(($G23&lt;=1)+($G23&lt;=2)),IF($F23="год",$D23*$E23/12*(($G23&lt;=1)+($G23&lt;=2)),$I23/2)))</f>
        <v>0</v>
      </c>
      <c r="K23" s="5">
        <f>IF($F23="разово",IF($L23=12,$I23,0),IF($F23="мес",$D23*$E23*($G23&lt;=3),IF($F23="год",$D23*$E23/12*($G23&lt;=3),$I23/2)))</f>
        <v>0</v>
      </c>
      <c r="L23" s="89">
        <v>11</v>
      </c>
    </row>
    <row r="24" spans="1:12" ht="15" customHeight="1" x14ac:dyDescent="0.25">
      <c r="A24" t="s">
        <v>97</v>
      </c>
      <c r="B24" s="4" t="s">
        <v>466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549</v>
      </c>
      <c r="I24" s="5">
        <f t="shared" si="0"/>
        <v>0</v>
      </c>
      <c r="J24" s="5">
        <f>IF($F24="разово",IF($L24=12,0,$I24),IF($F24="мес",$D24*$E24*(($G24&lt;=1)+($G24&lt;=2)),IF($F24="год",$D24*$E24/12*(($G24&lt;=1)+($G24&lt;=2)),$I24/2)))</f>
        <v>0</v>
      </c>
      <c r="K24" s="5">
        <f>IF($F24="разово",IF($L24=12,$I24,0),IF($F24="мес",$D24*$E24*($G24&lt;=3),IF($F24="год",$D24*$E24/12*($G24&lt;=3),$I24/2)))</f>
        <v>0</v>
      </c>
      <c r="L24" s="89">
        <v>11</v>
      </c>
    </row>
    <row r="25" spans="1:12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222</v>
      </c>
      <c r="I25" s="5">
        <f t="shared" si="0"/>
        <v>0</v>
      </c>
      <c r="J25" s="5">
        <f>IF($F25="разово",IF($L25=12,0,$I25),IF($F25="мес",$D25*$E25*(($G25&lt;=1)+($G25&lt;=2)),IF($F25="год",$D25*$E25/12*(($G25&lt;=1)+($G25&lt;=2)),$I25/2)))</f>
        <v>0</v>
      </c>
      <c r="K25" s="5">
        <f>IF($F25="разово",IF($L25=12,$I25,0),IF($F25="мес",$D25*$E25*($G25&lt;=3),IF($F25="год",$D25*$E25/12*($G25&lt;=3),$I25/2)))</f>
        <v>0</v>
      </c>
      <c r="L25" s="89">
        <v>11</v>
      </c>
    </row>
    <row r="26" spans="1:12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>IF($F26="разово",IF($L26=12,0,$I26),IF($F26="мес",$D26*$E26*(($G26&lt;=1)+($G26&lt;=2)),IF($F26="год",$D26*$E26/12*(($G26&lt;=1)+($G26&lt;=2)),$I26/2)))</f>
        <v>329082.90000000002</v>
      </c>
      <c r="K26" s="5">
        <f>IF($F26="разово",IF($L26=12,$I26,0),IF($F26="мес",$D26*$E26*($G26&lt;=3),IF($F26="год",$D26*$E26/12*($G26&lt;=3),$I26/2)))</f>
        <v>0</v>
      </c>
      <c r="L26" s="89">
        <v>11</v>
      </c>
    </row>
    <row r="27" spans="1:12" s="86" customFormat="1" ht="15" customHeight="1" x14ac:dyDescent="0.25">
      <c r="A27" s="86" t="s">
        <v>97</v>
      </c>
      <c r="B27" s="4" t="s">
        <v>479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480</v>
      </c>
      <c r="I27" s="5">
        <f>IF(F27="разово",IF(G27&lt;=3,D27*E27,0),IF(F27="мес",D27*E27*MAX(0,4-G27),D27*E27*MAX(0,4-G27)/12))</f>
        <v>21552</v>
      </c>
      <c r="J27" s="5">
        <f>IF($F27="разово",IF($L27=12,0,$I27),IF($F27="мес",$D27*$E27*(($G27&lt;=1)+($G27&lt;=2)),IF($F27="год",$D27*$E27/12*(($G27&lt;=1)+($G27&lt;=2)),$I27/2)))</f>
        <v>21552</v>
      </c>
      <c r="K27" s="5">
        <f>IF($F27="разово",IF($L27=12,$I27,0),IF($F27="мес",$D27*$E27*($G27&lt;=3),IF($F27="год",$D27*$E27/12*($G27&lt;=3),$I27/2)))</f>
        <v>0</v>
      </c>
      <c r="L27" s="89">
        <v>11</v>
      </c>
    </row>
    <row r="28" spans="1:12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>IF($F28="разово",IF($L28=12,0,$I28),IF($F28="мес",$D28*$E28*(($G28&lt;=1)+($G28&lt;=2)),IF($F28="год",$D28*$E28/12*(($G28&lt;=1)+($G28&lt;=2)),$I28/2)))</f>
        <v>2500000</v>
      </c>
      <c r="K28" s="5">
        <f>IF($F28="разово",IF($L28=12,$I28,0),IF($F28="мес",$D28*$E28*($G28&lt;=3),IF($F28="год",$D28*$E28/12*($G28&lt;=3),$I28/2)))</f>
        <v>0</v>
      </c>
      <c r="L28" s="89">
        <v>11</v>
      </c>
    </row>
    <row r="29" spans="1:12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>IF($F29="разово",IF($L29=12,0,$I29),IF($F29="мес",$D29*$E29*(($G29&lt;=1)+($G29&lt;=2)),IF($F29="год",$D29*$E29/12*(($G29&lt;=1)+($G29&lt;=2)),$I29/2)))</f>
        <v>300000</v>
      </c>
      <c r="K29" s="5">
        <f>IF($F29="разово",IF($L29=12,$I29,0),IF($F29="мес",$D29*$E29*($G29&lt;=3),IF($F29="год",$D29*$E29/12*($G29&lt;=3),$I29/2)))</f>
        <v>0</v>
      </c>
      <c r="L29" s="89">
        <v>11</v>
      </c>
    </row>
    <row r="30" spans="1:12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223</v>
      </c>
      <c r="I30" s="5">
        <f t="shared" si="0"/>
        <v>560000</v>
      </c>
      <c r="J30" s="5">
        <f>IF($F30="разово",IF($L30=12,0,$I30),IF($F30="мес",$D30*$E30*(($G30&lt;=1)+($G30&lt;=2)),IF($F30="год",$D30*$E30/12*(($G30&lt;=1)+($G30&lt;=2)),$I30/2)))</f>
        <v>560000</v>
      </c>
      <c r="K30" s="5">
        <f>IF($F30="разово",IF($L30=12,$I30,0),IF($F30="мес",$D30*$E30*($G30&lt;=3),IF($F30="год",$D30*$E30/12*($G30&lt;=3),$I30/2)))</f>
        <v>0</v>
      </c>
      <c r="L30" s="89">
        <v>11</v>
      </c>
    </row>
    <row r="31" spans="1:12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>IF($F31="разово",IF($L31=12,0,$I31),IF($F31="мес",$D31*$E31*(($G31&lt;=1)+($G31&lt;=2)),IF($F31="год",$D31*$E31/12*(($G31&lt;=1)+($G31&lt;=2)),$I31/2)))</f>
        <v>0</v>
      </c>
      <c r="K31" s="5">
        <f>IF($F31="разово",IF($L31=12,$I31,0),IF($F31="мес",$D31*$E31*($G31&lt;=3),IF($F31="год",$D31*$E31/12*($G31&lt;=3),$I31/2)))</f>
        <v>220000</v>
      </c>
      <c r="L31" s="89">
        <v>12</v>
      </c>
    </row>
    <row r="32" spans="1:12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>IF($F32="разово",IF($L32=12,0,$I32),IF($F32="мес",$D32*$E32*(($G32&lt;=1)+($G32&lt;=2)),IF($F32="год",$D32*$E32/12*(($G32&lt;=1)+($G32&lt;=2)),$I32/2)))</f>
        <v>0</v>
      </c>
      <c r="K32" s="5">
        <f>IF($F32="разово",IF($L32=12,$I32,0),IF($F32="мес",$D32*$E32*($G32&lt;=3),IF($F32="год",$D32*$E32/12*($G32&lt;=3),$I32/2)))</f>
        <v>300000</v>
      </c>
      <c r="L32" s="89">
        <v>12</v>
      </c>
    </row>
    <row r="33" spans="1:12" ht="15" customHeight="1" x14ac:dyDescent="0.25">
      <c r="A33" t="s">
        <v>97</v>
      </c>
      <c r="B33" s="4" t="s">
        <v>224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225</v>
      </c>
      <c r="I33" s="5">
        <f t="shared" si="0"/>
        <v>0</v>
      </c>
      <c r="J33" s="5">
        <f>IF($F33="разово",IF($L33=12,0,$I33),IF($F33="мес",$D33*$E33*(($G33&lt;=1)+($G33&lt;=2)),IF($F33="год",$D33*$E33/12*(($G33&lt;=1)+($G33&lt;=2)),$I33/2)))</f>
        <v>0</v>
      </c>
      <c r="K33" s="5">
        <f>IF($F33="разово",IF($L33=12,$I33,0),IF($F33="мес",$D33*$E33*($G33&lt;=3),IF($F33="год",$D33*$E33/12*($G33&lt;=3),$I33/2)))</f>
        <v>0</v>
      </c>
      <c r="L33" s="89">
        <v>11</v>
      </c>
    </row>
    <row r="34" spans="1:12" ht="15" customHeight="1" x14ac:dyDescent="0.25">
      <c r="A34" t="s">
        <v>97</v>
      </c>
      <c r="B34" s="4" t="s">
        <v>226</v>
      </c>
      <c r="C34" t="s">
        <v>227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228</v>
      </c>
      <c r="I34" s="5">
        <f t="shared" si="0"/>
        <v>0</v>
      </c>
      <c r="J34" s="5">
        <f>IF($F34="разово",IF($L34=12,0,$I34),IF($F34="мес",$D34*$E34*(($G34&lt;=1)+($G34&lt;=2)),IF($F34="год",$D34*$E34/12*(($G34&lt;=1)+($G34&lt;=2)),$I34/2)))</f>
        <v>0</v>
      </c>
      <c r="K34" s="5">
        <f>IF($F34="разово",IF($L34=12,$I34,0),IF($F34="мес",$D34*$E34*($G34&lt;=3),IF($F34="год",$D34*$E34/12*($G34&lt;=3),$I34/2)))</f>
        <v>0</v>
      </c>
      <c r="L34" s="89">
        <v>11</v>
      </c>
    </row>
    <row r="35" spans="1:12" ht="15" customHeight="1" x14ac:dyDescent="0.25">
      <c r="A35" t="s">
        <v>97</v>
      </c>
      <c r="B35" s="4" t="s">
        <v>229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230</v>
      </c>
      <c r="I35" s="5">
        <f t="shared" si="0"/>
        <v>0</v>
      </c>
      <c r="J35" s="5">
        <f>IF($F35="разово",IF($L35=12,0,$I35),IF($F35="мес",$D35*$E35*(($G35&lt;=1)+($G35&lt;=2)),IF($F35="год",$D35*$E35/12*(($G35&lt;=1)+($G35&lt;=2)),$I35/2)))</f>
        <v>0</v>
      </c>
      <c r="K35" s="5">
        <f>IF($F35="разово",IF($L35=12,$I35,0),IF($F35="мес",$D35*$E35*($G35&lt;=3),IF($F35="год",$D35*$E35/12*($G35&lt;=3),$I35/2)))</f>
        <v>0</v>
      </c>
      <c r="L35" s="89">
        <v>11</v>
      </c>
    </row>
    <row r="36" spans="1:12" ht="15" customHeight="1" x14ac:dyDescent="0.25">
      <c r="A36" t="s">
        <v>97</v>
      </c>
      <c r="B36" s="4" t="s">
        <v>231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232</v>
      </c>
      <c r="I36" s="5">
        <f t="shared" si="0"/>
        <v>0</v>
      </c>
      <c r="J36" s="5">
        <f>IF($F36="разово",IF($L36=12,0,$I36),IF($F36="мес",$D36*$E36*(($G36&lt;=1)+($G36&lt;=2)),IF($F36="год",$D36*$E36/12*(($G36&lt;=1)+($G36&lt;=2)),$I36/2)))</f>
        <v>0</v>
      </c>
      <c r="K36" s="5">
        <f>IF($F36="разово",IF($L36=12,$I36,0),IF($F36="мес",$D36*$E36*($G36&lt;=3),IF($F36="год",$D36*$E36/12*($G36&lt;=3),$I36/2)))</f>
        <v>0</v>
      </c>
      <c r="L36" s="89">
        <v>11</v>
      </c>
    </row>
    <row r="37" spans="1:12" ht="15" customHeight="1" x14ac:dyDescent="0.25">
      <c r="A37" t="s">
        <v>97</v>
      </c>
      <c r="B37" s="4" t="s">
        <v>258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386</v>
      </c>
      <c r="I37" s="5">
        <f t="shared" si="0"/>
        <v>74550</v>
      </c>
      <c r="J37" s="5">
        <f>IF($F37="разово",IF($L37=12,0,$I37),IF($F37="мес",$D37*$E37*(($G37&lt;=1)+($G37&lt;=2)),IF($F37="год",$D37*$E37/12*(($G37&lt;=1)+($G37&lt;=2)),$I37/2)))</f>
        <v>74550</v>
      </c>
      <c r="K37" s="5">
        <f>IF($F37="разово",IF($L37=12,$I37,0),IF($F37="мес",$D37*$E37*($G37&lt;=3),IF($F37="год",$D37*$E37/12*($G37&lt;=3),$I37/2)))</f>
        <v>0</v>
      </c>
      <c r="L37" s="89">
        <v>11</v>
      </c>
    </row>
    <row r="38" spans="1:12" ht="15" customHeight="1" x14ac:dyDescent="0.25">
      <c r="A38" t="s">
        <v>97</v>
      </c>
      <c r="B38" s="4" t="s">
        <v>257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343</v>
      </c>
      <c r="I38" s="5">
        <f t="shared" si="0"/>
        <v>15777</v>
      </c>
      <c r="J38" s="5">
        <f>IF($F38="разово",IF($L38=12,0,$I38),IF($F38="мес",$D38*$E38*(($G38&lt;=1)+($G38&lt;=2)),IF($F38="год",$D38*$E38/12*(($G38&lt;=1)+($G38&lt;=2)),$I38/2)))</f>
        <v>15777</v>
      </c>
      <c r="K38" s="5">
        <f>IF($F38="разово",IF($L38=12,$I38,0),IF($F38="мес",$D38*$E38*($G38&lt;=3),IF($F38="год",$D38*$E38/12*($G38&lt;=3),$I38/2)))</f>
        <v>0</v>
      </c>
      <c r="L38" s="89">
        <v>11</v>
      </c>
    </row>
    <row r="39" spans="1:12" ht="15" customHeight="1" x14ac:dyDescent="0.25">
      <c r="A39" t="s">
        <v>97</v>
      </c>
      <c r="B39" s="4" t="s">
        <v>259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260</v>
      </c>
      <c r="I39" s="5">
        <f t="shared" si="0"/>
        <v>24948</v>
      </c>
      <c r="J39" s="5">
        <f>IF($F39="разово",IF($L39=12,0,$I39),IF($F39="мес",$D39*$E39*(($G39&lt;=1)+($G39&lt;=2)),IF($F39="год",$D39*$E39/12*(($G39&lt;=1)+($G39&lt;=2)),$I39/2)))</f>
        <v>24948</v>
      </c>
      <c r="K39" s="5">
        <f>IF($F39="разово",IF($L39=12,$I39,0),IF($F39="мес",$D39*$E39*($G39&lt;=3),IF($F39="год",$D39*$E39/12*($G39&lt;=3),$I39/2)))</f>
        <v>0</v>
      </c>
      <c r="L39" s="89">
        <v>11</v>
      </c>
    </row>
    <row r="40" spans="1:12" ht="15" customHeight="1" x14ac:dyDescent="0.25">
      <c r="A40" t="s">
        <v>97</v>
      </c>
      <c r="B40" s="4" t="s">
        <v>261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262</v>
      </c>
      <c r="I40" s="5">
        <f t="shared" si="0"/>
        <v>77920</v>
      </c>
      <c r="J40" s="5">
        <f>IF($F40="разово",IF($L40=12,0,$I40),IF($F40="мес",$D40*$E40*(($G40&lt;=1)+($G40&lt;=2)),IF($F40="год",$D40*$E40/12*(($G40&lt;=1)+($G40&lt;=2)),$I40/2)))</f>
        <v>77920</v>
      </c>
      <c r="K40" s="5">
        <f>IF($F40="разово",IF($L40=12,$I40,0),IF($F40="мес",$D40*$E40*($G40&lt;=3),IF($F40="год",$D40*$E40/12*($G40&lt;=3),$I40/2)))</f>
        <v>0</v>
      </c>
      <c r="L40" s="89">
        <v>11</v>
      </c>
    </row>
    <row r="41" spans="1:12" ht="15" customHeight="1" x14ac:dyDescent="0.25">
      <c r="A41" t="s">
        <v>97</v>
      </c>
      <c r="B41" s="4" t="s">
        <v>306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307</v>
      </c>
      <c r="I41" s="5">
        <f t="shared" ref="I41" si="6">IF(F41="разово",IF(G41&lt;=3,D41*E41,0),IF(F41="мес",D41*E41*MAX(0,4-G41),D41*E41*MAX(0,4-G41)/12))</f>
        <v>769840</v>
      </c>
      <c r="J41" s="5">
        <f>IF($F41="разово",IF($L41=12,0,$I41),IF($F41="мес",$D41*$E41*(($G41&lt;=1)+($G41&lt;=2)),IF($F41="год",$D41*$E41/12*(($G41&lt;=1)+($G41&lt;=2)),$I41/2)))</f>
        <v>769840</v>
      </c>
      <c r="K41" s="5">
        <f>IF($F41="разово",IF($L41=12,$I41,0),IF($F41="мес",$D41*$E41*($G41&lt;=3),IF($F41="год",$D41*$E41/12*($G41&lt;=3),$I41/2)))</f>
        <v>0</v>
      </c>
      <c r="L41" s="89">
        <v>11</v>
      </c>
    </row>
    <row r="42" spans="1:12" s="105" customFormat="1" ht="15" customHeight="1" x14ac:dyDescent="0.25">
      <c r="A42" s="105" t="s">
        <v>97</v>
      </c>
      <c r="B42" s="4" t="s">
        <v>558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559</v>
      </c>
      <c r="I42" s="5">
        <f>IF(F42="разово",IF(G42&lt;=3,D42*E42,0),IF(F42="мес",D42*E42*MAX(0,4-G42),D42*E42*MAX(0,4-G42)/12))</f>
        <v>31240</v>
      </c>
      <c r="J42" s="5">
        <f>IF($F42="разово",IF($L42=12,0,$I42),IF($F42="мес",$D42*$E42*(($G42&lt;=1)+($G42&lt;=2)),IF($F42="год",$D42*$E42/12*(($G42&lt;=1)+($G42&lt;=2)),$I42/2)))</f>
        <v>31240</v>
      </c>
      <c r="K42" s="5">
        <f>IF($F42="разово",IF($L42=12,$I42,0),IF($F42="мес",$D42*$E42*($G42&lt;=3),IF($F42="год",$D42*$E42/12*($G42&lt;=3),$I42/2)))</f>
        <v>0</v>
      </c>
      <c r="L42" s="89">
        <v>11</v>
      </c>
    </row>
    <row r="43" spans="1:12" ht="15" customHeight="1" x14ac:dyDescent="0.25">
      <c r="A43" t="s">
        <v>97</v>
      </c>
      <c r="B43" s="4" t="s">
        <v>309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310</v>
      </c>
      <c r="I43" s="5">
        <f t="shared" si="0"/>
        <v>0</v>
      </c>
      <c r="J43" s="5">
        <f>IF($F43="разово",IF($L43=12,0,$I43),IF($F43="мес",$D43*$E43*(($G43&lt;=1)+($G43&lt;=2)),IF($F43="год",$D43*$E43/12*(($G43&lt;=1)+($G43&lt;=2)),$I43/2)))</f>
        <v>0</v>
      </c>
      <c r="K43" s="5">
        <f>IF($F43="разово",IF($L43=12,$I43,0),IF($F43="мес",$D43*$E43*($G43&lt;=3),IF($F43="год",$D43*$E43/12*($G43&lt;=3),$I43/2)))</f>
        <v>0</v>
      </c>
      <c r="L43" s="89">
        <v>11</v>
      </c>
    </row>
    <row r="44" spans="1:12" ht="15" customHeight="1" x14ac:dyDescent="0.25">
      <c r="A44" t="s">
        <v>97</v>
      </c>
      <c r="B44" s="4" t="s">
        <v>482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550</v>
      </c>
      <c r="I44" s="5">
        <f t="shared" si="0"/>
        <v>49129</v>
      </c>
      <c r="J44" s="5">
        <f>IF($F44="разово",IF($L44=12,0,$I44),IF($F44="мес",$D44*$E44*(($G44&lt;=1)+($G44&lt;=2)),IF($F44="год",$D44*$E44/12*(($G44&lt;=1)+($G44&lt;=2)),$I44/2)))</f>
        <v>49129</v>
      </c>
      <c r="K44" s="5">
        <f>IF($F44="разово",IF($L44=12,$I44,0),IF($F44="мес",$D44*$E44*($G44&lt;=3),IF($F44="год",$D44*$E44/12*($G44&lt;=3),$I44/2)))</f>
        <v>0</v>
      </c>
      <c r="L44" s="89">
        <v>11</v>
      </c>
    </row>
    <row r="45" spans="1:12" s="90" customFormat="1" ht="15" customHeight="1" x14ac:dyDescent="0.25">
      <c r="A45" s="90" t="s">
        <v>97</v>
      </c>
      <c r="B45" s="4" t="s">
        <v>493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551</v>
      </c>
      <c r="I45" s="5">
        <f>IF(F45="разово",IF(G45&lt;=3,D45*E45,0),IF(F45="мес",D45*E45*MAX(0,4-G45),D45*E45*MAX(0,4-G45)/12))</f>
        <v>96211</v>
      </c>
      <c r="J45" s="5">
        <f>IF($F45="разово",IF($L45=12,0,$I45),IF($F45="мес",$D45*$E45*(($G45&lt;=1)+($G45&lt;=2)),IF($F45="год",$D45*$E45/12*(($G45&lt;=1)+($G45&lt;=2)),$I45/2)))</f>
        <v>0</v>
      </c>
      <c r="K45" s="5">
        <f>IF($F45="разово",IF($L45=12,$I45,0),IF($F45="мес",$D45*$E45*($G45&lt;=3),IF($F45="год",$D45*$E45/12*($G45&lt;=3),$I45/2)))</f>
        <v>96211</v>
      </c>
      <c r="L45" s="89">
        <v>12</v>
      </c>
    </row>
    <row r="46" spans="1:12" ht="15" customHeight="1" x14ac:dyDescent="0.25">
      <c r="A46" t="s">
        <v>97</v>
      </c>
      <c r="B46" s="4" t="s">
        <v>532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552</v>
      </c>
      <c r="I46" s="5">
        <f t="shared" si="0"/>
        <v>300000</v>
      </c>
      <c r="J46" s="5">
        <f>IF($F46="разово",IF($L46=12,0,$I46),IF($F46="мес",$D46*$E46*(($G46&lt;=1)+($G46&lt;=2)),IF($F46="год",$D46*$E46/12*(($G46&lt;=1)+($G46&lt;=2)),$I46/2)))</f>
        <v>0</v>
      </c>
      <c r="K46" s="5">
        <f>IF($F46="разово",IF($L46=12,$I46,0),IF($F46="мес",$D46*$E46*($G46&lt;=3),IF($F46="год",$D46*$E46/12*($G46&lt;=3),$I46/2)))</f>
        <v>300000</v>
      </c>
      <c r="L46" s="89">
        <v>12</v>
      </c>
    </row>
    <row r="47" spans="1:12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>IF($F47="разово",IF($L47=12,0,$I47),IF($F47="мес",$D47*$E47*(($G47&lt;=1)+($G47&lt;=2)),IF($F47="год",$D47*$E47/12*(($G47&lt;=1)+($G47&lt;=2)),$I47/2)))</f>
        <v>0</v>
      </c>
      <c r="K47" s="5">
        <f>IF($F47="разово",IF($L47=12,$I47,0),IF($F47="мес",$D47*$E47*($G47&lt;=3),IF($F47="год",$D47*$E47/12*($G47&lt;=3),$I47/2)))</f>
        <v>0</v>
      </c>
      <c r="L47" s="89">
        <v>11</v>
      </c>
    </row>
    <row r="48" spans="1:12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>IF($F48="разово",IF($L48=12,0,$I48),IF($F48="мес",$D48*$E48*(($G48&lt;=1)+($G48&lt;=2)),IF($F48="год",$D48*$E48/12*(($G48&lt;=1)+($G48&lt;=2)),$I48/2)))</f>
        <v>0</v>
      </c>
      <c r="K48" s="5">
        <f>IF($F48="разово",IF($L48=12,$I48,0),IF($F48="мес",$D48*$E48*($G48&lt;=3),IF($F48="год",$D48*$E48/12*($G48&lt;=3),$I48/2)))</f>
        <v>0</v>
      </c>
      <c r="L48" s="89">
        <v>11</v>
      </c>
    </row>
    <row r="49" spans="1:12" ht="27.75" customHeight="1" x14ac:dyDescent="0.25">
      <c r="A49" t="s">
        <v>97</v>
      </c>
      <c r="B49" s="4" t="s">
        <v>344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389</v>
      </c>
      <c r="I49" s="5">
        <f t="shared" si="0"/>
        <v>300000</v>
      </c>
      <c r="J49" s="5">
        <f>IF($F49="разово",IF($L49=12,0,$I49),IF($F49="мес",$D49*$E49*(($G49&lt;=1)+($G49&lt;=2)),IF($F49="год",$D49*$E49/12*(($G49&lt;=1)+($G49&lt;=2)),$I49/2)))</f>
        <v>0</v>
      </c>
      <c r="K49" s="5">
        <f>IF($F49="разово",IF($L49=12,$I49,0),IF($F49="мес",$D49*$E49*($G49&lt;=3),IF($F49="год",$D49*$E49/12*($G49&lt;=3),$I49/2)))</f>
        <v>300000</v>
      </c>
      <c r="L49" s="89">
        <v>12</v>
      </c>
    </row>
    <row r="50" spans="1:12" ht="15" customHeight="1" x14ac:dyDescent="0.25">
      <c r="A50" t="s">
        <v>97</v>
      </c>
      <c r="B50" s="4" t="s">
        <v>311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>IF($F50="разово",IF($L50=12,0,$I50),IF($F50="мес",$D50*$E50*(($G50&lt;=1)+($G50&lt;=2)),IF($F50="год",$D50*$E50/12*(($G50&lt;=1)+($G50&lt;=2)),$I50/2)))</f>
        <v>400000</v>
      </c>
      <c r="K50" s="5">
        <f>IF($F50="разово",IF($L50=12,$I50,0),IF($F50="мес",$D50*$E50*($G50&lt;=3),IF($F50="год",$D50*$E50/12*($G50&lt;=3),$I50/2)))</f>
        <v>0</v>
      </c>
      <c r="L50" s="89">
        <v>11</v>
      </c>
    </row>
    <row r="51" spans="1:12" ht="15" customHeight="1" x14ac:dyDescent="0.25">
      <c r="A51" t="s">
        <v>97</v>
      </c>
      <c r="B51" s="4" t="s">
        <v>312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313</v>
      </c>
      <c r="I51" s="5">
        <f t="shared" ref="I51" si="7">IF(F51="разово",IF(G51&lt;=3,D51*E51,0),IF(F51="мес",D51*E51*MAX(0,4-G51),D51*E51*MAX(0,4-G51)/12))</f>
        <v>31026</v>
      </c>
      <c r="J51" s="5">
        <f>IF($F51="разово",IF($L51=12,0,$I51),IF($F51="мес",$D51*$E51*(($G51&lt;=1)+($G51&lt;=2)),IF($F51="год",$D51*$E51/12*(($G51&lt;=1)+($G51&lt;=2)),$I51/2)))</f>
        <v>31026</v>
      </c>
      <c r="K51" s="5">
        <f>IF($F51="разово",IF($L51=12,$I51,0),IF($F51="мес",$D51*$E51*($G51&lt;=3),IF($F51="год",$D51*$E51/12*($G51&lt;=3),$I51/2)))</f>
        <v>0</v>
      </c>
      <c r="L51" s="89">
        <v>11</v>
      </c>
    </row>
    <row r="52" spans="1:12" ht="15" customHeight="1" x14ac:dyDescent="0.25">
      <c r="A52" t="s">
        <v>97</v>
      </c>
      <c r="B52" s="4" t="s">
        <v>481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553</v>
      </c>
      <c r="I52" s="5">
        <f t="shared" ref="I52:I54" si="8">IF(F52="разово",IF(G52&lt;=3,D52*E52,0),IF(F52="мес",D52*E52*MAX(0,4-G52),D52*E52*MAX(0,4-G52)/12))</f>
        <v>130940</v>
      </c>
      <c r="J52" s="5">
        <f>IF($F52="разово",IF($L52=12,0,$I52),IF($F52="мес",$D52*$E52*(($G52&lt;=1)+($G52&lt;=2)),IF($F52="год",$D52*$E52/12*(($G52&lt;=1)+($G52&lt;=2)),$I52/2)))</f>
        <v>130940</v>
      </c>
      <c r="K52" s="5">
        <f>IF($F52="разово",IF($L52=12,$I52,0),IF($F52="мес",$D52*$E52*($G52&lt;=3),IF($F52="год",$D52*$E52/12*($G52&lt;=3),$I52/2)))</f>
        <v>0</v>
      </c>
      <c r="L52" s="89">
        <v>11</v>
      </c>
    </row>
    <row r="53" spans="1:12" ht="15" customHeight="1" x14ac:dyDescent="0.25">
      <c r="A53" t="s">
        <v>97</v>
      </c>
      <c r="B53" s="4" t="s">
        <v>533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534</v>
      </c>
      <c r="I53" s="5">
        <f t="shared" si="8"/>
        <v>369600</v>
      </c>
      <c r="J53" s="5">
        <f>IF($F53="разово",IF($L53=12,0,$I53),IF($F53="мес",$D53*$E53*(($G53&lt;=1)+($G53&lt;=2)),IF($F53="год",$D53*$E53/12*(($G53&lt;=1)+($G53&lt;=2)),$I53/2)))</f>
        <v>369600</v>
      </c>
      <c r="K53" s="5">
        <f>IF($F53="разово",IF($L53=12,$I53,0),IF($F53="мес",$D53*$E53*($G53&lt;=3),IF($F53="год",$D53*$E53/12*($G53&lt;=3),$I53/2)))</f>
        <v>0</v>
      </c>
      <c r="L53" s="89">
        <v>11</v>
      </c>
    </row>
    <row r="54" spans="1:12" ht="15" customHeight="1" x14ac:dyDescent="0.25">
      <c r="A54" t="s">
        <v>97</v>
      </c>
      <c r="B54" s="4" t="s">
        <v>392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393</v>
      </c>
      <c r="I54" s="5">
        <f t="shared" si="8"/>
        <v>79398</v>
      </c>
      <c r="J54" s="5">
        <f>IF($F54="разово",IF($L54=12,0,$I54),IF($F54="мес",$D54*$E54*(($G54&lt;=1)+($G54&lt;=2)),IF($F54="год",$D54*$E54/12*(($G54&lt;=1)+($G54&lt;=2)),$I54/2)))</f>
        <v>0</v>
      </c>
      <c r="K54" s="5">
        <f>IF($F54="разово",IF($L54=12,$I54,0),IF($F54="мес",$D54*$E54*($G54&lt;=3),IF($F54="год",$D54*$E54/12*($G54&lt;=3),$I54/2)))</f>
        <v>79398</v>
      </c>
      <c r="L54" s="89">
        <v>12</v>
      </c>
    </row>
    <row r="55" spans="1:12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>IF($F55="разово",IF($L55=12,0,$I55),IF($F55="мес",$D55*$E55*(($G55&lt;=1)+($G55&lt;=2)),IF($F55="год",$D55*$E55/12*(($G55&lt;=1)+($G55&lt;=2)),$I55/2)))</f>
        <v>150000</v>
      </c>
      <c r="K55" s="5">
        <f>IF($F55="разово",IF($L55=12,$I55,0),IF($F55="мес",$D55*$E55*($G55&lt;=3),IF($F55="год",$D55*$E55/12*($G55&lt;=3),$I55/2)))</f>
        <v>0</v>
      </c>
      <c r="L55" s="89">
        <v>11</v>
      </c>
    </row>
    <row r="56" spans="1:12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>IF($F56="разово",IF($L56=12,0,$I56),IF($F56="мес",$D56*$E56*(($G56&lt;=1)+($G56&lt;=2)),IF($F56="год",$D56*$E56/12*(($G56&lt;=1)+($G56&lt;=2)),$I56/2)))</f>
        <v>0</v>
      </c>
      <c r="K56" s="5">
        <f>IF($F56="разово",IF($L56=12,$I56,0),IF($F56="мес",$D56*$E56*($G56&lt;=3),IF($F56="год",$D56*$E56/12*($G56&lt;=3),$I56/2)))</f>
        <v>400000</v>
      </c>
      <c r="L56" s="89">
        <v>12</v>
      </c>
    </row>
    <row r="57" spans="1:12" ht="15" customHeight="1" x14ac:dyDescent="0.25">
      <c r="A57" t="s">
        <v>97</v>
      </c>
      <c r="B57" s="4" t="s">
        <v>345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>IF($F57="разово",IF($L57=12,0,$I57),IF($F57="мес",$D57*$E57*(($G57&lt;=1)+($G57&lt;=2)),IF($F57="год",$D57*$E57/12*(($G57&lt;=1)+($G57&lt;=2)),$I57/2)))</f>
        <v>10000</v>
      </c>
      <c r="K57" s="5">
        <f>IF($F57="разово",IF($L57=12,$I57,0),IF($F57="мес",$D57*$E57*($G57&lt;=3),IF($F57="год",$D57*$E57/12*($G57&lt;=3),$I57/2)))</f>
        <v>0</v>
      </c>
      <c r="L57" s="89">
        <v>11</v>
      </c>
    </row>
    <row r="58" spans="1:12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305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>IF($F58="разово",IF($L58=12,$I58,0),IF($F58="мес",$D58*$E58*($G58&lt;=3),IF($F58="год",$D58*$E58/12*($G58&lt;=3),$I58/2)))</f>
        <v>4869152.0999999996</v>
      </c>
      <c r="L58" s="89"/>
    </row>
    <row r="59" spans="1:12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256</v>
      </c>
      <c r="I59" s="5">
        <f t="shared" ref="I59:I77" si="9">IF(F59="разово",IF(G59&lt;=3,D59*E59,0),IF(F59="мес",D59*E59*MAX(0,4-G59),D59*E59*MAX(0,4-G59)/12))</f>
        <v>4869152.0999999996</v>
      </c>
      <c r="J59" s="5">
        <f>IF($F59="разово",IF($L59=12,0,$I59),IF($F59="мес",$D59*$E59*(($G59&lt;=1)+($G59&lt;=2)),IF($F59="год",$D59*$E59/12*(($G59&lt;=1)+($G59&lt;=2)),$I59/2)))</f>
        <v>4869152.0999999996</v>
      </c>
      <c r="K59" s="5">
        <f>IF($F59="разово",IF($L59=12,$I59,0),IF($F59="мес",$D59*$E59*($G59&lt;=3),IF($F59="год",$D59*$E59/12*($G59&lt;=3),$I59/2)))</f>
        <v>0</v>
      </c>
      <c r="L59" s="89">
        <v>11</v>
      </c>
    </row>
    <row r="60" spans="1:12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554</v>
      </c>
      <c r="I60" s="5">
        <f t="shared" si="9"/>
        <v>200000</v>
      </c>
      <c r="J60" s="5">
        <f>IF($F60="разово",IF($L60=12,0,$I60),IF($F60="мес",$D60*$E60*(($G60&lt;=1)+($G60&lt;=2)),IF($F60="год",$D60*$E60/12*(($G60&lt;=1)+($G60&lt;=2)),$I60/2)))</f>
        <v>100000</v>
      </c>
      <c r="K60" s="5">
        <f>IF($F60="разово",IF($L60=12,$I60,0),IF($F60="мес",$D60*$E60*($G60&lt;=3),IF($F60="год",$D60*$E60/12*($G60&lt;=3),$I60/2)))</f>
        <v>100000</v>
      </c>
      <c r="L60" s="89"/>
    </row>
    <row r="61" spans="1:12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9"/>
        <v>60000</v>
      </c>
      <c r="J61" s="5">
        <f>IF($F61="разово",IF($L61=12,0,$I61),IF($F61="мес",$D61*$E61*(($G61&lt;=1)+($G61&lt;=2)),IF($F61="год",$D61*$E61/12*(($G61&lt;=1)+($G61&lt;=2)),$I61/2)))</f>
        <v>30000</v>
      </c>
      <c r="K61" s="5">
        <f>IF($F61="разово",IF($L61=12,$I61,0),IF($F61="мес",$D61*$E61*($G61&lt;=3),IF($F61="год",$D61*$E61/12*($G61&lt;=3),$I61/2)))</f>
        <v>30000</v>
      </c>
      <c r="L61" s="89"/>
    </row>
    <row r="62" spans="1:12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9"/>
        <v>100000</v>
      </c>
      <c r="J62" s="5">
        <f>IF($F62="разово",IF($L62=12,0,$I62),IF($F62="мес",$D62*$E62*(($G62&lt;=1)+($G62&lt;=2)),IF($F62="год",$D62*$E62/12*(($G62&lt;=1)+($G62&lt;=2)),$I62/2)))</f>
        <v>50000</v>
      </c>
      <c r="K62" s="5">
        <f>IF($F62="разово",IF($L62=12,$I62,0),IF($F62="мес",$D62*$E62*($G62&lt;=3),IF($F62="год",$D62*$E62/12*($G62&lt;=3),$I62/2)))</f>
        <v>50000</v>
      </c>
      <c r="L62" s="89"/>
    </row>
    <row r="63" spans="1:12" s="105" customFormat="1" ht="15" customHeight="1" x14ac:dyDescent="0.25">
      <c r="A63" s="105" t="s">
        <v>111</v>
      </c>
      <c r="B63" s="4" t="s">
        <v>560</v>
      </c>
      <c r="C63" s="105" t="s">
        <v>561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562</v>
      </c>
      <c r="I63" s="5">
        <f>IF(F63="разово",IF(G63&lt;=3,D63*E63,0),IF(F63="мес",D63*E63*MAX(0,4-G63),D63*E63*MAX(0,4-G63)/12))</f>
        <v>18932</v>
      </c>
      <c r="J63" s="5">
        <f>IF($F63="разово",IF($L63=12,0,$I63),IF($F63="мес",$D63*$E63*(($G63&lt;=1)+($G63&lt;=2)),IF($F63="год",$D63*$E63/12*(($G63&lt;=1)+($G63&lt;=2)),$I63/2)))</f>
        <v>9466</v>
      </c>
      <c r="K63" s="5">
        <f>IF($F63="разово",IF($L63=12,$I63,0),IF($F63="мес",$D63*$E63*($G63&lt;=3),IF($F63="год",$D63*$E63/12*($G63&lt;=3),$I63/2)))</f>
        <v>9466</v>
      </c>
      <c r="L63" s="89"/>
    </row>
    <row r="64" spans="1:12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9"/>
        <v>60000</v>
      </c>
      <c r="J64" s="5">
        <f>IF($F64="разово",IF($L64=12,0,$I64),IF($F64="мес",$D64*$E64*(($G64&lt;=1)+($G64&lt;=2)),IF($F64="год",$D64*$E64/12*(($G64&lt;=1)+($G64&lt;=2)),$I64/2)))</f>
        <v>30000</v>
      </c>
      <c r="K64" s="5">
        <f>IF($F64="разово",IF($L64=12,$I64,0),IF($F64="мес",$D64*$E64*($G64&lt;=3),IF($F64="год",$D64*$E64/12*($G64&lt;=3),$I64/2)))</f>
        <v>30000</v>
      </c>
      <c r="L64" s="89"/>
    </row>
    <row r="65" spans="1:12" ht="15" customHeight="1" x14ac:dyDescent="0.25">
      <c r="A65" t="s">
        <v>111</v>
      </c>
      <c r="B65" s="4" t="s">
        <v>352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353</v>
      </c>
      <c r="I65" s="5">
        <f t="shared" si="9"/>
        <v>48250</v>
      </c>
      <c r="J65" s="5">
        <f>IF($F65="разово",IF($L65=12,0,$I65),IF($F65="мес",$D65*$E65*(($G65&lt;=1)+($G65&lt;=2)),IF($F65="год",$D65*$E65/12*(($G65&lt;=1)+($G65&lt;=2)),$I65/2)))</f>
        <v>24125</v>
      </c>
      <c r="K65" s="5">
        <f>IF($F65="разово",IF($L65=12,$I65,0),IF($F65="мес",$D65*$E65*($G65&lt;=3),IF($F65="год",$D65*$E65/12*($G65&lt;=3),$I65/2)))</f>
        <v>24125</v>
      </c>
      <c r="L65" s="89"/>
    </row>
    <row r="66" spans="1:12" ht="15" customHeight="1" x14ac:dyDescent="0.25">
      <c r="A66" t="s">
        <v>111</v>
      </c>
      <c r="B66" s="4" t="s">
        <v>354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355</v>
      </c>
      <c r="I66" s="5">
        <f t="shared" ref="I66" si="10">IF(F66="разово",IF(G66&lt;=3,D66*E66,0),IF(F66="мес",D66*E66*MAX(0,4-G66),D66*E66*MAX(0,4-G66)/12))</f>
        <v>20048</v>
      </c>
      <c r="J66" s="5">
        <f>IF($F66="разово",IF($L66=12,0,$I66),IF($F66="мес",$D66*$E66*(($G66&lt;=1)+($G66&lt;=2)),IF($F66="год",$D66*$E66/12*(($G66&lt;=1)+($G66&lt;=2)),$I66/2)))</f>
        <v>20048</v>
      </c>
      <c r="K66" s="5">
        <f>IF($F66="разово",IF($L66=12,$I66,0),IF($F66="мес",$D66*$E66*($G66&lt;=3),IF($F66="год",$D66*$E66/12*($G66&lt;=3),$I66/2)))</f>
        <v>0</v>
      </c>
      <c r="L66" s="89">
        <v>11</v>
      </c>
    </row>
    <row r="67" spans="1:12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9"/>
        <v>200000</v>
      </c>
      <c r="J67" s="5">
        <f>IF($F67="разово",IF($L67=12,0,$I67),IF($F67="мес",$D67*$E67*(($G67&lt;=1)+($G67&lt;=2)),IF($F67="год",$D67*$E67/12*(($G67&lt;=1)+($G67&lt;=2)),$I67/2)))</f>
        <v>100000</v>
      </c>
      <c r="K67" s="5">
        <f>IF($F67="разово",IF($L67=12,$I67,0),IF($F67="мес",$D67*$E67*($G67&lt;=3),IF($F67="год",$D67*$E67/12*($G67&lt;=3),$I67/2)))</f>
        <v>100000</v>
      </c>
      <c r="L67" s="89"/>
    </row>
    <row r="68" spans="1:12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346</v>
      </c>
      <c r="I68" s="5">
        <f t="shared" si="9"/>
        <v>266000</v>
      </c>
      <c r="J68" s="5">
        <f>IF($F68="разово",IF($L68=12,0,$I68),IF($F68="мес",$D68*$E68*(($G68&lt;=1)+($G68&lt;=2)),IF($F68="год",$D68*$E68/12*(($G68&lt;=1)+($G68&lt;=2)),$I68/2)))</f>
        <v>133000</v>
      </c>
      <c r="K68" s="5">
        <f>IF($F68="разово",IF($L68=12,$I68,0),IF($F68="мес",$D68*$E68*($G68&lt;=3),IF($F68="год",$D68*$E68/12*($G68&lt;=3),$I68/2)))</f>
        <v>133000</v>
      </c>
      <c r="L68" s="89"/>
    </row>
    <row r="69" spans="1:12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9"/>
        <v>45000</v>
      </c>
      <c r="J69" s="5">
        <f>IF($F69="разово",IF($L69=12,0,$I69),IF($F69="мес",$D69*$E69*(($G69&lt;=1)+($G69&lt;=2)),IF($F69="год",$D69*$E69/12*(($G69&lt;=1)+($G69&lt;=2)),$I69/2)))</f>
        <v>22500</v>
      </c>
      <c r="K69" s="5">
        <f>IF($F69="разово",IF($L69=12,$I69,0),IF($F69="мес",$D69*$E69*($G69&lt;=3),IF($F69="год",$D69*$E69/12*($G69&lt;=3),$I69/2)))</f>
        <v>22500</v>
      </c>
      <c r="L69" s="89"/>
    </row>
    <row r="70" spans="1:12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9"/>
        <v>120000</v>
      </c>
      <c r="J70" s="5">
        <f>IF($F70="разово",IF($L70=12,0,$I70),IF($F70="мес",$D70*$E70*(($G70&lt;=1)+($G70&lt;=2)),IF($F70="год",$D70*$E70/12*(($G70&lt;=1)+($G70&lt;=2)),$I70/2)))</f>
        <v>60000</v>
      </c>
      <c r="K70" s="5">
        <f>IF($F70="разово",IF($L70=12,$I70,0),IF($F70="мес",$D70*$E70*($G70&lt;=3),IF($F70="год",$D70*$E70/12*($G70&lt;=3),$I70/2)))</f>
        <v>60000</v>
      </c>
      <c r="L70" s="89"/>
    </row>
    <row r="71" spans="1:12" ht="15" customHeight="1" x14ac:dyDescent="0.25">
      <c r="A71" t="s">
        <v>121</v>
      </c>
      <c r="B71" s="4" t="s">
        <v>536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555</v>
      </c>
      <c r="I71" s="5">
        <f t="shared" si="9"/>
        <v>79447</v>
      </c>
      <c r="J71" s="5">
        <f>IF($F71="разово",IF($L71=12,0,$I71),IF($F71="мес",$D71*$E71*(($G71&lt;=1)+($G71&lt;=2)),IF($F71="год",$D71*$E71/12*(($G71&lt;=1)+($G71&lt;=2)),$I71/2)))</f>
        <v>79447</v>
      </c>
      <c r="K71" s="5">
        <f>IF($F71="разово",IF($L71=12,$I71,0),IF($F71="мес",$D71*$E71*($G71&lt;=3),IF($F71="год",$D71*$E71/12*($G71&lt;=3),$I71/2)))</f>
        <v>0</v>
      </c>
      <c r="L71" s="89">
        <v>11</v>
      </c>
    </row>
    <row r="72" spans="1:12" s="102" customFormat="1" ht="15" customHeight="1" x14ac:dyDescent="0.25">
      <c r="A72" s="102" t="s">
        <v>121</v>
      </c>
      <c r="B72" s="4" t="s">
        <v>517</v>
      </c>
      <c r="C72" s="102" t="s">
        <v>518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519</v>
      </c>
      <c r="I72" s="5">
        <f>IF(F72="разово",IF(G72&lt;=3,D72*E72,0),IF(F72="мес",D72*E72*MAX(0,4-G72),D72*E72*MAX(0,4-G72)/12))</f>
        <v>76000</v>
      </c>
      <c r="J72" s="5">
        <f>IF($F72="разово",IF($L72=12,0,$I72),IF($F72="мес",$D72*$E72*(($G72&lt;=1)+($G72&lt;=2)),IF($F72="год",$D72*$E72/12*(($G72&lt;=1)+($G72&lt;=2)),$I72/2)))</f>
        <v>38000</v>
      </c>
      <c r="K72" s="5">
        <f>IF($F72="разово",IF($L72=12,$I72,0),IF($F72="мес",$D72*$E72*($G72&lt;=3),IF($F72="год",$D72*$E72/12*($G72&lt;=3),$I72/2)))</f>
        <v>38000</v>
      </c>
      <c r="L72" s="89"/>
    </row>
    <row r="73" spans="1:12" ht="15" customHeight="1" x14ac:dyDescent="0.25">
      <c r="A73" t="s">
        <v>128</v>
      </c>
      <c r="B73" s="4" t="s">
        <v>297</v>
      </c>
      <c r="C73" t="s">
        <v>234</v>
      </c>
      <c r="D73" s="9"/>
      <c r="E73" s="10"/>
      <c r="F73" s="9" t="s">
        <v>233</v>
      </c>
      <c r="G73" s="9"/>
      <c r="H73" s="4"/>
      <c r="I73" s="5">
        <v>2000000</v>
      </c>
      <c r="J73" s="5">
        <f>IF($F73="разово",IF($L73=12,0,$I73),IF($F73="мес",$D73*$E73*(($G73&lt;=1)+($G73&lt;=2)),IF($F73="год",$D73*$E73/12*(($G73&lt;=1)+($G73&lt;=2)),$I73/2)))</f>
        <v>1000000</v>
      </c>
      <c r="K73" s="5">
        <f>IF($F73="разово",IF($L73=12,$I73,0),IF($F73="мес",$D73*$E73*($G73&lt;=3),IF($F73="год",$D73*$E73/12*($G73&lt;=3),$I73/2)))</f>
        <v>1000000</v>
      </c>
      <c r="L73" s="89"/>
    </row>
    <row r="74" spans="1:12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9"/>
        <v>300000</v>
      </c>
      <c r="J74" s="5">
        <f>IF($F74="разово",IF($L74=12,0,$I74),IF($F74="мес",$D74*$E74*(($G74&lt;=1)+($G74&lt;=2)),IF($F74="год",$D74*$E74/12*(($G74&lt;=1)+($G74&lt;=2)),$I74/2)))</f>
        <v>150000</v>
      </c>
      <c r="K74" s="5">
        <f>IF($F74="разово",IF($L74=12,$I74,0),IF($F74="мес",$D74*$E74*($G74&lt;=3),IF($F74="год",$D74*$E74/12*($G74&lt;=3),$I74/2)))</f>
        <v>150000</v>
      </c>
      <c r="L74" s="89"/>
    </row>
    <row r="75" spans="1:12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9"/>
        <v>50000</v>
      </c>
      <c r="J75" s="5">
        <f>IF($F75="разово",IF($L75=12,0,$I75),IF($F75="мес",$D75*$E75*(($G75&lt;=1)+($G75&lt;=2)),IF($F75="год",$D75*$E75/12*(($G75&lt;=1)+($G75&lt;=2)),$I75/2)))</f>
        <v>25000</v>
      </c>
      <c r="K75" s="5">
        <f>IF($F75="разово",IF($L75=12,$I75,0),IF($F75="мес",$D75*$E75*($G75&lt;=3),IF($F75="год",$D75*$E75/12*($G75&lt;=3),$I75/2)))</f>
        <v>25000</v>
      </c>
      <c r="L75" s="89"/>
    </row>
    <row r="76" spans="1:12" ht="15" customHeight="1" x14ac:dyDescent="0.25">
      <c r="A76" t="s">
        <v>132</v>
      </c>
      <c r="B76" s="4" t="s">
        <v>535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556</v>
      </c>
      <c r="I76" s="5">
        <f t="shared" si="9"/>
        <v>350000</v>
      </c>
      <c r="J76" s="5">
        <f>IF($F76="разово",IF($L76=12,0,$I76),IF($F76="мес",$D76*$E76*(($G76&lt;=1)+($G76&lt;=2)),IF($F76="год",$D76*$E76/12*(($G76&lt;=1)+($G76&lt;=2)),$I76/2)))</f>
        <v>350000</v>
      </c>
      <c r="K76" s="5">
        <f>IF($F76="разово",IF($L76=12,$I76,0),IF($F76="мес",$D76*$E76*($G76&lt;=3),IF($F76="год",$D76*$E76/12*($G76&lt;=3),$I76/2)))</f>
        <v>0</v>
      </c>
      <c r="L76" s="89">
        <v>11</v>
      </c>
    </row>
    <row r="77" spans="1:12" ht="15" customHeight="1" x14ac:dyDescent="0.25">
      <c r="A77" t="s">
        <v>132</v>
      </c>
      <c r="B77" s="4" t="s">
        <v>347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9"/>
        <v>0</v>
      </c>
      <c r="J77" s="5">
        <f>IF($F77="разово",IF($L77=12,0,$I77),IF($F77="мес",$D77*$E77*(($G77&lt;=1)+($G77&lt;=2)),IF($F77="год",$D77*$E77/12*(($G77&lt;=1)+($G77&lt;=2)),$I77/2)))</f>
        <v>0</v>
      </c>
      <c r="K77" s="5">
        <f>IF($F77="разово",IF($L77=12,$I77,0),IF($F77="мес",$D77*$E77*($G77&lt;=3),IF($F77="год",$D77*$E77/12*($G77&lt;=3),$I77/2)))</f>
        <v>0</v>
      </c>
      <c r="L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9" width="14.7109375" customWidth="1"/>
    <col min="10" max="11" width="8.7109375" customWidth="1"/>
  </cols>
  <sheetData>
    <row r="1" spans="1:9" ht="17.25" x14ac:dyDescent="0.3">
      <c r="A1" s="1" t="s">
        <v>326</v>
      </c>
    </row>
    <row r="2" spans="1:9" x14ac:dyDescent="0.25">
      <c r="A2" s="2"/>
    </row>
    <row r="4" spans="1:9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563</v>
      </c>
      <c r="I4" s="34" t="s">
        <v>564</v>
      </c>
    </row>
    <row r="5" spans="1:9" ht="30" x14ac:dyDescent="0.25">
      <c r="A5" t="s">
        <v>273</v>
      </c>
      <c r="B5" s="4" t="s">
        <v>450</v>
      </c>
      <c r="C5" t="s">
        <v>234</v>
      </c>
      <c r="D5" s="9"/>
      <c r="E5" s="10"/>
      <c r="F5" s="9" t="s">
        <v>233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</row>
    <row r="6" spans="1:9" x14ac:dyDescent="0.25">
      <c r="A6" t="s">
        <v>273</v>
      </c>
      <c r="B6" s="4" t="s">
        <v>451</v>
      </c>
      <c r="C6" t="s">
        <v>234</v>
      </c>
      <c r="D6" s="9"/>
      <c r="E6" s="10"/>
      <c r="F6" s="9" t="s">
        <v>233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</row>
    <row r="7" spans="1:9" x14ac:dyDescent="0.25">
      <c r="A7" t="s">
        <v>273</v>
      </c>
      <c r="B7" s="4" t="s">
        <v>235</v>
      </c>
      <c r="C7" t="s">
        <v>234</v>
      </c>
      <c r="D7" s="9"/>
      <c r="E7" s="10"/>
      <c r="F7" s="9" t="s">
        <v>233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</row>
    <row r="8" spans="1:9" x14ac:dyDescent="0.25">
      <c r="A8" t="s">
        <v>273</v>
      </c>
      <c r="B8" s="4" t="s">
        <v>452</v>
      </c>
      <c r="C8" t="s">
        <v>234</v>
      </c>
      <c r="D8" s="9"/>
      <c r="E8" s="10"/>
      <c r="F8" s="9" t="s">
        <v>233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</row>
    <row r="9" spans="1:9" x14ac:dyDescent="0.25">
      <c r="A9" t="s">
        <v>273</v>
      </c>
      <c r="B9" s="4" t="s">
        <v>453</v>
      </c>
      <c r="C9" t="s">
        <v>234</v>
      </c>
      <c r="D9" s="9"/>
      <c r="E9" s="10"/>
      <c r="F9" s="9" t="s">
        <v>233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</row>
    <row r="10" spans="1:9" x14ac:dyDescent="0.25">
      <c r="A10" t="s">
        <v>273</v>
      </c>
      <c r="B10" s="4" t="s">
        <v>449</v>
      </c>
      <c r="C10" t="s">
        <v>234</v>
      </c>
      <c r="D10" s="9"/>
      <c r="E10" s="10"/>
      <c r="F10" s="9" t="s">
        <v>233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</row>
    <row r="11" spans="1:9" x14ac:dyDescent="0.25">
      <c r="B11" s="4"/>
      <c r="D11" s="9"/>
      <c r="E11" s="10"/>
      <c r="F11" s="9"/>
      <c r="G11" s="5"/>
      <c r="H11" s="5"/>
      <c r="I11" s="5"/>
    </row>
    <row r="12" spans="1:9" x14ac:dyDescent="0.25">
      <c r="G12" s="5"/>
      <c r="H12" s="5"/>
      <c r="I12" s="5"/>
    </row>
    <row r="13" spans="1:9" x14ac:dyDescent="0.25">
      <c r="B13" s="7" t="s">
        <v>327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395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402</v>
      </c>
      <c r="B5" s="54" t="s">
        <v>403</v>
      </c>
      <c r="C5" s="55" t="s">
        <v>404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405</v>
      </c>
      <c r="B6" s="57" t="s">
        <v>406</v>
      </c>
      <c r="C6" s="55" t="s">
        <v>407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408</v>
      </c>
      <c r="B7" s="57" t="s">
        <v>409</v>
      </c>
      <c r="C7" s="55" t="s">
        <v>407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410</v>
      </c>
      <c r="B8" s="57" t="s">
        <v>411</v>
      </c>
      <c r="C8" s="55" t="s">
        <v>407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412</v>
      </c>
      <c r="B9" s="57" t="s">
        <v>413</v>
      </c>
      <c r="C9" s="55" t="s">
        <v>407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414</v>
      </c>
      <c r="B10" s="57" t="s">
        <v>415</v>
      </c>
      <c r="C10" s="55" t="s">
        <v>407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416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417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418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F14</f>
        <v>5530000</v>
      </c>
    </row>
    <row r="5" spans="1:12" x14ac:dyDescent="0.2">
      <c r="A5" s="51" t="s">
        <v>402</v>
      </c>
      <c r="B5" s="57" t="s">
        <v>419</v>
      </c>
      <c r="C5" s="55" t="s">
        <v>420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405</v>
      </c>
      <c r="B6" s="57" t="s">
        <v>421</v>
      </c>
      <c r="C6" s="55" t="s">
        <v>420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408</v>
      </c>
      <c r="B7" s="57" t="s">
        <v>422</v>
      </c>
      <c r="C7" s="55" t="s">
        <v>420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410</v>
      </c>
      <c r="B8" s="57" t="s">
        <v>423</v>
      </c>
      <c r="C8" s="55" t="s">
        <v>424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412</v>
      </c>
      <c r="B9" s="57" t="s">
        <v>425</v>
      </c>
      <c r="C9" s="55" t="s">
        <v>426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414</v>
      </c>
      <c r="B10" s="57" t="s">
        <v>427</v>
      </c>
      <c r="C10" s="55" t="s">
        <v>426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428</v>
      </c>
      <c r="C11" s="55" t="s">
        <v>426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414</v>
      </c>
      <c r="B12" s="57" t="s">
        <v>411</v>
      </c>
      <c r="C12" s="55" t="s">
        <v>424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429</v>
      </c>
      <c r="B13" s="75" t="s">
        <v>430</v>
      </c>
      <c r="C13" s="76" t="s">
        <v>404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416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417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431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F8</f>
        <v>14900000</v>
      </c>
    </row>
    <row r="5" spans="1:12" x14ac:dyDescent="0.2">
      <c r="A5" s="51" t="s">
        <v>402</v>
      </c>
      <c r="B5" s="57" t="s">
        <v>432</v>
      </c>
      <c r="C5" s="55" t="s">
        <v>433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405</v>
      </c>
      <c r="B6" s="57" t="s">
        <v>434</v>
      </c>
      <c r="C6" s="55" t="s">
        <v>435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408</v>
      </c>
      <c r="B7" s="57" t="s">
        <v>436</v>
      </c>
      <c r="C7" s="55" t="s">
        <v>435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416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417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437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402</v>
      </c>
      <c r="B5" s="57" t="s">
        <v>438</v>
      </c>
      <c r="C5" s="55" t="s">
        <v>424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405</v>
      </c>
      <c r="B6" s="57" t="s">
        <v>439</v>
      </c>
      <c r="C6" s="55" t="s">
        <v>433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408</v>
      </c>
      <c r="B7" s="57" t="s">
        <v>440</v>
      </c>
      <c r="C7" s="55" t="s">
        <v>424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410</v>
      </c>
      <c r="B8" s="57" t="s">
        <v>441</v>
      </c>
      <c r="C8" s="55" t="s">
        <v>424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412</v>
      </c>
      <c r="B9" s="57" t="s">
        <v>442</v>
      </c>
      <c r="C9" s="55" t="s">
        <v>424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414</v>
      </c>
      <c r="B10" s="57" t="s">
        <v>443</v>
      </c>
      <c r="C10" s="55" t="s">
        <v>424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429</v>
      </c>
      <c r="B11" s="57" t="s">
        <v>444</v>
      </c>
      <c r="C11" s="55" t="s">
        <v>426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416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417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F7</f>
        <v>11300000</v>
      </c>
    </row>
    <row r="5" spans="1:12" x14ac:dyDescent="0.2">
      <c r="A5" s="51" t="s">
        <v>402</v>
      </c>
      <c r="B5" s="57" t="s">
        <v>446</v>
      </c>
      <c r="C5" s="55" t="s">
        <v>424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405</v>
      </c>
      <c r="B6" s="57" t="s">
        <v>447</v>
      </c>
      <c r="C6" s="55" t="s">
        <v>433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416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417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448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F6</f>
        <v>14000000</v>
      </c>
    </row>
    <row r="5" spans="1:12" x14ac:dyDescent="0.2">
      <c r="A5" s="51" t="s">
        <v>402</v>
      </c>
      <c r="B5" s="57" t="s">
        <v>449</v>
      </c>
      <c r="C5" s="55" t="s">
        <v>424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416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417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351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298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349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537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557</v>
      </c>
    </row>
    <row r="21" spans="1:7" x14ac:dyDescent="0.25">
      <c r="A21" s="7"/>
      <c r="B21" s="7" t="s">
        <v>350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341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42</vt:i4>
      </vt:variant>
    </vt:vector>
  </HeadingPairs>
  <TitlesOfParts>
    <vt:vector size="58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2026-10-28T06:06:04Z</dcterms:modified>
  <dc:language>en-US</dc:language>
</cp:coreProperties>
</file>