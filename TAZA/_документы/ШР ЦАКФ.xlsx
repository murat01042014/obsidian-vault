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<sst xmlns="http://schemas.openxmlformats.org/spreadsheetml/2006/main" count="1890" uniqueCount="455">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</sst>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/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449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298</v>
      </c>
      <c r="F5" s="220" t="s">
        <v>297</v>
      </c>
      <c r="G5" s="219" t="s">
        <v>282</v>
      </c>
      <c r="H5" s="219" t="s">
        <v>299</v>
      </c>
      <c r="I5" s="219" t="s">
        <v>300</v>
      </c>
      <c r="J5" s="219" t="s">
        <v>301</v>
      </c>
    </row>
    <row r="6" spans="1:10">
      <c r="A6" s="200" t="s">
        <v>262</v>
      </c>
      <c r="B6" s="201" t="s">
        <v>288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446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305</v>
      </c>
      <c r="I7" s="264" t="s">
        <v>307</v>
      </c>
      <c r="J7" s="270" t="s">
        <v>447</v>
      </c>
    </row>
    <row r="8" spans="1:10" ht="30">
      <c r="A8" s="205">
        <v>2</v>
      </c>
      <c r="B8" s="206" t="s">
        <v>427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305</v>
      </c>
      <c r="I8" s="264" t="s">
        <v>307</v>
      </c>
      <c r="J8" s="270" t="s">
        <v>330</v>
      </c>
    </row>
    <row r="9" spans="1:10" ht="45">
      <c r="A9" s="205">
        <v>2</v>
      </c>
      <c r="B9" s="206" t="s">
        <v>444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305</v>
      </c>
      <c r="I9" s="264" t="s">
        <v>307</v>
      </c>
      <c r="J9" s="270" t="s">
        <v>445</v>
      </c>
    </row>
    <row r="10" spans="1:10">
      <c r="A10" s="200" t="s">
        <v>287</v>
      </c>
      <c r="B10" s="201" t="s">
        <v>289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418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305</v>
      </c>
      <c r="I11" s="264" t="s">
        <v>309</v>
      </c>
      <c r="J11" s="270" t="s">
        <v>329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428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305</v>
      </c>
      <c r="I13" s="290" t="s">
        <v>426</v>
      </c>
      <c r="J13" s="291" t="s">
        <v>328</v>
      </c>
    </row>
    <row r="14" spans="1:10">
      <c r="A14" s="182">
        <v>2</v>
      </c>
      <c r="B14" s="210" t="s">
        <v>429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305</v>
      </c>
      <c r="I14" s="264" t="s">
        <v>309</v>
      </c>
      <c r="J14" s="270" t="s">
        <v>327</v>
      </c>
    </row>
    <row r="15" spans="1:10" s="214" customFormat="1" ht="29.25">
      <c r="A15" s="213">
        <v>3</v>
      </c>
      <c r="B15" s="210" t="s">
        <v>430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305</v>
      </c>
      <c r="I15" s="284" t="s">
        <v>309</v>
      </c>
      <c r="J15" s="285" t="s">
        <v>326</v>
      </c>
    </row>
    <row r="16" spans="1:10" s="214" customFormat="1">
      <c r="A16" s="249">
        <v>4</v>
      </c>
      <c r="B16" s="255" t="s">
        <v>431</v>
      </c>
      <c r="C16" s="249"/>
      <c r="D16" s="251"/>
      <c r="E16" s="252"/>
      <c r="F16" s="253"/>
      <c r="G16" s="251"/>
      <c r="H16" s="251" t="s">
        <v>302</v>
      </c>
      <c r="I16" s="263" t="s">
        <v>309</v>
      </c>
      <c r="J16" s="272" t="s">
        <v>425</v>
      </c>
    </row>
    <row r="17" spans="1:10" s="214" customFormat="1" ht="30">
      <c r="A17" s="243">
        <v>5</v>
      </c>
      <c r="B17" s="244" t="s">
        <v>432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305</v>
      </c>
      <c r="I17" s="266" t="s">
        <v>318</v>
      </c>
      <c r="J17" s="271" t="s">
        <v>325</v>
      </c>
    </row>
    <row r="18" spans="1:10" ht="42.75">
      <c r="A18" s="202"/>
      <c r="B18" s="203" t="s">
        <v>424</v>
      </c>
      <c r="C18" s="204"/>
      <c r="D18" s="181">
        <f>SUM(D19:D22)</f>
        <v>4</v>
      </c>
      <c r="E18" s="221">
        <f>SUM(E19:E22)</f>
        <v>3400000</v>
      </c>
      <c r="F18" s="222">
        <f>SUM(F19:F22)</f>
        <v>2744700</v>
      </c>
      <c r="G18" s="181">
        <f>SUM(G19:G22)</f>
        <v>40800</v>
      </c>
      <c r="H18" s="181"/>
      <c r="I18" s="181"/>
      <c r="J18" s="267"/>
    </row>
    <row r="19" spans="1:10" ht="45">
      <c r="A19" s="196">
        <v>1</v>
      </c>
      <c r="B19" s="211" t="s">
        <v>450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305</v>
      </c>
      <c r="I19" s="264" t="s">
        <v>309</v>
      </c>
      <c r="J19" s="270" t="s">
        <v>410</v>
      </c>
    </row>
    <row r="20" spans="1:10" s="214" customFormat="1" ht="30">
      <c r="A20" s="213">
        <v>2</v>
      </c>
      <c r="B20" s="210" t="s">
        <v>451</v>
      </c>
      <c r="C20" s="213" t="s">
        <v>272</v>
      </c>
      <c r="D20" s="281">
        <v>1</v>
      </c>
      <c r="E20" s="282">
        <v>800000</v>
      </c>
      <c r="F20" s="283">
        <f>IF(E20&gt;0,E20-MIN(E20,4250000)*10%-MIN(E20,1700000)*2%-MAX(0,E20-MIN(E20,4250000)*10%-MIN(E20,1700000)*2%-129750)*10%,0)</f>
        <v>646575</v>
      </c>
      <c r="G20" s="281">
        <f>D20*E20*12/1000</f>
        <v>9600</v>
      </c>
      <c r="H20" s="281" t="s">
        <v>305</v>
      </c>
      <c r="I20" s="284" t="s">
        <v>309</v>
      </c>
      <c r="J20" s="285" t="s">
        <v>324</v>
      </c>
    </row>
    <row r="21" spans="1:10" s="214" customFormat="1" ht="30">
      <c r="A21" s="213">
        <v>3</v>
      </c>
      <c r="B21" s="210" t="s">
        <v>452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305</v>
      </c>
      <c r="I21" s="284" t="s">
        <v>309</v>
      </c>
      <c r="J21" s="285" t="s">
        <v>448</v>
      </c>
    </row>
    <row r="22" spans="1:10" s="214" customFormat="1" ht="30">
      <c r="A22" s="243">
        <v>4</v>
      </c>
      <c r="B22" s="244" t="s">
        <v>453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305</v>
      </c>
      <c r="I22" s="266" t="s">
        <v>318</v>
      </c>
      <c r="J22" s="271" t="s">
        <v>323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433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305</v>
      </c>
      <c r="I24" s="266" t="s">
        <v>318</v>
      </c>
      <c r="J24" s="271" t="s">
        <v>322</v>
      </c>
    </row>
    <row r="25" spans="1:10" ht="30">
      <c r="A25" s="182">
        <v>2</v>
      </c>
      <c r="B25" s="183" t="s">
        <v>443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305</v>
      </c>
      <c r="I25" s="264" t="s">
        <v>309</v>
      </c>
      <c r="J25" s="270" t="s">
        <v>321</v>
      </c>
    </row>
    <row r="26" spans="1:10" ht="30">
      <c r="A26" s="213">
        <v>3</v>
      </c>
      <c r="B26" s="183" t="s">
        <v>423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305</v>
      </c>
      <c r="I26" s="264" t="s">
        <v>309</v>
      </c>
      <c r="J26" s="270" t="s">
        <v>413</v>
      </c>
    </row>
    <row r="27" spans="1:10" s="214" customFormat="1" ht="30">
      <c r="A27" s="243">
        <v>4</v>
      </c>
      <c r="B27" s="248" t="s">
        <v>434</v>
      </c>
      <c r="C27" s="243" t="s">
        <v>272</v>
      </c>
      <c r="D27" s="245">
        <v>1</v>
      </c>
      <c r="E27" s="246">
        <v>1000000</v>
      </c>
      <c r="F27" s="247">
        <f t="shared" si="4"/>
        <v>804975</v>
      </c>
      <c r="G27" s="245">
        <f t="shared" si="5"/>
        <v>12000</v>
      </c>
      <c r="H27" s="245" t="s">
        <v>305</v>
      </c>
      <c r="I27" s="266" t="s">
        <v>318</v>
      </c>
      <c r="J27" s="271" t="s">
        <v>320</v>
      </c>
    </row>
    <row r="28" spans="1:10" ht="30">
      <c r="A28" s="182">
        <v>5</v>
      </c>
      <c r="B28" s="183" t="s">
        <v>421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305</v>
      </c>
      <c r="I28" s="264" t="s">
        <v>309</v>
      </c>
      <c r="J28" s="270" t="s">
        <v>414</v>
      </c>
    </row>
    <row r="29" spans="1:10" ht="30">
      <c r="A29" s="182">
        <v>6</v>
      </c>
      <c r="B29" s="183" t="s">
        <v>422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305</v>
      </c>
      <c r="I29" s="264" t="s">
        <v>309</v>
      </c>
      <c r="J29" s="270" t="s">
        <v>415</v>
      </c>
    </row>
    <row r="30" spans="1:10" ht="30">
      <c r="A30" s="213">
        <v>7</v>
      </c>
      <c r="B30" s="292" t="s">
        <v>435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305</v>
      </c>
      <c r="I30" s="284" t="s">
        <v>309</v>
      </c>
      <c r="J30" s="285" t="s">
        <v>320</v>
      </c>
    </row>
    <row r="31" spans="1:10" s="214" customFormat="1" ht="30">
      <c r="A31" s="243">
        <v>8</v>
      </c>
      <c r="B31" s="244" t="s">
        <v>436</v>
      </c>
      <c r="C31" s="243" t="s">
        <v>271</v>
      </c>
      <c r="D31" s="245">
        <v>1</v>
      </c>
      <c r="E31" s="246">
        <v>700000</v>
      </c>
      <c r="F31" s="247">
        <f t="shared" si="4"/>
        <v>567375</v>
      </c>
      <c r="G31" s="245">
        <f t="shared" si="5"/>
        <v>8400</v>
      </c>
      <c r="H31" s="245" t="s">
        <v>305</v>
      </c>
      <c r="I31" s="266" t="s">
        <v>318</v>
      </c>
      <c r="J31" s="271" t="s">
        <v>320</v>
      </c>
    </row>
    <row r="32" spans="1:10" s="214" customFormat="1" ht="30">
      <c r="A32" s="243">
        <v>9</v>
      </c>
      <c r="B32" s="244" t="s">
        <v>437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305</v>
      </c>
      <c r="I32" s="266" t="s">
        <v>318</v>
      </c>
      <c r="J32" s="271" t="s">
        <v>319</v>
      </c>
    </row>
    <row r="33" spans="1:10" s="214" customFormat="1" ht="30">
      <c r="A33" s="243">
        <v>10</v>
      </c>
      <c r="B33" s="244" t="s">
        <v>438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305</v>
      </c>
      <c r="I33" s="266" t="s">
        <v>318</v>
      </c>
      <c r="J33" s="271" t="s">
        <v>320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420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305</v>
      </c>
      <c r="I35" s="264" t="s">
        <v>309</v>
      </c>
      <c r="J35" s="270" t="s">
        <v>416</v>
      </c>
    </row>
    <row r="36" spans="1:10" ht="30">
      <c r="A36" s="249">
        <v>2</v>
      </c>
      <c r="B36" s="250" t="s">
        <v>295</v>
      </c>
      <c r="C36" s="249"/>
      <c r="D36" s="251"/>
      <c r="E36" s="252"/>
      <c r="F36" s="253"/>
      <c r="G36" s="251"/>
      <c r="H36" s="251" t="s">
        <v>302</v>
      </c>
      <c r="I36" s="263" t="s">
        <v>309</v>
      </c>
      <c r="J36" s="272" t="s">
        <v>317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439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305</v>
      </c>
      <c r="I38" s="265" t="s">
        <v>309</v>
      </c>
      <c r="J38" s="273" t="s">
        <v>316</v>
      </c>
    </row>
    <row r="39" spans="1:10" ht="30">
      <c r="A39" s="168">
        <v>2</v>
      </c>
      <c r="B39" s="210" t="s">
        <v>419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305</v>
      </c>
      <c r="I39" s="265" t="s">
        <v>309</v>
      </c>
      <c r="J39" s="273" t="s">
        <v>417</v>
      </c>
    </row>
    <row r="40" spans="1:10" s="212" customFormat="1" ht="30">
      <c r="A40" s="254">
        <v>3</v>
      </c>
      <c r="B40" s="255" t="s">
        <v>292</v>
      </c>
      <c r="C40" s="249" t="s">
        <v>272</v>
      </c>
      <c r="D40" s="256"/>
      <c r="E40" s="257"/>
      <c r="F40" s="258"/>
      <c r="G40" s="256"/>
      <c r="H40" s="256" t="s">
        <v>302</v>
      </c>
      <c r="I40" s="262" t="s">
        <v>309</v>
      </c>
      <c r="J40" s="274" t="s">
        <v>315</v>
      </c>
    </row>
    <row r="41" spans="1:10" s="212" customFormat="1" ht="30">
      <c r="A41" s="254">
        <v>4</v>
      </c>
      <c r="B41" s="255" t="s">
        <v>293</v>
      </c>
      <c r="C41" s="249" t="s">
        <v>271</v>
      </c>
      <c r="D41" s="256"/>
      <c r="E41" s="257"/>
      <c r="F41" s="258"/>
      <c r="G41" s="256"/>
      <c r="H41" s="256" t="s">
        <v>302</v>
      </c>
      <c r="I41" s="262" t="s">
        <v>309</v>
      </c>
      <c r="J41" s="274" t="s">
        <v>314</v>
      </c>
    </row>
    <row r="42" spans="1:10" s="212" customFormat="1">
      <c r="A42" s="294">
        <v>5</v>
      </c>
      <c r="B42" s="210" t="s">
        <v>440</v>
      </c>
      <c r="C42" s="213" t="s">
        <v>271</v>
      </c>
      <c r="D42" s="295">
        <v>1</v>
      </c>
      <c r="E42" s="296">
        <v>700000</v>
      </c>
      <c r="F42" s="297">
        <f>IF(E42&gt;0,E42-MIN(E42,4250000)*10%-MIN(E42,1700000)*2%-MAX(0,E42-MIN(E42,4250000)*10%-MIN(E42,1700000)*2%-129750)*10%,0)</f>
        <v>567375</v>
      </c>
      <c r="G42" s="295">
        <f>D42*E42*12/1000</f>
        <v>8400</v>
      </c>
      <c r="H42" s="295" t="s">
        <v>305</v>
      </c>
      <c r="I42" s="298" t="s">
        <v>309</v>
      </c>
      <c r="J42" s="299" t="s">
        <v>313</v>
      </c>
    </row>
    <row r="43" spans="1:10" ht="30">
      <c r="A43" s="168">
        <v>6</v>
      </c>
      <c r="B43" s="176" t="s">
        <v>441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305</v>
      </c>
      <c r="I43" s="265" t="s">
        <v>309</v>
      </c>
      <c r="J43" s="273" t="s">
        <v>312</v>
      </c>
    </row>
    <row r="44" spans="1:10" ht="30">
      <c r="A44" s="182">
        <v>7</v>
      </c>
      <c r="B44" s="176" t="s">
        <v>442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305</v>
      </c>
      <c r="I44" s="264" t="s">
        <v>309</v>
      </c>
      <c r="J44" s="270" t="s">
        <v>311</v>
      </c>
    </row>
    <row r="45" spans="1:10" s="212" customFormat="1" ht="30">
      <c r="A45" s="254">
        <v>8</v>
      </c>
      <c r="B45" s="255" t="s">
        <v>294</v>
      </c>
      <c r="C45" s="249" t="s">
        <v>271</v>
      </c>
      <c r="D45" s="256">
        <v>0</v>
      </c>
      <c r="E45" s="257"/>
      <c r="F45" s="258"/>
      <c r="G45" s="256"/>
      <c r="H45" s="256" t="s">
        <v>302</v>
      </c>
      <c r="I45" s="262" t="s">
        <v>309</v>
      </c>
      <c r="J45" s="274" t="s">
        <v>310</v>
      </c>
    </row>
    <row r="46" spans="1:10">
      <c r="A46" s="167" t="s">
        <v>267</v>
      </c>
      <c r="B46" s="167" t="s">
        <v>291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305</v>
      </c>
      <c r="I47" s="265" t="s">
        <v>307</v>
      </c>
      <c r="J47" s="273" t="s">
        <v>308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305</v>
      </c>
      <c r="I48" s="264" t="s">
        <v>309</v>
      </c>
      <c r="J48" s="270" t="s">
        <v>306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302</v>
      </c>
      <c r="I49" s="263" t="s">
        <v>309</v>
      </c>
      <c r="J49" s="272" t="s">
        <v>304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302</v>
      </c>
      <c r="I50" s="262" t="s">
        <v>309</v>
      </c>
      <c r="J50" s="274" t="s">
        <v>303</v>
      </c>
    </row>
    <row r="51" spans="1:10" ht="15.75" thickBot="1">
      <c r="A51" s="197"/>
      <c r="B51" s="198" t="s">
        <v>290</v>
      </c>
      <c r="C51" s="189"/>
      <c r="D51" s="174">
        <f>D6+D10+D12+D18+D23+D34+D37+D46</f>
        <v>30</v>
      </c>
      <c r="E51" s="233">
        <f>E6+E10+E12+E18+E23+E34+E37+E46</f>
        <v>31793100</v>
      </c>
      <c r="F51" s="235">
        <f>F6+F10+F12+F18+F23+F34+F37+F46</f>
        <v>25595335.199999999</v>
      </c>
      <c r="G51" s="234">
        <f>G6+G10+G12+G18+G23+G34+G37+G46</f>
        <v>366000</v>
      </c>
      <c r="H51" s="234"/>
      <c r="I51" s="234"/>
      <c r="J51" s="234"/>
    </row>
    <row r="52" spans="1:10" ht="45">
      <c r="A52" s="241"/>
      <c r="B52" s="217" t="s">
        <v>454</v>
      </c>
      <c r="C52" s="186"/>
      <c r="D52" s="1"/>
      <c r="E52" s="175"/>
      <c r="G52" s="165"/>
    </row>
    <row r="53" spans="1:10">
      <c r="A53" s="241"/>
      <c r="B53" s="261" t="s">
        <v>296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331</v>
      </c>
    </row>
    <row r="3" spans="1:6" ht="30" customHeight="1">
      <c r="A3" s="449" t="s">
        <v>332</v>
      </c>
      <c r="B3" s="449"/>
      <c r="C3" s="449"/>
      <c r="D3" s="449"/>
      <c r="E3" s="449"/>
      <c r="F3" s="449"/>
    </row>
    <row r="4" spans="1:6" ht="44.1" customHeight="1">
      <c r="A4" s="449" t="s">
        <v>333</v>
      </c>
      <c r="B4" s="449"/>
      <c r="C4" s="449"/>
      <c r="D4" s="449"/>
      <c r="E4" s="449"/>
      <c r="F4" s="449"/>
    </row>
    <row r="5" spans="1:6" ht="44.1" customHeight="1">
      <c r="A5" s="449" t="s">
        <v>334</v>
      </c>
      <c r="B5" s="449"/>
      <c r="C5" s="449"/>
      <c r="D5" s="449"/>
      <c r="E5" s="449"/>
      <c r="F5" s="449"/>
    </row>
    <row r="6" spans="1:6" ht="30" customHeight="1">
      <c r="A6" s="449" t="s">
        <v>335</v>
      </c>
      <c r="B6" s="449"/>
      <c r="C6" s="449"/>
      <c r="D6" s="449"/>
      <c r="E6" s="449"/>
      <c r="F6" s="449"/>
    </row>
    <row r="7" spans="1:6" ht="30" customHeight="1">
      <c r="A7" s="449" t="s">
        <v>336</v>
      </c>
      <c r="B7" s="449"/>
      <c r="C7" s="449"/>
      <c r="D7" s="449"/>
      <c r="E7" s="449"/>
      <c r="F7" s="449"/>
    </row>
    <row r="9" spans="1:6" ht="25.5">
      <c r="A9" s="279" t="s">
        <v>337</v>
      </c>
      <c r="B9" s="279" t="s">
        <v>338</v>
      </c>
      <c r="C9" s="279" t="s">
        <v>339</v>
      </c>
      <c r="D9" s="279" t="s">
        <v>340</v>
      </c>
      <c r="E9" s="279" t="s">
        <v>341</v>
      </c>
      <c r="F9" s="279" t="s">
        <v>342</v>
      </c>
    </row>
    <row r="10" spans="1:6" ht="51">
      <c r="A10" s="278" t="s">
        <v>343</v>
      </c>
      <c r="B10" s="280" t="s">
        <v>344</v>
      </c>
      <c r="C10" s="280" t="s">
        <v>345</v>
      </c>
      <c r="D10" s="278" t="s">
        <v>346</v>
      </c>
      <c r="E10" s="278" t="s">
        <v>347</v>
      </c>
      <c r="F10" s="278" t="s">
        <v>348</v>
      </c>
    </row>
    <row r="11" spans="1:6" ht="76.5">
      <c r="A11" s="278" t="s">
        <v>411</v>
      </c>
      <c r="B11" s="280" t="s">
        <v>349</v>
      </c>
      <c r="C11" s="280" t="s">
        <v>350</v>
      </c>
      <c r="D11" s="278" t="s">
        <v>351</v>
      </c>
      <c r="E11" s="278" t="s">
        <v>352</v>
      </c>
      <c r="F11" s="278" t="s">
        <v>353</v>
      </c>
    </row>
    <row r="12" spans="1:6" ht="51">
      <c r="A12" s="278" t="s">
        <v>412</v>
      </c>
      <c r="B12" s="280" t="s">
        <v>354</v>
      </c>
      <c r="C12" s="280" t="s">
        <v>355</v>
      </c>
      <c r="D12" s="278" t="s">
        <v>356</v>
      </c>
      <c r="E12" s="278" t="s">
        <v>357</v>
      </c>
      <c r="F12" s="278" t="s">
        <v>358</v>
      </c>
    </row>
    <row r="13" spans="1:6" ht="63.75">
      <c r="A13" s="278" t="s">
        <v>359</v>
      </c>
      <c r="B13" s="280" t="s">
        <v>360</v>
      </c>
      <c r="C13" s="280" t="s">
        <v>361</v>
      </c>
      <c r="D13" s="278" t="s">
        <v>362</v>
      </c>
      <c r="E13" s="278" t="s">
        <v>363</v>
      </c>
      <c r="F13" s="278" t="s">
        <v>364</v>
      </c>
    </row>
    <row r="14" spans="1:6" ht="51">
      <c r="A14" s="278" t="s">
        <v>365</v>
      </c>
      <c r="B14" s="280" t="s">
        <v>366</v>
      </c>
      <c r="C14" s="280" t="s">
        <v>367</v>
      </c>
      <c r="D14" s="278" t="s">
        <v>368</v>
      </c>
      <c r="E14" s="278" t="s">
        <v>369</v>
      </c>
      <c r="F14" s="278" t="s">
        <v>370</v>
      </c>
    </row>
    <row r="15" spans="1:6" ht="51">
      <c r="A15" s="278" t="s">
        <v>371</v>
      </c>
      <c r="B15" s="280" t="s">
        <v>372</v>
      </c>
      <c r="C15" s="280" t="s">
        <v>373</v>
      </c>
      <c r="D15" s="278" t="s">
        <v>374</v>
      </c>
      <c r="E15" s="278" t="s">
        <v>375</v>
      </c>
      <c r="F15" s="278" t="s">
        <v>376</v>
      </c>
    </row>
    <row r="16" spans="1:6" ht="51">
      <c r="A16" s="278" t="s">
        <v>377</v>
      </c>
      <c r="B16" s="280" t="s">
        <v>360</v>
      </c>
      <c r="C16" s="280" t="s">
        <v>378</v>
      </c>
      <c r="D16" s="278" t="s">
        <v>379</v>
      </c>
      <c r="E16" s="278" t="s">
        <v>380</v>
      </c>
      <c r="F16" s="278" t="s">
        <v>381</v>
      </c>
    </row>
    <row r="17" spans="1:6" ht="25.5">
      <c r="A17" s="278" t="s">
        <v>382</v>
      </c>
      <c r="B17" s="280" t="s">
        <v>360</v>
      </c>
      <c r="C17" s="280" t="s">
        <v>378</v>
      </c>
      <c r="D17" s="278" t="s">
        <v>383</v>
      </c>
      <c r="E17" s="278" t="s">
        <v>357</v>
      </c>
      <c r="F17" s="278" t="s">
        <v>384</v>
      </c>
    </row>
    <row r="18" spans="1:6" ht="38.25">
      <c r="A18" s="278" t="s">
        <v>385</v>
      </c>
      <c r="B18" s="280" t="s">
        <v>360</v>
      </c>
      <c r="C18" s="280" t="s">
        <v>378</v>
      </c>
      <c r="D18" s="278" t="s">
        <v>386</v>
      </c>
      <c r="E18" s="278" t="s">
        <v>387</v>
      </c>
      <c r="F18" s="278" t="s">
        <v>388</v>
      </c>
    </row>
    <row r="19" spans="1:6" ht="38.25">
      <c r="A19" s="278" t="s">
        <v>389</v>
      </c>
      <c r="B19" s="280" t="s">
        <v>372</v>
      </c>
      <c r="C19" s="280" t="s">
        <v>378</v>
      </c>
      <c r="D19" s="278" t="s">
        <v>390</v>
      </c>
      <c r="E19" s="278" t="s">
        <v>391</v>
      </c>
      <c r="F19" s="278" t="s">
        <v>392</v>
      </c>
    </row>
    <row r="20" spans="1:6" ht="51">
      <c r="A20" s="278" t="s">
        <v>393</v>
      </c>
      <c r="B20" s="280" t="s">
        <v>372</v>
      </c>
      <c r="C20" s="280" t="s">
        <v>378</v>
      </c>
      <c r="D20" s="278" t="s">
        <v>394</v>
      </c>
      <c r="E20" s="278" t="s">
        <v>395</v>
      </c>
      <c r="F20" s="278" t="s">
        <v>396</v>
      </c>
    </row>
    <row r="21" spans="1:6" ht="25.5">
      <c r="A21" s="278" t="s">
        <v>397</v>
      </c>
      <c r="B21" s="280" t="s">
        <v>372</v>
      </c>
      <c r="C21" s="280" t="s">
        <v>378</v>
      </c>
      <c r="D21" s="278" t="s">
        <v>398</v>
      </c>
      <c r="E21" s="278" t="s">
        <v>399</v>
      </c>
      <c r="F21" s="278" t="s">
        <v>400</v>
      </c>
    </row>
    <row r="23" spans="1:6">
      <c r="A23" s="276" t="s">
        <v>401</v>
      </c>
    </row>
    <row r="24" spans="1:6" ht="27" customHeight="1">
      <c r="A24" s="448" t="s">
        <v>402</v>
      </c>
      <c r="B24" s="448"/>
      <c r="C24" s="448"/>
      <c r="D24" s="448"/>
      <c r="E24" s="448"/>
      <c r="F24" s="448"/>
    </row>
    <row r="25" spans="1:6" ht="27" customHeight="1">
      <c r="A25" s="448" t="s">
        <v>403</v>
      </c>
      <c r="B25" s="448"/>
      <c r="C25" s="448"/>
      <c r="D25" s="448"/>
      <c r="E25" s="448"/>
      <c r="F25" s="448"/>
    </row>
    <row r="26" spans="1:6" ht="27" customHeight="1">
      <c r="A26" s="448" t="s">
        <v>404</v>
      </c>
      <c r="B26" s="448"/>
      <c r="C26" s="448"/>
      <c r="D26" s="448"/>
      <c r="E26" s="448"/>
      <c r="F26" s="448"/>
    </row>
    <row r="27" spans="1:6" ht="27" customHeight="1">
      <c r="A27" s="448" t="s">
        <v>405</v>
      </c>
      <c r="B27" s="448"/>
      <c r="C27" s="448"/>
      <c r="D27" s="448"/>
      <c r="E27" s="448"/>
      <c r="F27" s="448"/>
    </row>
    <row r="28" spans="1:6" ht="27" customHeight="1">
      <c r="A28" s="448" t="s">
        <v>406</v>
      </c>
      <c r="B28" s="448"/>
      <c r="C28" s="448"/>
      <c r="D28" s="448"/>
      <c r="E28" s="448"/>
      <c r="F28" s="448"/>
    </row>
    <row r="29" spans="1:6" ht="27" customHeight="1">
      <c r="A29" s="448" t="s">
        <v>407</v>
      </c>
      <c r="B29" s="448"/>
      <c r="C29" s="448"/>
      <c r="D29" s="448"/>
      <c r="E29" s="448"/>
      <c r="F29" s="448"/>
    </row>
    <row r="30" spans="1:6" ht="27" customHeight="1">
      <c r="A30" s="448" t="s">
        <v>408</v>
      </c>
      <c r="B30" s="448"/>
      <c r="C30" s="448"/>
      <c r="D30" s="448"/>
      <c r="E30" s="448"/>
      <c r="F30" s="448"/>
    </row>
    <row r="31" spans="1:6" ht="27" customHeight="1">
      <c r="A31" s="448" t="s">
        <v>409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2026-10-23T13:55:19Z</dcterms:modified>
</cp:coreProperties>
</file>