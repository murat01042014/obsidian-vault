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ТАЗА\"/>
    </mc:Choice>
  </mc:AlternateContent>
  <bookViews>
    <workbookView xWindow="0" yWindow="0" windowWidth="21570" windowHeight="10125"/>
  </bookViews>
  <sheets>
    <sheet name="Проекты (вне бюджета)" sheetId="1" r:id="rId1"/>
  </sheets>
  <externalReferences>
    <externalReference r:id="rId2"/>
  </externalReferences>
  <definedNames>
    <definedName name="Авиа_межд">[1]Параметры!$B$27</definedName>
    <definedName name="Авиа_РК">[1]Параметры!$B$20</definedName>
    <definedName name="Аренда_депозит">[1]Параметры!$B$54</definedName>
    <definedName name="Аренда_мес">[1]Параметры!$B$34</definedName>
    <definedName name="Аренда_мес_2026">[1]Параметры!$B$55</definedName>
    <definedName name="Аренда_с_НДС">[1]Параметры!$B$53</definedName>
    <definedName name="Депозит_мес">[1]Параметры!$B$35</definedName>
    <definedName name="ДМС">[1]Параметры!$B$16</definedName>
    <definedName name="Дней_межд">[1]Параметры!$B$30</definedName>
    <definedName name="Дней_РК">[1]Параметры!$B$23</definedName>
    <definedName name="Индекс_МРП_2027">[1]Параметры!$B$42</definedName>
    <definedName name="Кап_ООСМС">[1]Параметры!$B$11</definedName>
    <definedName name="Кап_СО">[1]Параметры!$B$9</definedName>
    <definedName name="Коммун_мес">[1]Параметры!$B$50</definedName>
    <definedName name="Курс">[1]Параметры!$B$18</definedName>
    <definedName name="Мес_2026_новые">[1]Параметры!$B$58</definedName>
    <definedName name="МЗП">[1]Параметры!$B$4</definedName>
    <definedName name="МРП">[1]Параметры!$B$5</definedName>
    <definedName name="МРП_2027">[1]Параметры!$B$43</definedName>
    <definedName name="НДС">[1]Параметры!$B$37</definedName>
    <definedName name="Ночей_межд">[1]Параметры!$B$31</definedName>
    <definedName name="Ночей_РК">[1]Параметры!$B$24</definedName>
    <definedName name="ОСНС">[1]Параметры!$B$17</definedName>
    <definedName name="Отель_межд">[1]Параметры!$B$28</definedName>
    <definedName name="Отель_РК">[1]Параметры!$B$21</definedName>
    <definedName name="Парковка_мест">[1]Параметры!$B$51</definedName>
    <definedName name="Парковка_цена">[1]Параметры!$B$52</definedName>
    <definedName name="Площадь_офиса">[1]Параметры!$B$48</definedName>
    <definedName name="Поездка_межд">[1]Параметры!$B$33</definedName>
    <definedName name="Поездка_местн">[1]Параметры!$B$26</definedName>
    <definedName name="Поездка_местн_2027">[1]Параметры!$B$45</definedName>
    <definedName name="Поездка_РК">[1]Параметры!$B$25</definedName>
    <definedName name="Поездка_РК_2027">[1]Параметры!$B$44</definedName>
    <definedName name="Премия_KPI">[1]Параметры!$B$15</definedName>
    <definedName name="Резерв">[1]Параметры!$B$36</definedName>
    <definedName name="Сборка_мебели_проц">[1]Параметры!$B$57</definedName>
    <definedName name="Ставка_аренды_м2">[1]Параметры!$B$49</definedName>
    <definedName name="Ставка_ВОСМС">[1]Параметры!$B$13</definedName>
    <definedName name="Ставка_ООСМС">[1]Параметры!$B$10</definedName>
    <definedName name="Ставка_ОПВ">[1]Параметры!$B$12</definedName>
    <definedName name="Ставка_ОПВР">[1]Параметры!$B$7</definedName>
    <definedName name="Ставка_СН">[1]Параметры!$B$6</definedName>
    <definedName name="Ставка_СО">[1]Параметры!$B$8</definedName>
    <definedName name="Страх_межд">[1]Параметры!$B$32</definedName>
    <definedName name="Сут_межд">[1]Параметры!$B$29</definedName>
    <definedName name="Сут_РК">[1]Параметры!$B$19</definedName>
    <definedName name="Трансп_РК">[1]Параметры!$B$22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G16" i="1"/>
  <c r="G18" i="1" s="1"/>
</calcChain>
</file>

<file path=xl/sharedStrings.xml><?xml version="1.0" encoding="utf-8"?>
<sst xmlns="http://schemas.openxmlformats.org/spreadsheetml/2006/main" count="50" uniqueCount="23">
  <si>
    <t>Проекты и мероприятия, не вошедшие в бюджет (по статьям проектного офиса), ₸ — в ИТОГО свода не входят</t>
  </si>
  <si>
    <t>Раздел</t>
  </si>
  <si>
    <t>Статья</t>
  </si>
  <si>
    <t>Ед.</t>
  </si>
  <si>
    <t>Кол-во</t>
  </si>
  <si>
    <t>Цена, ₸</t>
  </si>
  <si>
    <t>Тип</t>
  </si>
  <si>
    <t>Окт–дек 2026</t>
  </si>
  <si>
    <t>Проекты</t>
  </si>
  <si>
    <t>Реализация проекта «TAZA TALQY» (проведение встреч в регионах), в т.ч. круглые столы и семинары для акиматов</t>
  </si>
  <si>
    <t>сумма</t>
  </si>
  <si>
    <t>по ПО</t>
  </si>
  <si>
    <t>Реализация проекта «TAZA OI»</t>
  </si>
  <si>
    <t>Реализация проектов, в т.ч. итоговый форум и слёт волонтёров</t>
  </si>
  <si>
    <t>Проведение международного эко-лагеря для школьников</t>
  </si>
  <si>
    <t>Проведение социологических исследований</t>
  </si>
  <si>
    <t>Подготовка ежегодного доклада</t>
  </si>
  <si>
    <t>Информационное сопровождение, в т.ч. презентация проектного офиса, пресс-мероприятия, мобильный брендинг</t>
  </si>
  <si>
    <t>Привлечение инфлюенсеров</t>
  </si>
  <si>
    <t>Реализация специальных / креативных проектов</t>
  </si>
  <si>
    <t>Разработка и техническое сопровождение цифровой платформы</t>
  </si>
  <si>
    <t>ИТОГО проекты и мероприятия</t>
  </si>
  <si>
    <t>ВСЕГО за 2026-27 гг.: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</si>
</sst>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</font>
    <font>
      <b/>
      <sz val="13"/>
      <color theme="1"/>
      <name val="Calibri"/>
      <family val="2"/>
      <charset val="204"/>
    </font>
    <font>
      <i/>
      <sz val="11"/>
      <color theme="1"/>
      <name val="Calibri"/>
      <family val="2"/>
      <charset val="204"/>
    </font>
    <font>
      <b/>
      <sz val="11"/>
      <color theme="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D6E3EF"/>
        <bgColor rgb="FFCCF2CC"/>
      </patternFill>
    </fill>
    <fill>
      <patternFill patternType="solid">
        <fgColor rgb="FFFFFFC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wrapText="1"/>
    </xf>
    <xf numFmtId="0" fontId="0" fillId="0" borderId="0" xfId="0" applyAlignment="1">
      <alignment wrapText="1"/>
    </xf>
    <xf numFmtId="0" fontId="0" fillId="3" borderId="0" xfId="0" applyFill="1"/>
    <xf numFmtId="3" fontId="0" fillId="3" borderId="0" xfId="0" applyNumberFormat="1" applyFill="1"/>
    <xf numFmtId="3" fontId="0" fillId="0" borderId="0" xfId="0" applyNumberFormat="1"/>
    <xf numFmtId="0" fontId="3" fillId="0" borderId="0" xfId="0" applyFont="1"/>
    <xf numFmtId="3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41;&#1102;&#1076;&#1078;&#1077;&#1090;%20&#1058;&#1072;&#1079;&#1072;%20&#1050;&#1072;&#1079;&#1072;&#1093;&#1089;&#1090;&#1072;&#1085;%20(&#1087;&#1088;&#1086;&#1077;&#1082;&#1090;%202026-10-07%20v13,%20&#1089;&#1088;&#1086;&#1082;&#1080;%20&#1074;&#1099;&#1093;&#1086;&#1076;&#1072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Свод"/>
      <sheetName val="Параметры"/>
      <sheetName val="Штат"/>
      <sheetName val="Аутсорс"/>
      <sheetName val="Командировки"/>
      <sheetName val="Оснащение и офис"/>
      <sheetName val="Проекты (вне бюджета)"/>
      <sheetName val="Канцелярия"/>
      <sheetName val="Смета фото-видео"/>
    </sheetNames>
    <sheetDataSet>
      <sheetData sheetId="0"/>
      <sheetData sheetId="1">
        <row r="4">
          <cell r="B4">
            <v>85000</v>
          </cell>
        </row>
        <row r="5">
          <cell r="B5">
            <v>4325</v>
          </cell>
        </row>
        <row r="6">
          <cell r="B6">
            <v>0.06</v>
          </cell>
        </row>
        <row r="7">
          <cell r="B7">
            <v>3.5000000000000003E-2</v>
          </cell>
        </row>
        <row r="8">
          <cell r="B8">
            <v>0.05</v>
          </cell>
        </row>
        <row r="9">
          <cell r="B9">
            <v>7</v>
          </cell>
        </row>
        <row r="10">
          <cell r="B10">
            <v>0.03</v>
          </cell>
        </row>
        <row r="11">
          <cell r="B11">
            <v>40</v>
          </cell>
        </row>
        <row r="12">
          <cell r="B12">
            <v>0.1</v>
          </cell>
        </row>
        <row r="13">
          <cell r="B13">
            <v>0.02</v>
          </cell>
        </row>
        <row r="15">
          <cell r="B15">
            <v>4</v>
          </cell>
        </row>
        <row r="16">
          <cell r="B16">
            <v>200000</v>
          </cell>
        </row>
        <row r="17">
          <cell r="B17">
            <v>28000</v>
          </cell>
        </row>
        <row r="18">
          <cell r="B18">
            <v>530</v>
          </cell>
        </row>
        <row r="19">
          <cell r="B19">
            <v>2</v>
          </cell>
        </row>
        <row r="20">
          <cell r="B20">
            <v>90000</v>
          </cell>
        </row>
        <row r="21">
          <cell r="B21">
            <v>30000</v>
          </cell>
        </row>
        <row r="22">
          <cell r="B22">
            <v>15000</v>
          </cell>
        </row>
        <row r="23">
          <cell r="B23">
            <v>3</v>
          </cell>
        </row>
        <row r="24">
          <cell r="B24">
            <v>2</v>
          </cell>
        </row>
        <row r="25">
          <cell r="B25">
            <v>190950</v>
          </cell>
        </row>
        <row r="26">
          <cell r="B26">
            <v>23650</v>
          </cell>
        </row>
        <row r="27">
          <cell r="B27">
            <v>900</v>
          </cell>
        </row>
        <row r="28">
          <cell r="B28">
            <v>150</v>
          </cell>
        </row>
        <row r="29">
          <cell r="B29">
            <v>150</v>
          </cell>
        </row>
        <row r="30">
          <cell r="B30">
            <v>5</v>
          </cell>
        </row>
        <row r="31">
          <cell r="B31">
            <v>4</v>
          </cell>
        </row>
        <row r="32">
          <cell r="B32">
            <v>50</v>
          </cell>
        </row>
        <row r="33">
          <cell r="B33">
            <v>1219000</v>
          </cell>
        </row>
        <row r="34">
          <cell r="B34">
            <v>4955774.75</v>
          </cell>
        </row>
        <row r="35">
          <cell r="B35">
            <v>1</v>
          </cell>
        </row>
        <row r="36">
          <cell r="B36">
            <v>0.1</v>
          </cell>
        </row>
        <row r="37">
          <cell r="B37">
            <v>0.16</v>
          </cell>
        </row>
        <row r="42">
          <cell r="B42">
            <v>7.0000000000000007E-2</v>
          </cell>
        </row>
        <row r="43">
          <cell r="B43">
            <v>4627.75</v>
          </cell>
        </row>
        <row r="44">
          <cell r="B44">
            <v>192766.5</v>
          </cell>
        </row>
        <row r="45">
          <cell r="B45">
            <v>24255.5</v>
          </cell>
        </row>
        <row r="48">
          <cell r="B48">
            <v>343.97</v>
          </cell>
        </row>
        <row r="49">
          <cell r="B49">
            <v>13500</v>
          </cell>
        </row>
        <row r="50">
          <cell r="B50">
            <v>232179.75000000003</v>
          </cell>
        </row>
        <row r="51">
          <cell r="B51">
            <v>2</v>
          </cell>
        </row>
        <row r="52">
          <cell r="B52">
            <v>40000</v>
          </cell>
        </row>
        <row r="53">
          <cell r="B53">
            <v>5748698.71</v>
          </cell>
        </row>
        <row r="54">
          <cell r="B54">
            <v>4955774.75</v>
          </cell>
        </row>
        <row r="55">
          <cell r="B55">
            <v>2.3548387096774195</v>
          </cell>
        </row>
        <row r="57">
          <cell r="B57">
            <v>0.1</v>
          </cell>
        </row>
        <row r="58">
          <cell r="B58">
            <v>2.3548387096774195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18"/>
  <sheetViews>
    <sheetView tabSelected="1" workbookViewId="0">
      <selection activeCell="E25" sqref="E25"/>
    </sheetView>
  </sheetViews>
  <sheetFormatPr defaultRowHeight="15" x14ac:dyDescent="0.25"/>
  <cols>
    <col min="1" max="1" width="12.7109375" customWidth="1"/>
    <col min="2" max="2" width="66.7109375" customWidth="1"/>
    <col min="3" max="3" width="8.7109375" customWidth="1"/>
    <col min="4" max="4" width="10.7109375" customWidth="1"/>
    <col min="5" max="5" width="13.7109375" customWidth="1"/>
    <col min="6" max="6" width="10.7109375" customWidth="1"/>
    <col min="7" max="8" width="14.7109375" customWidth="1"/>
    <col min="9" max="13" width="8.7109375" customWidth="1"/>
  </cols>
  <sheetData>
    <row r="1" spans="1:8" ht="17.25" x14ac:dyDescent="0.3">
      <c r="A1" s="1" t="s">
        <v>0</v>
      </c>
    </row>
    <row r="2" spans="1:8" x14ac:dyDescent="0.25">
      <c r="A2" s="2"/>
    </row>
    <row r="4" spans="1:8" ht="31.5" customHeight="1" x14ac:dyDescent="0.25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>
        <v>2027</v>
      </c>
    </row>
    <row r="5" spans="1:8" ht="30" x14ac:dyDescent="0.25">
      <c r="A5" t="s">
        <v>8</v>
      </c>
      <c r="B5" s="4" t="s">
        <v>9</v>
      </c>
      <c r="C5" t="s">
        <v>10</v>
      </c>
      <c r="D5" s="5"/>
      <c r="E5" s="6"/>
      <c r="F5" s="5" t="s">
        <v>11</v>
      </c>
      <c r="G5" s="7">
        <v>6000000</v>
      </c>
      <c r="H5" s="7">
        <v>12000000</v>
      </c>
    </row>
    <row r="6" spans="1:8" x14ac:dyDescent="0.25">
      <c r="A6" t="s">
        <v>8</v>
      </c>
      <c r="B6" s="4" t="s">
        <v>12</v>
      </c>
      <c r="C6" t="s">
        <v>10</v>
      </c>
      <c r="D6" s="5"/>
      <c r="E6" s="6"/>
      <c r="F6" s="5" t="s">
        <v>11</v>
      </c>
      <c r="G6" s="7">
        <v>2000000</v>
      </c>
      <c r="H6" s="7">
        <v>8000000</v>
      </c>
    </row>
    <row r="7" spans="1:8" x14ac:dyDescent="0.25">
      <c r="A7" t="s">
        <v>8</v>
      </c>
      <c r="B7" s="4" t="s">
        <v>13</v>
      </c>
      <c r="C7" t="s">
        <v>10</v>
      </c>
      <c r="D7" s="5"/>
      <c r="E7" s="6"/>
      <c r="F7" s="5" t="s">
        <v>11</v>
      </c>
      <c r="G7" s="7">
        <v>10000000</v>
      </c>
      <c r="H7" s="7">
        <v>300000000</v>
      </c>
    </row>
    <row r="8" spans="1:8" x14ac:dyDescent="0.25">
      <c r="A8" t="s">
        <v>8</v>
      </c>
      <c r="B8" s="4" t="s">
        <v>14</v>
      </c>
      <c r="C8" t="s">
        <v>10</v>
      </c>
      <c r="D8" s="5"/>
      <c r="E8" s="6"/>
      <c r="F8" s="5" t="s">
        <v>11</v>
      </c>
      <c r="G8" s="7">
        <v>0</v>
      </c>
      <c r="H8" s="7">
        <v>500000000</v>
      </c>
    </row>
    <row r="9" spans="1:8" x14ac:dyDescent="0.25">
      <c r="A9" t="s">
        <v>8</v>
      </c>
      <c r="B9" s="4" t="s">
        <v>15</v>
      </c>
      <c r="C9" t="s">
        <v>10</v>
      </c>
      <c r="D9" s="5"/>
      <c r="E9" s="6"/>
      <c r="F9" s="5" t="s">
        <v>11</v>
      </c>
      <c r="G9" s="7">
        <v>0</v>
      </c>
      <c r="H9" s="7">
        <v>45000000</v>
      </c>
    </row>
    <row r="10" spans="1:8" x14ac:dyDescent="0.25">
      <c r="A10" t="s">
        <v>8</v>
      </c>
      <c r="B10" s="4" t="s">
        <v>16</v>
      </c>
      <c r="C10" t="s">
        <v>10</v>
      </c>
      <c r="D10" s="5"/>
      <c r="E10" s="6"/>
      <c r="F10" s="5" t="s">
        <v>11</v>
      </c>
      <c r="G10" s="7">
        <v>0</v>
      </c>
      <c r="H10" s="7">
        <v>25000000</v>
      </c>
    </row>
    <row r="11" spans="1:8" ht="30" x14ac:dyDescent="0.25">
      <c r="A11" t="s">
        <v>8</v>
      </c>
      <c r="B11" s="4" t="s">
        <v>17</v>
      </c>
      <c r="C11" t="s">
        <v>10</v>
      </c>
      <c r="D11" s="5"/>
      <c r="E11" s="6"/>
      <c r="F11" s="5" t="s">
        <v>11</v>
      </c>
      <c r="G11" s="7">
        <v>30000000</v>
      </c>
      <c r="H11" s="7">
        <v>120000000</v>
      </c>
    </row>
    <row r="12" spans="1:8" x14ac:dyDescent="0.25">
      <c r="A12" t="s">
        <v>8</v>
      </c>
      <c r="B12" s="4" t="s">
        <v>18</v>
      </c>
      <c r="C12" t="s">
        <v>10</v>
      </c>
      <c r="D12" s="5"/>
      <c r="E12" s="6"/>
      <c r="F12" s="5" t="s">
        <v>11</v>
      </c>
      <c r="G12" s="7">
        <v>15000000</v>
      </c>
      <c r="H12" s="7">
        <v>120000000</v>
      </c>
    </row>
    <row r="13" spans="1:8" x14ac:dyDescent="0.25">
      <c r="A13" t="s">
        <v>8</v>
      </c>
      <c r="B13" s="4" t="s">
        <v>19</v>
      </c>
      <c r="C13" t="s">
        <v>10</v>
      </c>
      <c r="D13" s="5"/>
      <c r="E13" s="6"/>
      <c r="F13" s="5" t="s">
        <v>11</v>
      </c>
      <c r="G13" s="7">
        <v>50000000</v>
      </c>
      <c r="H13" s="7">
        <v>300000000</v>
      </c>
    </row>
    <row r="14" spans="1:8" x14ac:dyDescent="0.25">
      <c r="A14" t="s">
        <v>8</v>
      </c>
      <c r="B14" s="4" t="s">
        <v>20</v>
      </c>
      <c r="C14" t="s">
        <v>10</v>
      </c>
      <c r="D14" s="5"/>
      <c r="E14" s="6"/>
      <c r="F14" s="5" t="s">
        <v>11</v>
      </c>
      <c r="G14" s="7">
        <v>100000000</v>
      </c>
      <c r="H14" s="7">
        <v>100000000</v>
      </c>
    </row>
    <row r="15" spans="1:8" x14ac:dyDescent="0.25">
      <c r="G15" s="7"/>
      <c r="H15" s="7"/>
    </row>
    <row r="16" spans="1:8" x14ac:dyDescent="0.25">
      <c r="B16" s="8" t="s">
        <v>21</v>
      </c>
      <c r="C16" s="8"/>
      <c r="D16" s="8"/>
      <c r="E16" s="8"/>
      <c r="F16" s="8"/>
      <c r="G16" s="9">
        <f>SUM(G5:G14)</f>
        <v>213000000</v>
      </c>
      <c r="H16" s="9">
        <f>SUM(H5:H14)</f>
        <v>1530000000</v>
      </c>
    </row>
    <row r="18" spans="2:8" x14ac:dyDescent="0.25">
      <c r="B18" s="8" t="s">
        <v>22</v>
      </c>
      <c r="G18" s="10">
        <f>G16+H16</f>
        <v>1743000000</v>
      </c>
      <c r="H18" s="11"/>
    </row>
  </sheetData>
  <mergeCells count="1">
    <mergeCell ref="G18:H18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Проекты (вне бюджета)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Temirbekov</dc:creator>
  <cp:lastModifiedBy>Temirbekov</cp:lastModifiedBy>
  <dcterms:created xsi:type="dcterms:W3CDTF">2026-10-07T07:42:15Z</dcterms:created>
  <dcterms:modified xsi:type="dcterms:W3CDTF">2026-10-07T07:42:16Z</dcterms:modified>
</cp:coreProperties>
</file>