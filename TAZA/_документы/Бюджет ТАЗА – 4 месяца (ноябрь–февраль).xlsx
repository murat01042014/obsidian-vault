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Долг_ЗП" hidden="1">Параметры!$B$55</definedName>
    <definedName name="Долг_НДС" hidden="1">Параметры!$B$56</definedName>
    <definedName name="Долг_прочие" hidden="1">Параметры!$B$57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бязательства_ЗП">Параметры!$B$55</definedName>
    <definedName name="Обязательства_НДС">Параметры!$B$56</definedName>
    <definedName name="Обязательства_прочие">Параметры!$B$57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E63" i="5"/>
  <c r="E42" i="5"/>
  <c r="I42" i="5" s="1"/>
  <c r="J42" i="5" s="1"/>
  <c r="F14" i="1" l="1"/>
  <c r="I63" i="5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I9" i="8"/>
  <c r="J9" i="8"/>
  <c r="J13" i="8" s="1"/>
  <c r="D19" i="1" s="1"/>
  <c r="H9" i="8"/>
  <c r="H13" i="8" s="1"/>
  <c r="B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 s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B11" i="1" l="1"/>
  <c r="D10" i="1"/>
  <c r="F24" i="17"/>
  <c r="K58" i="5"/>
  <c r="J58" i="5"/>
  <c r="B12" i="1" s="1"/>
  <c r="L58" i="5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B6" i="1" s="1"/>
  <c r="K8" i="3"/>
  <c r="K15" i="3"/>
  <c r="K23" i="3"/>
  <c r="K27" i="3"/>
  <c r="B17" i="1" l="1"/>
  <c r="D12" i="1"/>
  <c r="D17" i="1" s="1"/>
  <c r="E10" i="1"/>
  <c r="D6" i="1"/>
  <c r="C6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E12" i="1" l="1"/>
  <c r="E17" i="1" s="1"/>
  <c r="F12" i="1"/>
  <c r="D15" i="1"/>
  <c r="E6" i="1"/>
  <c r="E15" i="1" s="1"/>
  <c r="C10" i="1"/>
  <c r="B10" i="1"/>
  <c r="B9" i="1"/>
  <c r="F9" i="1" s="1"/>
  <c r="K49" i="5"/>
  <c r="C11" i="1" s="1"/>
  <c r="C17" i="1" s="1"/>
  <c r="O5" i="3"/>
  <c r="M37" i="3"/>
  <c r="D16" i="1" l="1"/>
  <c r="D18" i="1" s="1"/>
  <c r="D21" i="1" s="1"/>
  <c r="F11" i="1"/>
  <c r="F10" i="1"/>
  <c r="E16" i="1"/>
  <c r="E18" i="1" s="1"/>
  <c r="E21" i="1" s="1"/>
  <c r="F6" i="1"/>
  <c r="C15" i="1"/>
  <c r="C16" i="1" s="1"/>
  <c r="B15" i="1"/>
  <c r="B16" i="1" s="1"/>
  <c r="F17" i="1"/>
  <c r="O37" i="3"/>
  <c r="F16" i="1" l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<sst xmlns="http://schemas.openxmlformats.org/spreadsheetml/2006/main" count="1111" uniqueCount="619">
  <si>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</si>
  <si>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</si>
  <si>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</si>
  <si>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</si>
  <si>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</si>
  <si>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</si>
  <si>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</si>
  <si>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</si>
  <si>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</si>
  <si>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</si>
  <si>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</si>
  <si>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</si>
  <si>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</si>
  <si>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</si>
  <si>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</si>
  <si>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</si>
  <si>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</si>
  <si>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</si>
  <si>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</si>
  <si>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</si>
  <si>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</si>
  <si>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</si>
  <si>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</si>
  <si>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</si>
  <si>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</si>
  <si>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</si>
  <si>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</si>
  <si>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</si>
  <si>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</si>
  <si>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</si>
  <si>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</si>
  <si>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</si>
  <si>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</si>
  <si>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</si>
  <si>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</si>
  <si>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</si>
  <si>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</si>
  <si>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</si>
  <si>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</si>
  <si>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</si>
  <si>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</si>
  <si>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</si>
  <si>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</si>
  <si>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</si>
  <si>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</si>
  <si>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</si>
  <si>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</si>
  <si>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</si>
  <si>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</si>
  <si>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</si>
  <si>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</si>
  <si>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</si>
  <si>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</si>
  <si>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</si>
  <si>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</si>
  <si>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</si>
  <si>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</si>
  <si>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</si>
  <si>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</si>
  <si>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</si>
  <si>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</si>
  <si>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</si>
  <si>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</si>
  <si>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</si>
  <si>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</si>
  <si>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</si>
  <si>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</si>
  <si>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</si>
  <si>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</si>
  <si>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</si>
  <si>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</si>
  <si>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</si>
  <si>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</si>
  <si>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</si>
  <si>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</si>
  <si>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</si>
  <si>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</si>
  <si>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</si>
  <si>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</si>
  <si>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</si>
  <si>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</si>
  <si>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</si>
  <si>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</si>
  <si>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</si>
  <si>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</si>
  <si>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</si>
  <si>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</si>
  <si>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</si>
  <si>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</si>
  <si>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</si>
  <si>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</si>
  <si>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</si>
  <si>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</si>
  <si>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</si>
  <si>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</si>
  <si>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</si>
  <si>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</si>
  <si>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</si>
  <si>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</si>
  <si>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</si>
  <si>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</si>
  <si>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</si>
  <si>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</si>
  <si>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</si>
  <si>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</si>
  <si>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</si>
  <si>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</si>
  <si>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</si>
  <si>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</si>
  <si>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</si>
  <si>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</si>
  <si>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</si>
  <si>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</si>
  <si>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</si>
  <si>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</si>
  <si>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</si>
  <si>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</si>
  <si>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</si>
  <si>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</si>
  <si>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</si>
  <si>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</si>
  <si>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</si>
  <si>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</si>
  <si>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</si>
  <si>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</si>
  <si>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</si>
  <si>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</si>
  <si>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</si>
  <si>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</si>
  <si>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</si>
  <si>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Фотобанк, музыка (подписки)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</si>
  <si>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</si>
  <si>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</si>
  <si>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</si>
  <si>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</si>
  <si>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</si>
  <si>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</si>
  <si>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</si>
  <si>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</si>
  <si>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</si>
  <si>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</si>
  <si>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</si>
  <si>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</si>
  <si>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</si>
  <si>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</si>
  <si>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</si>
  <si>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</si>
  <si>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</si>
  <si>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</si>
  <si>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</si>
  <si>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</si>
  <si>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</si>
  <si>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</si>
  <si>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</si>
  <si>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</si>
  <si>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</si>
  <si>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</si>
  <si>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</si>
  <si>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</si>
  <si>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</si>
  <si>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</si>
  <si>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</si>
  <si>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</si>
  <si>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</si>
  <si>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</si>
  <si>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</si>
  <si>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</si>
  <si>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</si>
  <si>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</si>
  <si>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</si>
  <si>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</si>
  <si>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</si>
  <si>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</si>
  <si>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</si>
  <si>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</si>
  <si>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</si>
  <si>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</si>
  <si>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</si>
  <si>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</si>
  <si>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</si>
  <si>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</si>
  <si>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</si>
  <si>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</si>
  <si>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</si>
  <si>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</si>
  <si>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</si>
  <si>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</si>
  <si>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</si>
  <si>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</si>
  <si>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</si>
  <si>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</si>
  <si>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</si>
  <si>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</si>
  <si>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</si>
  <si>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</si>
  <si>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</si>
  <si>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</si>
  <si>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</si>
  <si>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</si>
  <si>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</si>
  <si>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</si>
  <si>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</si>
  <si>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</si>
  <si>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</si>
  <si>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</si>
  <si>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</si>
  <si>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</si>
  <si>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</si>
  <si>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</si>
  <si>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</si>
  <si>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</si>
  <si>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</si>
  <si>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</si>
  <si>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</si>
  <si>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</si>
  <si>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</si>
  <si>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</si>
  <si>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</si>
  <si>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</si>
  <si>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</si>
  <si>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</si>
  <si>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</si>
  <si>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</si>
  <si>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</si>
  <si>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</si>
  <si>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</si>
  <si>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</si>
  <si>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</si>
  <si>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</si>
  <si>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</si>
  <si>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</si>
  <si>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</si>
  <si>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</si>
  <si>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</si>
  <si>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</si>
  <si>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</si>
  <si>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</si>
  <si>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</si>
  <si>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</si>
  <si>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</si>
  <si>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</si>
  <si>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</si>
  <si>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</si>
  <si>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</si>
  <si>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</si>
  <si>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</si>
  <si>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</si>
  <si>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</si>
  <si>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</si>
  <si>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</si>
  <si>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</si>
  <si>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</si>
  <si>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</si>
  <si>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</si>
  <si>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</si>
  <si>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</si>
  <si>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</si>
  <si>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</si>
  <si>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</si>
  <si>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</si>
  <si>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</si>
  <si>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</si>
  <si>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</si>
  <si>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</si>
  <si>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</si>
  <si>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</si>
  <si>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</si>
  <si>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</si>
  <si>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</si>
  <si>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</si>
  <si>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</si>
  <si>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</si>
  <si>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</si>
  <si>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</si>
  <si>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</si>
  <si>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</si>
  <si>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</si>
  <si>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</si>
  <si>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</si>
  <si>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</si>
  <si>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</si>
  <si>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</si>
  <si>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</si>
  <si>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</si>
  <si>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</si>
  <si>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</si>
  <si>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</si>
  <si>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</si>
  <si>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</si>
  <si>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</si>
  <si>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</si>
  <si>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</si>
  <si>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</si>
  <si>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</si>
  <si>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</si>
  <si>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</si>
  <si>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</si>
  <si>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</si>
  <si>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</si>
  <si>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</si>
  <si>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</si>
  <si>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</si>
  <si>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</si>
  <si>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</si>
  <si>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</si>
  <si>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</si>
  <si>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</si>
  <si>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</si>
  <si>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</si>
  <si>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</si>
  <si>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</si>
  <si>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</si>
  <si>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</si>
  <si>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</si>
  <si>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</si>
  <si>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</si>
  <si>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</si>
  <si>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</si>
  <si>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</si>
  <si>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</si>
  <si>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</si>
  <si>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</si>
  <si>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</si>
  <si>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</si>
  <si>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</si>
  <si>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</si>
  <si>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</si>
  <si>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</si>
  <si>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</si>
  <si>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</si>
  <si>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</si>
  <si>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</si>
  <si>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</si>
  <si>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</si>
  <si>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</si>
  <si>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</si>
  <si>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</si>
  <si>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</si>
  <si>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</si>
  <si>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</si>
  <si>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</si>
  <si>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</si>
  <si>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</si>
  <si>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</si>
  <si>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</si>
  <si>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</si>
  <si>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</si>
  <si>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</si>
  <si>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</si>
  <si>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</si>
  <si>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</si>
  <si>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</si>
  <si>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</si>
  <si>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</si>
  <si>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</si>
  <si>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</si>
  <si>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</si>
  <si>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</si>
  <si>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</si>
  <si>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</si>
  <si>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</si>
  <si>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</si>
  <si>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</si>
  <si>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</si>
  <si>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</si>
  <si>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</si>
  <si>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</si>
  <si>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</si>
  <si>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</si>
  <si>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</si>
  <si>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</si>
  <si>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</si>
  <si>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</si>
  <si>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</si>
  <si>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</si>
  <si>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</si>
  <si>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</si>
  <si>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</si>
  <si>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</si>
  <si>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</si>
  <si>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</si>
  <si>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</si>
  <si>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</si>
  <si>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</si>
  <si>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</si>
  <si>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</si>
  <si>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</si>
  <si>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</si>
  <si>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</si>
  <si>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</si>
  <si>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</si>
  <si>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</si>
  <si>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</si>
  <si>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</si>
  <si>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</si>
  <si>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</si>
  <si>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</si>
  <si>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</si>
  <si>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</si>
  <si>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</si>
  <si>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</si>
  <si>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</si>
  <si>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</si>
  <si>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</si>
  <si>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</si>
  <si>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</si>
  <si>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</si>
  <si>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</si>
  <si>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</si>
  <si>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</si>
  <si>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</si>
  <si>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</si>
  <si>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</si>
  <si>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</si>
  <si>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</si>
  <si>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</si>
  <si>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</si>
  <si>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</si>
  <si>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</si>
  <si>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</si>
  <si>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</si>
  <si>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</si>
  <si>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</si>
  <si>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</si>
  <si>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</si>
  <si>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</si>
  <si>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</si>
  <si>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</si>
  <si>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</si>
  <si>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</si>
  <si>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</si>
  <si>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</si>
  <si>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</si>
  <si>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</si>
  <si>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</si>
  <si>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</si>
  <si>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</si>
  <si>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</si>
  <si>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</si>
  <si>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</si>
  <si>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</si>
  <si>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</si>
  <si>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</si>
  <si>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</si>
  <si>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</si>
  <si>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</si>
  <si>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</si>
  <si>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</si>
  <si>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</si>
  <si>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</si>
  <si>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</si>
  <si>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</si>
  <si>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</si>
  <si>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</si>
  <si>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</si>
  <si>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</si>
  <si>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</si>
  <si>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</si>
  <si>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</si>
  <si>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</si>
  <si>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</si>
  <si>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</si>
  <si>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</si>
  <si>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</si>
  <si>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</si>
  <si>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</si>
  <si>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</si>
  <si>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</si>
  <si>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</si>
  <si>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</si>
  <si>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</si>
  <si>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</si>
  <si>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</si>
  <si>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</si>
  <si>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</si>
  <si>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</si>
  <si>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</si>
  <si>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</si>
  <si>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</si>
  <si>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</si>
  <si>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</si>
  <si>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</si>
  <si>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</si>
  <si>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</si>
  <si>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</si>
  <si>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</si>
  <si>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</si>
  <si>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</si>
  <si>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</si>
  <si>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</si>
  <si>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</si>
  <si>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</si>
  <si>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</si>
  <si>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</si>
  <si>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</si>
  <si>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</si>
  <si>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</si>
  <si>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</si>
  <si>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</si>
  <si>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</si>
  <si>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</si>
  <si>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</si>
  <si>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</si>
  <si>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</si>
  <si>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</si>
  <si>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</si>
  <si>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</si>
  <si>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</si>
  <si>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</si>
  <si>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</si>
  <si>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</si>
  <si>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</si>
  <si>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</si>
  <si>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</si>
  <si>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</si>
  <si>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</si>
  <si>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</si>
  <si>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</si>
  <si>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</si>
  <si>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</si>
  <si>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</si>
  <si>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</si>
  <si>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</si>
  <si>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</si>
  <si>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</si>
  <si>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</si>
  <si>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</si>
  <si>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</si>
  <si>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</si>
  <si>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</si>
  <si>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</si>
  <si>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</si>
  <si>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</si>
  <si>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</si>
  <si>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</si>
  <si>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</si>
  <si>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</si>
  <si>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</si>
  <si>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</si>
  <si>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</si>
  <si>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</si>
  <si>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</si>
  <si>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</si>
  <si>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</si>
  <si>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</si>
  <si>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</si>
  <si>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</si>
  <si>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</si>
  <si>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</si>
  <si>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</si>
  <si>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</si>
  <si>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</si>
  <si>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</si>
  <si>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</si>
  <si>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</si>
  <si>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</si>
  <si>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</si>
  <si>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</si>
  <si>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Нарастающим итогом</t>
  </si>
  <si>
    <t>Финансирование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</si>
  <si>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</si>
  <si>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</si>
  <si>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</si>
  <si>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</si>
  <si>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</si>
  <si>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</si>
  <si>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</si>
  <si>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</si>
  <si>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</si>
  <si>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</si>
  <si>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</si>
  <si>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</si>
  <si>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</si>
  <si>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</si>
  <si>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</si>
  <si>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</si>
  <si>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</si>
  <si>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</si>
  <si>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</si>
  <si>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</si>
  <si>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</si>
  <si>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</si>
  <si>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</si>
  <si>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</si>
  <si>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</si>
  <si>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</si>
  <si>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18 новых сотрудников 2026 года – запас 2</t>
  </si>
  <si>
    <t>Кресло рабочее (МИ-6 Z)</t>
  </si>
  <si>
    <t>в бюджете 26 кресел на 18 сотрудников и 7 аутсорсеров – запас 1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</si>
  <si>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</si>
  <si>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</si>
  <si>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</si>
  <si>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</si>
  <si>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</si>
  <si>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</si>
  <si>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</si>
  <si>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</si>
  <si>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</si>
  <si>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</si>
  <si>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</si>
  <si>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</si>
  <si>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</si>
  <si>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</si>
  <si>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</si>
  <si>
    <t>Оплата труда за июль–октябрь 2026 с налогами – в строке «Оплата труда»</t>
  </si>
  <si>
    <t>Оснащение, офис, цифровые инструменты и медиа на октябрь–декабрь 2026 года, ₸</t>
  </si>
  <si>
    <t>Разница с 250 млн (+ остаток / − дефицит)</t>
  </si>
  <si>
    <t>НДС: 16% на закупки, аренду, услуги, подписки и первоочередные проекты; расчёты с бюджетом по НДС</t>
  </si>
  <si>
    <t>6. Офис: аренда, депозит, текущие хозрасходы, курьер, интернет, обслуживание МФУ, канцелярия, представительские, нотариус и услуги МФЦА, расчёты с поставщиками за прошлые периоды</t>
  </si>
  <si>
    <t>Резерв 10% на непредвиденные расходы</t>
  </si>
  <si>
    <t>В. Обязательства по оплате труда и налогам за июль–октябрь 2026</t>
  </si>
  <si>
    <t>Обязательства_ЗП</t>
  </si>
  <si>
    <t>Обязательства_НДС</t>
  </si>
  <si>
    <t>Обязательства_прочие</t>
  </si>
  <si>
    <t>Обязательства Фонда на 01.11.2026 (погашение в ноябре)</t>
  </si>
  <si>
    <t>Обязательства по НДС – в строке НДС</t>
  </si>
  <si>
    <t>Прочие обязательства – в строке «Офис» (без резерва и НДС)</t>
  </si>
  <si>
    <t>Октябрь-ноябрь 2026</t>
  </si>
  <si>
    <t>Менеджер проектов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</si>
</sst>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zoomScaleNormal="100" workbookViewId="0">
      <selection activeCell="B30" sqref="B30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601</v>
      </c>
    </row>
    <row r="3" spans="1:6" ht="30" x14ac:dyDescent="0.25">
      <c r="A3" s="35" t="s">
        <v>0</v>
      </c>
      <c r="B3" s="35" t="s">
        <v>617</v>
      </c>
      <c r="C3" s="35" t="s">
        <v>555</v>
      </c>
      <c r="D3" s="35" t="s">
        <v>556</v>
      </c>
      <c r="E3" s="35" t="s">
        <v>602</v>
      </c>
      <c r="F3" s="35" t="s">
        <v>603</v>
      </c>
    </row>
    <row r="4" spans="1:6" x14ac:dyDescent="0.25">
      <c r="A4" s="36" t="s">
        <v>327</v>
      </c>
      <c r="B4" s="37">
        <f>SUMPRODUCT((Штат!$E$5:$E$36="штат")*Штат!$G$5:$G$36*(Штат!$I$5:$I$36&lt;=2))</f>
        <v>22</v>
      </c>
      <c r="C4" s="37">
        <f>SUMPRODUCT((Штат!$E$5:$E$36="штат")*Штат!$G$5:$G$36*(Штат!$I$5:$I$36&lt;=3))</f>
        <v>23</v>
      </c>
      <c r="D4" s="37">
        <f>SUMPRODUCT((Штат!$E$5:$E$36="штат")*Штат!$G$5:$G$36*(Штат!$I$5:$I$36&lt;=3))</f>
        <v>23</v>
      </c>
      <c r="E4" s="37">
        <f>D4+COUNT('Февраль 2027'!D4:D10)</f>
        <v>30</v>
      </c>
      <c r="F4" s="37"/>
    </row>
    <row r="5" spans="1:6" x14ac:dyDescent="0.25">
      <c r="A5" s="36" t="s">
        <v>328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560</v>
      </c>
      <c r="B6" s="38">
        <f>(SUMPRODUCT((Штат!$E$5:$E$36="штат")*Штат!$K$5:$K$36*(Штат!$I$5:$I$36&lt;=2)))+B7+Обязательства_ЗП</f>
        <v>56312240</v>
      </c>
      <c r="C6" s="38">
        <f>(SUMPRODUCT((Штат!$E$5:$E$36="штат")*Штат!$K$5:$K$36*(Штат!$I$5:$I$36&lt;=3)))+C7+C20</f>
        <v>37571650</v>
      </c>
      <c r="D6" s="38">
        <f>(SUMPRODUCT((Штат!$E$5:$E$36="штат")*Штат!$K$5:$K$36*(Штат!$I$5:$I$36&lt;=3)))+D7+D20</f>
        <v>28182130</v>
      </c>
      <c r="E6" s="38">
        <f>D6+'Февраль 2027'!F11</f>
        <v>34985400</v>
      </c>
      <c r="F6" s="38">
        <f t="shared" ref="F6:F20" si="0">SUM(B6:E6)</f>
        <v>157051420</v>
      </c>
    </row>
    <row r="7" spans="1:6" ht="30" hidden="1" x14ac:dyDescent="0.25">
      <c r="A7" s="36" t="s">
        <v>481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 t="shared" si="0"/>
        <v>9389520</v>
      </c>
    </row>
    <row r="8" spans="1:6" ht="30" x14ac:dyDescent="0.25">
      <c r="A8" s="36" t="s">
        <v>380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 t="shared" si="0"/>
        <v>27526384</v>
      </c>
    </row>
    <row r="9" spans="1:6" x14ac:dyDescent="0.25">
      <c r="A9" s="36" t="s">
        <v>351</v>
      </c>
      <c r="B9" s="38">
        <f>Штат!$N$37</f>
        <v>645095.23809523811</v>
      </c>
      <c r="C9" s="38">
        <v>0</v>
      </c>
      <c r="D9" s="38">
        <v>0</v>
      </c>
      <c r="E9" s="38">
        <f>'Февраль 2027'!F23</f>
        <v>205000</v>
      </c>
      <c r="F9" s="38">
        <f t="shared" si="0"/>
        <v>850095.23809523811</v>
      </c>
    </row>
    <row r="10" spans="1:6" x14ac:dyDescent="0.25">
      <c r="A10" s="36" t="s">
        <v>329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 t="shared" si="0"/>
        <v>8312775</v>
      </c>
    </row>
    <row r="11" spans="1:6" ht="30" x14ac:dyDescent="0.25">
      <c r="A11" s="36" t="s">
        <v>330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505594</v>
      </c>
      <c r="F11" s="38">
        <f t="shared" si="0"/>
        <v>14537636.9</v>
      </c>
    </row>
    <row r="12" spans="1:6" ht="45" x14ac:dyDescent="0.25">
      <c r="A12" s="36" t="s">
        <v>608</v>
      </c>
      <c r="B12" s="38">
        <f>SUMIFS('Оснащение и офис'!$J$5:$J$77,'Оснащение и офис'!$A$5:$A$77,"Офис")+Обязательства_прочие</f>
        <v>12661706.848387096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 t="shared" si="0"/>
        <v>28299936.148387097</v>
      </c>
    </row>
    <row r="13" spans="1:6" x14ac:dyDescent="0.25">
      <c r="A13" s="36" t="s">
        <v>331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 t="shared" si="0"/>
        <v>1142447</v>
      </c>
    </row>
    <row r="14" spans="1:6" x14ac:dyDescent="0.25">
      <c r="A14" s="36" t="s">
        <v>332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 t="shared" si="0"/>
        <v>4700000</v>
      </c>
    </row>
    <row r="15" spans="1:6" x14ac:dyDescent="0.25">
      <c r="A15" s="39" t="s">
        <v>333</v>
      </c>
      <c r="B15" s="40">
        <f>SUM(B6:B14)-B7</f>
        <v>92244525.236482337</v>
      </c>
      <c r="C15" s="40">
        <f>SUM(C6:C14)-C7</f>
        <v>54689604.350000001</v>
      </c>
      <c r="D15" s="40">
        <f>SUM(D6:D14)-D7</f>
        <v>43663819.100000001</v>
      </c>
      <c r="E15" s="40">
        <f>SUM(E6:E14)-E7</f>
        <v>51822745.600000001</v>
      </c>
      <c r="F15" s="40">
        <f t="shared" si="0"/>
        <v>242420694.28648233</v>
      </c>
    </row>
    <row r="16" spans="1:6" x14ac:dyDescent="0.25">
      <c r="A16" s="36" t="s">
        <v>609</v>
      </c>
      <c r="B16" s="38">
        <f>(B15-Обязательства_ЗП-Обязательства_прочие-'Оснащение и офис'!$J$76)*Резерв</f>
        <v>6179952.5236482341</v>
      </c>
      <c r="C16" s="38">
        <f>(C15-C20-'Оснащение и офис'!$K$76)*Резерв</f>
        <v>5468960.4350000005</v>
      </c>
      <c r="D16" s="38">
        <f>(D15-D20-'Оснащение и офис'!$L$76)*Резерв</f>
        <v>4366381.91</v>
      </c>
      <c r="E16" s="38">
        <f>(E15-E20)*Резерв</f>
        <v>5182274.5600000005</v>
      </c>
      <c r="F16" s="38">
        <f t="shared" si="0"/>
        <v>21197569.428648233</v>
      </c>
    </row>
    <row r="17" spans="1:6" ht="30" x14ac:dyDescent="0.25">
      <c r="A17" s="36" t="s">
        <v>607</v>
      </c>
      <c r="B17" s="38">
        <f>((B11+B12+B13+B14)-Обязательства_прочие-'Оснащение и офис'!$J$59-'Оснащение и офис'!$J$76)*(1+Резерв)*НДС+Обязательства_НДС+B19*НДС</f>
        <v>17136024.407449462</v>
      </c>
      <c r="C17" s="38">
        <f>((C11+C12+C13+C14)-'Оснащение и офис'!$K$59-'Оснащение и офис'!$K$76)*(1+Резерв)*НДС+C19*НДС</f>
        <v>6560273.7029333338</v>
      </c>
      <c r="D17" s="38">
        <f>((D11+D12+D13+D14)-'Оснащение и офис'!$L$59-'Оснащение и офис'!$L$76)*(1+Резерв)*НДС+D19*НДС</f>
        <v>3914006.5189333335</v>
      </c>
      <c r="E17" s="38">
        <f>(E11+E12+E13+E14)*(1+Резерв)*НДС+E19*НДС</f>
        <v>5918964.3962666672</v>
      </c>
      <c r="F17" s="38">
        <f t="shared" si="0"/>
        <v>33529269.025582798</v>
      </c>
    </row>
    <row r="18" spans="1:6" x14ac:dyDescent="0.25">
      <c r="A18" s="41" t="s">
        <v>334</v>
      </c>
      <c r="B18" s="42">
        <f>B15+B16+B17</f>
        <v>115560502.16758004</v>
      </c>
      <c r="C18" s="42">
        <f>C15+C16+C17</f>
        <v>66718838.487933338</v>
      </c>
      <c r="D18" s="42">
        <f>D15+D16+D17</f>
        <v>51944207.528933339</v>
      </c>
      <c r="E18" s="42">
        <f>E15+E16+E17</f>
        <v>62923984.556266673</v>
      </c>
      <c r="F18" s="42">
        <f t="shared" si="0"/>
        <v>297147532.74071342</v>
      </c>
    </row>
    <row r="19" spans="1:6" x14ac:dyDescent="0.25">
      <c r="A19" s="39" t="s">
        <v>335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 t="shared" si="0"/>
        <v>116312426.66666667</v>
      </c>
    </row>
    <row r="20" spans="1:6" hidden="1" x14ac:dyDescent="0.25">
      <c r="A20" s="39" t="s">
        <v>610</v>
      </c>
      <c r="B20" s="40">
        <f>Обязательства_ЗП+Обязательства_НДС+Обязательства_прочие</f>
        <v>37450000</v>
      </c>
      <c r="C20" s="40">
        <v>0</v>
      </c>
      <c r="D20" s="40">
        <v>0</v>
      </c>
      <c r="E20" s="40">
        <v>0</v>
      </c>
      <c r="F20" s="40">
        <f t="shared" si="0"/>
        <v>37450000</v>
      </c>
    </row>
    <row r="21" spans="1:6" x14ac:dyDescent="0.25">
      <c r="A21" s="43" t="s">
        <v>561</v>
      </c>
      <c r="B21" s="44">
        <f>B18+B19</f>
        <v>153806475.50091338</v>
      </c>
      <c r="C21" s="44">
        <f>C18+C19</f>
        <v>98550011.821266666</v>
      </c>
      <c r="D21" s="44">
        <f>D18+D19</f>
        <v>69101380.862266675</v>
      </c>
      <c r="E21" s="44">
        <f>E18+E19</f>
        <v>92002091.222933337</v>
      </c>
      <c r="F21" s="44">
        <f>F18+F19</f>
        <v>413459959.4073801</v>
      </c>
    </row>
    <row r="23" spans="1:6" x14ac:dyDescent="0.25">
      <c r="A23" s="106" t="s">
        <v>558</v>
      </c>
      <c r="B23" s="44">
        <f>B21</f>
        <v>153806475.50091338</v>
      </c>
      <c r="C23" s="44">
        <f>B23+C21</f>
        <v>252356487.32218003</v>
      </c>
      <c r="D23" s="44">
        <f>C23+D21</f>
        <v>321457868.18444669</v>
      </c>
      <c r="E23" s="44">
        <f>D23+E21</f>
        <v>413459959.40738004</v>
      </c>
      <c r="F23" s="44"/>
    </row>
    <row r="24" spans="1:6" x14ac:dyDescent="0.25">
      <c r="A24" s="106" t="s">
        <v>559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606</v>
      </c>
      <c r="B25" s="44">
        <f>$F$24-B23</f>
        <v>96193524.499086618</v>
      </c>
      <c r="C25" s="44">
        <f>$F$24-C23</f>
        <v>-2356487.3221800327</v>
      </c>
      <c r="D25" s="44">
        <f>$F$24-D23</f>
        <v>-71457868.184446692</v>
      </c>
      <c r="E25" s="44">
        <f>$F$24-E23</f>
        <v>-163459959.40738004</v>
      </c>
      <c r="F25" s="44">
        <f>F24-F21</f>
        <v>-163459959.4073801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7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349</v>
      </c>
      <c r="B15" s="8">
        <f>ROUND(0.29%*12*SUMIFS(Штат!$H$5:$H$36,Штат!$E$5:$E$36,"штат",Штат!$F$5:$F$36,"новая"),-3)</f>
        <v>713000</v>
      </c>
      <c r="C15" t="s">
        <v>379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302</v>
      </c>
    </row>
    <row r="33" spans="1:3" ht="15" customHeight="1" x14ac:dyDescent="0.25">
      <c r="A33" t="s">
        <v>60</v>
      </c>
      <c r="B33" s="8">
        <v>1</v>
      </c>
      <c r="C33" t="s">
        <v>219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325</v>
      </c>
    </row>
    <row r="38" spans="1:3" ht="15" customHeight="1" x14ac:dyDescent="0.25">
      <c r="A38" t="s">
        <v>326</v>
      </c>
    </row>
    <row r="41" spans="1:3" s="7" customFormat="1" x14ac:dyDescent="0.25">
      <c r="A41" s="7" t="s">
        <v>299</v>
      </c>
    </row>
    <row r="42" spans="1:3" x14ac:dyDescent="0.25">
      <c r="A42" t="s">
        <v>156</v>
      </c>
      <c r="B42" s="13">
        <f>ROUND((52.2+21.4+12.4+33.7+190)*1.1,2)</f>
        <v>340.67</v>
      </c>
      <c r="C42" t="s">
        <v>300</v>
      </c>
    </row>
    <row r="43" spans="1:3" x14ac:dyDescent="0.25">
      <c r="A43" t="s">
        <v>157</v>
      </c>
      <c r="B43" s="5">
        <v>13500</v>
      </c>
      <c r="C43" t="s">
        <v>297</v>
      </c>
    </row>
    <row r="44" spans="1:3" x14ac:dyDescent="0.25">
      <c r="A44" t="s">
        <v>208</v>
      </c>
      <c r="B44" s="5">
        <f>743*309.7</f>
        <v>230107.1</v>
      </c>
      <c r="C44" t="s">
        <v>301</v>
      </c>
    </row>
    <row r="45" spans="1:3" x14ac:dyDescent="0.25">
      <c r="A45" t="s">
        <v>158</v>
      </c>
      <c r="B45" s="5">
        <v>1</v>
      </c>
      <c r="C45" t="s">
        <v>529</v>
      </c>
    </row>
    <row r="46" spans="1:3" x14ac:dyDescent="0.25">
      <c r="A46" t="s">
        <v>159</v>
      </c>
      <c r="B46" s="5">
        <v>40000</v>
      </c>
      <c r="C46" t="s">
        <v>298</v>
      </c>
    </row>
    <row r="47" spans="1:3" x14ac:dyDescent="0.25">
      <c r="A47" t="s">
        <v>160</v>
      </c>
      <c r="B47" s="5">
        <f>Аренда_мес*(1+НДС)</f>
        <v>5648216.4359999988</v>
      </c>
      <c r="C47" t="s">
        <v>161</v>
      </c>
    </row>
    <row r="48" spans="1:3" x14ac:dyDescent="0.25">
      <c r="A48" t="s">
        <v>162</v>
      </c>
      <c r="B48" s="5">
        <f>Аренда_мес*Депозит_мес</f>
        <v>4869152.0999999996</v>
      </c>
      <c r="C48" t="s">
        <v>163</v>
      </c>
    </row>
    <row r="49" spans="1:3" x14ac:dyDescent="0.25">
      <c r="A49" t="s">
        <v>216</v>
      </c>
      <c r="B49" s="15">
        <f>11/31+2</f>
        <v>2.3548387096774195</v>
      </c>
      <c r="C49" t="s">
        <v>217</v>
      </c>
    </row>
    <row r="50" spans="1:3" x14ac:dyDescent="0.25">
      <c r="A50" s="7" t="s">
        <v>209</v>
      </c>
    </row>
    <row r="51" spans="1:3" x14ac:dyDescent="0.25">
      <c r="A51" t="s">
        <v>210</v>
      </c>
      <c r="B51" s="14">
        <v>0.1</v>
      </c>
      <c r="C51" t="s">
        <v>211</v>
      </c>
    </row>
    <row r="52" spans="1:3" x14ac:dyDescent="0.25">
      <c r="A52" t="s">
        <v>218</v>
      </c>
      <c r="B52" s="15">
        <v>2</v>
      </c>
      <c r="C52" t="s">
        <v>382</v>
      </c>
    </row>
    <row r="54" spans="1:3" x14ac:dyDescent="0.25">
      <c r="A54" s="7" t="s">
        <v>614</v>
      </c>
    </row>
    <row r="55" spans="1:3" x14ac:dyDescent="0.25">
      <c r="A55" t="s">
        <v>611</v>
      </c>
      <c r="B55" s="5">
        <v>29613000</v>
      </c>
      <c r="C55" t="s">
        <v>604</v>
      </c>
    </row>
    <row r="56" spans="1:3" x14ac:dyDescent="0.25">
      <c r="A56" t="s">
        <v>612</v>
      </c>
      <c r="B56" s="5">
        <v>7355000</v>
      </c>
      <c r="C56" t="s">
        <v>615</v>
      </c>
    </row>
    <row r="57" spans="1:3" x14ac:dyDescent="0.25">
      <c r="A57" t="s">
        <v>613</v>
      </c>
      <c r="B57" s="5">
        <v>482000</v>
      </c>
      <c r="C57" t="s">
        <v>616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269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313</v>
      </c>
      <c r="J4" s="3" t="s">
        <v>73</v>
      </c>
      <c r="K4" s="3" t="s">
        <v>74</v>
      </c>
      <c r="L4" s="3" t="s">
        <v>383</v>
      </c>
      <c r="M4" s="3" t="s">
        <v>76</v>
      </c>
      <c r="N4" s="3" t="s">
        <v>350</v>
      </c>
      <c r="O4" s="3" t="s">
        <v>77</v>
      </c>
      <c r="P4" s="3" t="s">
        <v>314</v>
      </c>
      <c r="Q4" s="88" t="s">
        <v>479</v>
      </c>
    </row>
    <row r="5" spans="1:17" ht="90" x14ac:dyDescent="0.25">
      <c r="A5" s="16">
        <v>1</v>
      </c>
      <c r="B5" s="16" t="s">
        <v>261</v>
      </c>
      <c r="C5" s="17" t="s">
        <v>262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450</v>
      </c>
      <c r="Q5" s="89"/>
    </row>
    <row r="6" spans="1:17" ht="60" x14ac:dyDescent="0.25">
      <c r="A6" s="16">
        <v>2</v>
      </c>
      <c r="B6" s="16" t="s">
        <v>261</v>
      </c>
      <c r="C6" s="17" t="s">
        <v>446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447</v>
      </c>
      <c r="Q6" s="89"/>
    </row>
    <row r="7" spans="1:17" ht="90" x14ac:dyDescent="0.25">
      <c r="A7" s="16">
        <v>3</v>
      </c>
      <c r="B7" s="16" t="s">
        <v>261</v>
      </c>
      <c r="C7" s="17" t="s">
        <v>253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353</v>
      </c>
      <c r="Q7" s="89"/>
    </row>
    <row r="8" spans="1:17" ht="90" x14ac:dyDescent="0.25">
      <c r="A8" s="16">
        <v>4</v>
      </c>
      <c r="B8" s="16" t="s">
        <v>205</v>
      </c>
      <c r="C8" s="17" t="s">
        <v>355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356</v>
      </c>
      <c r="Q8" s="89">
        <v>1</v>
      </c>
    </row>
    <row r="9" spans="1:17" ht="45" x14ac:dyDescent="0.25">
      <c r="A9" s="16">
        <v>6</v>
      </c>
      <c r="B9" s="16" t="s">
        <v>234</v>
      </c>
      <c r="C9" s="17" t="s">
        <v>235</v>
      </c>
      <c r="D9" s="17" t="s">
        <v>478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367</v>
      </c>
      <c r="Q9" s="89"/>
    </row>
    <row r="10" spans="1:17" ht="60" x14ac:dyDescent="0.25">
      <c r="A10" s="16">
        <v>6</v>
      </c>
      <c r="B10" s="16" t="s">
        <v>234</v>
      </c>
      <c r="C10" s="17" t="s">
        <v>368</v>
      </c>
      <c r="D10" s="17" t="s">
        <v>237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369</v>
      </c>
      <c r="Q10" s="89">
        <v>1</v>
      </c>
    </row>
    <row r="11" spans="1:17" ht="30" x14ac:dyDescent="0.25">
      <c r="A11" s="20">
        <v>6</v>
      </c>
      <c r="B11" s="20" t="s">
        <v>234</v>
      </c>
      <c r="C11" s="21" t="s">
        <v>370</v>
      </c>
      <c r="D11" s="21" t="s">
        <v>237</v>
      </c>
      <c r="E11" s="20" t="s">
        <v>243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371</v>
      </c>
      <c r="Q11" s="89"/>
    </row>
    <row r="12" spans="1:17" ht="30" x14ac:dyDescent="0.25">
      <c r="A12" s="16">
        <v>6</v>
      </c>
      <c r="B12" s="16" t="s">
        <v>234</v>
      </c>
      <c r="C12" s="17" t="s">
        <v>236</v>
      </c>
      <c r="D12" s="17" t="s">
        <v>237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318</v>
      </c>
      <c r="Q12" s="89"/>
    </row>
    <row r="13" spans="1:17" ht="30" x14ac:dyDescent="0.25">
      <c r="A13" s="16">
        <v>14</v>
      </c>
      <c r="B13" s="16" t="s">
        <v>238</v>
      </c>
      <c r="C13" s="17" t="s">
        <v>263</v>
      </c>
      <c r="D13" s="17" t="s">
        <v>240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264</v>
      </c>
      <c r="Q13" s="89"/>
    </row>
    <row r="14" spans="1:17" ht="60" x14ac:dyDescent="0.25">
      <c r="A14" s="16">
        <v>15</v>
      </c>
      <c r="B14" s="16" t="s">
        <v>238</v>
      </c>
      <c r="C14" s="17" t="s">
        <v>239</v>
      </c>
      <c r="D14" s="17" t="s">
        <v>240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357</v>
      </c>
      <c r="Q14" s="89">
        <v>1</v>
      </c>
    </row>
    <row r="15" spans="1:17" ht="75" x14ac:dyDescent="0.25">
      <c r="A15" s="16">
        <v>17</v>
      </c>
      <c r="B15" s="16" t="s">
        <v>238</v>
      </c>
      <c r="C15" s="17" t="s">
        <v>239</v>
      </c>
      <c r="D15" s="17" t="s">
        <v>240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358</v>
      </c>
      <c r="Q15" s="89">
        <v>1</v>
      </c>
    </row>
    <row r="16" spans="1:17" ht="60" x14ac:dyDescent="0.25">
      <c r="A16" s="16">
        <v>18</v>
      </c>
      <c r="B16" s="16" t="s">
        <v>238</v>
      </c>
      <c r="C16" s="17" t="s">
        <v>241</v>
      </c>
      <c r="D16" s="17" t="s">
        <v>240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359</v>
      </c>
      <c r="Q16" s="89">
        <v>1</v>
      </c>
    </row>
    <row r="17" spans="1:17" ht="30" x14ac:dyDescent="0.25">
      <c r="A17" s="16">
        <v>19</v>
      </c>
      <c r="B17" s="16" t="s">
        <v>238</v>
      </c>
      <c r="C17" s="17" t="s">
        <v>239</v>
      </c>
      <c r="D17" s="17" t="s">
        <v>240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454</v>
      </c>
      <c r="Q17" s="89"/>
    </row>
    <row r="18" spans="1:17" ht="30" x14ac:dyDescent="0.25">
      <c r="A18" s="16">
        <v>19</v>
      </c>
      <c r="B18" s="16" t="s">
        <v>238</v>
      </c>
      <c r="C18" s="17" t="s">
        <v>241</v>
      </c>
      <c r="D18" s="17" t="s">
        <v>240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455</v>
      </c>
      <c r="Q18" s="89"/>
    </row>
    <row r="19" spans="1:17" ht="30" x14ac:dyDescent="0.25">
      <c r="A19" s="16">
        <v>19</v>
      </c>
      <c r="B19" s="16" t="s">
        <v>238</v>
      </c>
      <c r="C19" s="17" t="s">
        <v>241</v>
      </c>
      <c r="D19" s="17" t="s">
        <v>240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366</v>
      </c>
      <c r="Q19" s="89"/>
    </row>
    <row r="20" spans="1:17" ht="75" x14ac:dyDescent="0.25">
      <c r="A20" s="16">
        <v>23</v>
      </c>
      <c r="B20" s="16" t="s">
        <v>242</v>
      </c>
      <c r="C20" s="17" t="s">
        <v>235</v>
      </c>
      <c r="D20" s="17" t="s">
        <v>478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360</v>
      </c>
      <c r="Q20" s="89">
        <v>1</v>
      </c>
    </row>
    <row r="21" spans="1:17" ht="30" x14ac:dyDescent="0.25">
      <c r="A21" s="20">
        <v>24</v>
      </c>
      <c r="B21" s="20" t="s">
        <v>242</v>
      </c>
      <c r="C21" s="21" t="s">
        <v>265</v>
      </c>
      <c r="D21" s="21" t="s">
        <v>237</v>
      </c>
      <c r="E21" s="20" t="s">
        <v>243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289</v>
      </c>
      <c r="Q21" s="89"/>
    </row>
    <row r="22" spans="1:17" ht="45" x14ac:dyDescent="0.25">
      <c r="A22" s="16">
        <v>25</v>
      </c>
      <c r="B22" s="16" t="s">
        <v>244</v>
      </c>
      <c r="C22" s="17" t="s">
        <v>245</v>
      </c>
      <c r="D22" s="17" t="s">
        <v>478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362</v>
      </c>
      <c r="Q22" s="89"/>
    </row>
    <row r="23" spans="1:17" ht="45" x14ac:dyDescent="0.25">
      <c r="A23" s="16">
        <v>26</v>
      </c>
      <c r="B23" s="16" t="s">
        <v>244</v>
      </c>
      <c r="C23" s="17" t="s">
        <v>246</v>
      </c>
      <c r="D23" s="17" t="s">
        <v>206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361</v>
      </c>
      <c r="Q23" s="89">
        <v>1</v>
      </c>
    </row>
    <row r="24" spans="1:17" x14ac:dyDescent="0.25">
      <c r="A24" s="20">
        <v>27</v>
      </c>
      <c r="B24" s="20" t="s">
        <v>244</v>
      </c>
      <c r="C24" s="21" t="s">
        <v>250</v>
      </c>
      <c r="D24" s="21" t="s">
        <v>206</v>
      </c>
      <c r="E24" s="20" t="s">
        <v>243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290</v>
      </c>
      <c r="Q24" s="89"/>
    </row>
    <row r="25" spans="1:17" x14ac:dyDescent="0.25">
      <c r="A25" s="20">
        <v>28</v>
      </c>
      <c r="B25" s="20" t="s">
        <v>244</v>
      </c>
      <c r="C25" s="21" t="s">
        <v>251</v>
      </c>
      <c r="D25" s="21" t="s">
        <v>206</v>
      </c>
      <c r="E25" s="20" t="s">
        <v>243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291</v>
      </c>
      <c r="Q25" s="89"/>
    </row>
    <row r="26" spans="1:17" x14ac:dyDescent="0.25">
      <c r="A26" s="16">
        <v>29</v>
      </c>
      <c r="B26" s="16" t="s">
        <v>244</v>
      </c>
      <c r="C26" s="17" t="s">
        <v>364</v>
      </c>
      <c r="D26" s="17" t="s">
        <v>206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365</v>
      </c>
      <c r="Q26" s="89">
        <v>1</v>
      </c>
    </row>
    <row r="27" spans="1:17" x14ac:dyDescent="0.25">
      <c r="A27" s="16">
        <v>30</v>
      </c>
      <c r="B27" s="16" t="s">
        <v>244</v>
      </c>
      <c r="C27" s="17" t="s">
        <v>247</v>
      </c>
      <c r="D27" s="17" t="s">
        <v>206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363</v>
      </c>
      <c r="Q27" s="89"/>
    </row>
    <row r="28" spans="1:17" x14ac:dyDescent="0.25">
      <c r="A28" s="16">
        <v>31</v>
      </c>
      <c r="B28" s="16" t="s">
        <v>244</v>
      </c>
      <c r="C28" s="17" t="s">
        <v>248</v>
      </c>
      <c r="D28" s="17" t="s">
        <v>206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249</v>
      </c>
      <c r="Q28" s="89"/>
    </row>
    <row r="29" spans="1:17" ht="30" x14ac:dyDescent="0.25">
      <c r="A29" s="20">
        <v>32</v>
      </c>
      <c r="B29" s="20" t="s">
        <v>244</v>
      </c>
      <c r="C29" s="21" t="s">
        <v>252</v>
      </c>
      <c r="D29" s="21" t="s">
        <v>206</v>
      </c>
      <c r="E29" s="20" t="s">
        <v>243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292</v>
      </c>
      <c r="Q29" s="89"/>
    </row>
    <row r="30" spans="1:17" ht="75" x14ac:dyDescent="0.25">
      <c r="A30" s="16">
        <v>33</v>
      </c>
      <c r="B30" s="16" t="s">
        <v>266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319</v>
      </c>
      <c r="Q30" s="89"/>
    </row>
    <row r="31" spans="1:17" ht="30" x14ac:dyDescent="0.25">
      <c r="A31" s="16">
        <v>34</v>
      </c>
      <c r="B31" s="16" t="s">
        <v>266</v>
      </c>
      <c r="C31" s="17" t="s">
        <v>84</v>
      </c>
      <c r="D31" s="17" t="s">
        <v>202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203</v>
      </c>
      <c r="Q31" s="89"/>
    </row>
    <row r="32" spans="1:17" ht="45" x14ac:dyDescent="0.25">
      <c r="A32" s="16">
        <v>35</v>
      </c>
      <c r="B32" s="16" t="s">
        <v>354</v>
      </c>
      <c r="C32" s="17" t="s">
        <v>453</v>
      </c>
      <c r="D32" s="17" t="s">
        <v>449</v>
      </c>
      <c r="E32" s="16" t="s">
        <v>79</v>
      </c>
      <c r="F32" s="16" t="s">
        <v>82</v>
      </c>
      <c r="G32" s="16">
        <v>1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1147550</v>
      </c>
      <c r="L32" s="19">
        <f t="shared" si="2"/>
        <v>2</v>
      </c>
      <c r="M32" s="18">
        <f t="shared" si="3"/>
        <v>2295100</v>
      </c>
      <c r="N32" s="18">
        <f t="shared" si="4"/>
        <v>33952.380952380954</v>
      </c>
      <c r="O32" s="18">
        <f t="shared" si="5"/>
        <v>2329052.3809523811</v>
      </c>
      <c r="P32" s="17" t="s">
        <v>352</v>
      </c>
      <c r="Q32" s="89"/>
    </row>
    <row r="33" spans="1:17" s="79" customFormat="1" ht="45" x14ac:dyDescent="0.25">
      <c r="A33" s="16">
        <v>35</v>
      </c>
      <c r="B33" s="16" t="s">
        <v>354</v>
      </c>
      <c r="C33" s="17" t="s">
        <v>618</v>
      </c>
      <c r="D33" s="17" t="s">
        <v>449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451</v>
      </c>
      <c r="Q33" s="89"/>
    </row>
    <row r="34" spans="1:17" s="79" customFormat="1" ht="45" x14ac:dyDescent="0.25">
      <c r="A34" s="16">
        <v>35</v>
      </c>
      <c r="B34" s="16" t="s">
        <v>354</v>
      </c>
      <c r="C34" s="17" t="s">
        <v>618</v>
      </c>
      <c r="D34" s="17" t="s">
        <v>449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452</v>
      </c>
      <c r="Q34" s="89"/>
    </row>
    <row r="35" spans="1:17" ht="30" x14ac:dyDescent="0.25">
      <c r="A35" s="20">
        <v>36</v>
      </c>
      <c r="B35" s="20" t="s">
        <v>266</v>
      </c>
      <c r="C35" s="21" t="s">
        <v>267</v>
      </c>
      <c r="D35" s="21" t="s">
        <v>204</v>
      </c>
      <c r="E35" s="20" t="s">
        <v>243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293</v>
      </c>
      <c r="Q35" s="89"/>
    </row>
    <row r="36" spans="1:17" ht="30" x14ac:dyDescent="0.25">
      <c r="A36" s="20">
        <v>37</v>
      </c>
      <c r="B36" s="20" t="s">
        <v>266</v>
      </c>
      <c r="C36" s="21" t="s">
        <v>268</v>
      </c>
      <c r="D36" s="21" t="s">
        <v>204</v>
      </c>
      <c r="E36" s="20" t="s">
        <v>243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294</v>
      </c>
      <c r="Q36" s="89"/>
    </row>
    <row r="37" spans="1:17" x14ac:dyDescent="0.25">
      <c r="A37" s="7"/>
      <c r="B37" s="7"/>
      <c r="C37" s="7" t="s">
        <v>315</v>
      </c>
      <c r="D37" s="7"/>
      <c r="E37" s="7"/>
      <c r="F37" s="7"/>
      <c r="G37" s="7">
        <f>SUM(G5:G36)</f>
        <v>23</v>
      </c>
      <c r="H37" s="6">
        <f>SUMPRODUCT(G5:G36,H5:H36)</f>
        <v>24600000</v>
      </c>
      <c r="I37" s="7"/>
      <c r="J37" s="6"/>
      <c r="K37" s="6">
        <f>SUM(K5:K36)</f>
        <v>28182130</v>
      </c>
      <c r="L37" s="7"/>
      <c r="M37" s="6">
        <f>SUM(M5:M36)</f>
        <v>54881370</v>
      </c>
      <c r="N37" s="6">
        <f t="shared" ref="N37:O37" si="37">SUM(N5:N36)</f>
        <v>645095.23809523811</v>
      </c>
      <c r="O37" s="6">
        <f t="shared" si="37"/>
        <v>55526465.238095231</v>
      </c>
      <c r="P37" s="7"/>
    </row>
    <row r="38" spans="1:17" x14ac:dyDescent="0.25">
      <c r="C38" t="s">
        <v>316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317</v>
      </c>
      <c r="G39">
        <f>G37-G38</f>
        <v>8</v>
      </c>
      <c r="H39" s="5">
        <f>H37-H38</f>
        <v>9100000</v>
      </c>
    </row>
    <row r="41" spans="1:17" x14ac:dyDescent="0.25">
      <c r="C41" s="7" t="s">
        <v>474</v>
      </c>
    </row>
    <row r="42" spans="1:17" x14ac:dyDescent="0.25">
      <c r="C42" t="s">
        <v>480</v>
      </c>
      <c r="H42" s="5">
        <f>SUMPRODUCT(Q5:Q36,H5:H36)</f>
        <v>8400000</v>
      </c>
    </row>
    <row r="43" spans="1:17" x14ac:dyDescent="0.25">
      <c r="C43" t="s">
        <v>475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476</v>
      </c>
      <c r="H44" s="6">
        <f>H42+H43</f>
        <v>9389520</v>
      </c>
    </row>
    <row r="45" spans="1:17" x14ac:dyDescent="0.25">
      <c r="C45" t="s">
        <v>477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320</v>
      </c>
    </row>
    <row r="3" spans="1:12" ht="42" customHeight="1" x14ac:dyDescent="0.25">
      <c r="A3" s="25" t="s">
        <v>65</v>
      </c>
      <c r="B3" s="25" t="s">
        <v>173</v>
      </c>
      <c r="C3" s="25" t="s">
        <v>68</v>
      </c>
      <c r="D3" s="25" t="s">
        <v>272</v>
      </c>
      <c r="E3" s="25" t="s">
        <v>273</v>
      </c>
      <c r="F3" s="103" t="s">
        <v>511</v>
      </c>
      <c r="G3" s="103" t="s">
        <v>512</v>
      </c>
      <c r="H3" s="25" t="s">
        <v>274</v>
      </c>
      <c r="I3" s="25" t="s">
        <v>275</v>
      </c>
      <c r="J3" s="25" t="s">
        <v>313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518</v>
      </c>
      <c r="C4" s="27" t="s">
        <v>204</v>
      </c>
      <c r="D4" s="27" t="s">
        <v>276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448</v>
      </c>
      <c r="C5" s="27" t="s">
        <v>204</v>
      </c>
      <c r="D5" s="27" t="s">
        <v>277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278</v>
      </c>
      <c r="C6" s="27" t="s">
        <v>279</v>
      </c>
      <c r="D6" s="27" t="s">
        <v>280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281</v>
      </c>
      <c r="C7" s="27" t="s">
        <v>282</v>
      </c>
      <c r="D7" s="27" t="s">
        <v>283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284</v>
      </c>
      <c r="C8" s="27" t="s">
        <v>282</v>
      </c>
      <c r="D8" s="27" t="s">
        <v>285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372</v>
      </c>
      <c r="C9" s="27" t="s">
        <v>373</v>
      </c>
      <c r="D9" s="27" t="s">
        <v>374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286</v>
      </c>
      <c r="C10" s="27" t="s">
        <v>282</v>
      </c>
      <c r="D10" s="27" t="s">
        <v>287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288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519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487</v>
      </c>
    </row>
    <row r="2" spans="1:7" ht="44.1" customHeight="1" x14ac:dyDescent="0.25">
      <c r="A2" s="4" t="s">
        <v>488</v>
      </c>
      <c r="B2" s="4"/>
      <c r="C2" s="4"/>
      <c r="D2" s="4"/>
      <c r="E2" s="4"/>
      <c r="F2" s="4"/>
      <c r="G2" s="4"/>
    </row>
    <row r="4" spans="1:7" x14ac:dyDescent="0.25">
      <c r="A4" t="s">
        <v>489</v>
      </c>
      <c r="B4" s="93">
        <v>0.1</v>
      </c>
      <c r="C4" t="s">
        <v>490</v>
      </c>
    </row>
    <row r="5" spans="1:7" x14ac:dyDescent="0.25">
      <c r="A5" t="s">
        <v>491</v>
      </c>
      <c r="B5" s="94">
        <f>Ставка_ОПВР+Ставка_ООСМС+Ставка_СН*(1-Ставка_ОПВ-Ставка_ВОСМС)</f>
        <v>0.1178</v>
      </c>
      <c r="C5" t="s">
        <v>492</v>
      </c>
    </row>
    <row r="7" spans="1:7" ht="45.95" customHeight="1" x14ac:dyDescent="0.25">
      <c r="A7" s="95" t="s">
        <v>493</v>
      </c>
      <c r="B7" s="95" t="s">
        <v>494</v>
      </c>
      <c r="C7" s="95" t="s">
        <v>495</v>
      </c>
      <c r="D7" s="95" t="s">
        <v>496</v>
      </c>
      <c r="E7" s="95" t="s">
        <v>497</v>
      </c>
      <c r="F7" s="95" t="s">
        <v>498</v>
      </c>
      <c r="G7" s="95" t="s">
        <v>499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500</v>
      </c>
    </row>
    <row r="14" spans="1:7" x14ac:dyDescent="0.25">
      <c r="A14" s="98" t="s">
        <v>501</v>
      </c>
      <c r="B14" s="97">
        <f>$B$4*(1+$B$5)</f>
        <v>0.11177999999999999</v>
      </c>
      <c r="C14" s="98" t="s">
        <v>502</v>
      </c>
    </row>
    <row r="15" spans="1:7" x14ac:dyDescent="0.25">
      <c r="A15" s="98" t="s">
        <v>503</v>
      </c>
      <c r="B15" s="97">
        <f>$B$4*(1+$B$5)*(1+НДС)</f>
        <v>0.12966479999999997</v>
      </c>
      <c r="C15" s="98" t="s">
        <v>504</v>
      </c>
    </row>
    <row r="17" spans="1:3" x14ac:dyDescent="0.25">
      <c r="A17" s="7" t="s">
        <v>505</v>
      </c>
    </row>
    <row r="18" spans="1:3" ht="32.1" customHeight="1" x14ac:dyDescent="0.25">
      <c r="A18" s="99" t="s">
        <v>513</v>
      </c>
      <c r="B18" s="99"/>
      <c r="C18" s="99"/>
    </row>
    <row r="19" spans="1:3" x14ac:dyDescent="0.25">
      <c r="A19" s="98" t="s">
        <v>514</v>
      </c>
      <c r="B19" s="96">
        <f>Аутсорс!E11</f>
        <v>5393100</v>
      </c>
      <c r="C19" s="96"/>
    </row>
    <row r="20" spans="1:3" x14ac:dyDescent="0.25">
      <c r="A20" s="98" t="s">
        <v>515</v>
      </c>
      <c r="B20" s="96">
        <f>Аутсорс!F11</f>
        <v>539310</v>
      </c>
      <c r="C20" s="96"/>
    </row>
    <row r="21" spans="1:3" x14ac:dyDescent="0.25">
      <c r="A21" s="100" t="s">
        <v>506</v>
      </c>
      <c r="B21" s="101">
        <f>Аутсорс!F11*2</f>
        <v>1078620</v>
      </c>
      <c r="C21" s="101"/>
    </row>
    <row r="22" spans="1:3" x14ac:dyDescent="0.25">
      <c r="A22" s="100" t="s">
        <v>507</v>
      </c>
      <c r="B22" s="101">
        <f>B21*(1+НДС)</f>
        <v>1251199.2</v>
      </c>
      <c r="C22" s="101"/>
    </row>
    <row r="23" spans="1:3" x14ac:dyDescent="0.25">
      <c r="A23" s="98" t="s">
        <v>516</v>
      </c>
      <c r="B23" s="96">
        <f>Аутсорс!L11</f>
        <v>13763192</v>
      </c>
      <c r="C23" s="96"/>
    </row>
    <row r="25" spans="1:3" x14ac:dyDescent="0.25">
      <c r="A25" t="s">
        <v>517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312</v>
      </c>
    </row>
    <row r="2" spans="1:7" ht="15" customHeight="1" x14ac:dyDescent="0.25">
      <c r="A2" s="2" t="s">
        <v>207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386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375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456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270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376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605</v>
      </c>
    </row>
    <row r="2" spans="1:13" ht="15" customHeight="1" x14ac:dyDescent="0.25">
      <c r="A2" s="2" t="s">
        <v>321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322</v>
      </c>
      <c r="H4" s="3" t="s">
        <v>96</v>
      </c>
      <c r="I4" s="3" t="s">
        <v>90</v>
      </c>
      <c r="J4" s="3" t="s">
        <v>554</v>
      </c>
      <c r="K4" s="3" t="s">
        <v>555</v>
      </c>
      <c r="L4" s="3" t="s">
        <v>556</v>
      </c>
      <c r="M4" s="3" t="s">
        <v>557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377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306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520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458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459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460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461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462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530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463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531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464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532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522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533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482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534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483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535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486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536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485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537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521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538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465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466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467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539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468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469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337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457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540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214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220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212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215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470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471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164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165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166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167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221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168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169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170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171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222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223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224</v>
      </c>
      <c r="C34" t="s">
        <v>225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226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227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228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229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230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256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378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255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338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257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258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259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260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304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305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549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550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307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308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473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541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484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542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523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543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339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381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309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310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311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472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544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524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525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384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385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340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303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213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254</v>
      </c>
      <c r="I59" s="5">
        <f t="shared" ref="I59:I76" si="15">IF(F59="разово",IF(G59&lt;=3,D59*E59,0),IF(F59="мес",D59*E59*MAX(0,4-G59),D59*E59*MAX(0,4-G59)/12))</f>
        <v>4869152.0999999996</v>
      </c>
      <c r="J59" s="5">
        <f t="shared" ref="J59:J76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545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551</v>
      </c>
      <c r="C63" s="105" t="s">
        <v>552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553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345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346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347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348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341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6" si="18">IF($F69="разово",IF($M69=12,$I69,0),IF($F69="мес",$D69*$E69*($G69&lt;=3),IF($F69="год",$D69*$E69/12*($G69&lt;=3),$I69/2)))</f>
        <v>22500</v>
      </c>
      <c r="L69" s="5">
        <f t="shared" ref="L69:L76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527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546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508</v>
      </c>
      <c r="C72" s="102" t="s">
        <v>509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510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295</v>
      </c>
      <c r="C73" t="s">
        <v>232</v>
      </c>
      <c r="D73" s="9"/>
      <c r="E73" s="10"/>
      <c r="F73" s="9" t="s">
        <v>231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130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111</v>
      </c>
      <c r="B76" s="4" t="s">
        <v>526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547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B77" s="4"/>
      <c r="D77" s="9"/>
      <c r="E77" s="10"/>
      <c r="F77" s="9"/>
      <c r="G77" s="9"/>
      <c r="H77" s="4"/>
      <c r="I77" s="5"/>
      <c r="J77" s="5"/>
      <c r="K77" s="5"/>
      <c r="L77" s="5"/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323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554</v>
      </c>
      <c r="I4" s="34" t="s">
        <v>555</v>
      </c>
      <c r="J4" s="34" t="s">
        <v>556</v>
      </c>
    </row>
    <row r="5" spans="1:10" ht="30" x14ac:dyDescent="0.25">
      <c r="A5" t="s">
        <v>271</v>
      </c>
      <c r="B5" s="4" t="s">
        <v>442</v>
      </c>
      <c r="C5" t="s">
        <v>232</v>
      </c>
      <c r="D5" s="9"/>
      <c r="E5" s="10"/>
      <c r="F5" s="9" t="s">
        <v>231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271</v>
      </c>
      <c r="B6" s="4" t="s">
        <v>443</v>
      </c>
      <c r="C6" t="s">
        <v>232</v>
      </c>
      <c r="D6" s="9"/>
      <c r="E6" s="10"/>
      <c r="F6" s="9" t="s">
        <v>231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271</v>
      </c>
      <c r="B7" s="4" t="s">
        <v>233</v>
      </c>
      <c r="C7" t="s">
        <v>232</v>
      </c>
      <c r="D7" s="9"/>
      <c r="E7" s="10"/>
      <c r="F7" s="9" t="s">
        <v>231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271</v>
      </c>
      <c r="B8" s="4" t="s">
        <v>444</v>
      </c>
      <c r="C8" t="s">
        <v>232</v>
      </c>
      <c r="D8" s="9"/>
      <c r="E8" s="10"/>
      <c r="F8" s="9" t="s">
        <v>231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271</v>
      </c>
      <c r="B9" s="4" t="s">
        <v>445</v>
      </c>
      <c r="C9" t="s">
        <v>232</v>
      </c>
      <c r="D9" s="9"/>
      <c r="E9" s="10"/>
      <c r="F9" s="9" t="s">
        <v>231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271</v>
      </c>
      <c r="B10" s="4" t="s">
        <v>441</v>
      </c>
      <c r="C10" t="s">
        <v>232</v>
      </c>
      <c r="D10" s="9"/>
      <c r="E10" s="10"/>
      <c r="F10" s="9" t="s">
        <v>231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324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387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394</v>
      </c>
      <c r="B5" s="54" t="s">
        <v>395</v>
      </c>
      <c r="C5" s="55" t="s">
        <v>396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397</v>
      </c>
      <c r="B6" s="57" t="s">
        <v>398</v>
      </c>
      <c r="C6" s="55" t="s">
        <v>399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400</v>
      </c>
      <c r="B7" s="57" t="s">
        <v>401</v>
      </c>
      <c r="C7" s="55" t="s">
        <v>399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402</v>
      </c>
      <c r="B8" s="57" t="s">
        <v>403</v>
      </c>
      <c r="C8" s="55" t="s">
        <v>399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404</v>
      </c>
      <c r="B9" s="57" t="s">
        <v>405</v>
      </c>
      <c r="C9" s="55" t="s">
        <v>399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406</v>
      </c>
      <c r="B10" s="57" t="s">
        <v>407</v>
      </c>
      <c r="C10" s="55" t="s">
        <v>399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408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409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410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F14</f>
        <v>5530000</v>
      </c>
    </row>
    <row r="5" spans="1:12" x14ac:dyDescent="0.2">
      <c r="A5" s="51" t="s">
        <v>394</v>
      </c>
      <c r="B5" s="57" t="s">
        <v>411</v>
      </c>
      <c r="C5" s="55" t="s">
        <v>412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397</v>
      </c>
      <c r="B6" s="57" t="s">
        <v>413</v>
      </c>
      <c r="C6" s="55" t="s">
        <v>412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400</v>
      </c>
      <c r="B7" s="57" t="s">
        <v>414</v>
      </c>
      <c r="C7" s="55" t="s">
        <v>412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402</v>
      </c>
      <c r="B8" s="57" t="s">
        <v>415</v>
      </c>
      <c r="C8" s="55" t="s">
        <v>416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404</v>
      </c>
      <c r="B9" s="57" t="s">
        <v>417</v>
      </c>
      <c r="C9" s="55" t="s">
        <v>418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406</v>
      </c>
      <c r="B10" s="57" t="s">
        <v>419</v>
      </c>
      <c r="C10" s="55" t="s">
        <v>418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420</v>
      </c>
      <c r="C11" s="55" t="s">
        <v>418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406</v>
      </c>
      <c r="B12" s="57" t="s">
        <v>403</v>
      </c>
      <c r="C12" s="55" t="s">
        <v>416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421</v>
      </c>
      <c r="B13" s="75" t="s">
        <v>422</v>
      </c>
      <c r="C13" s="76" t="s">
        <v>396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408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409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423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F8</f>
        <v>14900000</v>
      </c>
    </row>
    <row r="5" spans="1:12" x14ac:dyDescent="0.2">
      <c r="A5" s="51" t="s">
        <v>394</v>
      </c>
      <c r="B5" s="57" t="s">
        <v>424</v>
      </c>
      <c r="C5" s="55" t="s">
        <v>425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397</v>
      </c>
      <c r="B6" s="57" t="s">
        <v>426</v>
      </c>
      <c r="C6" s="55" t="s">
        <v>427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400</v>
      </c>
      <c r="B7" s="57" t="s">
        <v>428</v>
      </c>
      <c r="C7" s="55" t="s">
        <v>427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408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409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429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394</v>
      </c>
      <c r="B5" s="57" t="s">
        <v>430</v>
      </c>
      <c r="C5" s="55" t="s">
        <v>416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397</v>
      </c>
      <c r="B6" s="57" t="s">
        <v>431</v>
      </c>
      <c r="C6" s="55" t="s">
        <v>425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400</v>
      </c>
      <c r="B7" s="57" t="s">
        <v>432</v>
      </c>
      <c r="C7" s="55" t="s">
        <v>416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402</v>
      </c>
      <c r="B8" s="57" t="s">
        <v>433</v>
      </c>
      <c r="C8" s="55" t="s">
        <v>416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404</v>
      </c>
      <c r="B9" s="57" t="s">
        <v>434</v>
      </c>
      <c r="C9" s="55" t="s">
        <v>416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406</v>
      </c>
      <c r="B10" s="57" t="s">
        <v>435</v>
      </c>
      <c r="C10" s="55" t="s">
        <v>416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421</v>
      </c>
      <c r="B11" s="57" t="s">
        <v>436</v>
      </c>
      <c r="C11" s="55" t="s">
        <v>418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408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409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437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F7</f>
        <v>11300000</v>
      </c>
    </row>
    <row r="5" spans="1:12" x14ac:dyDescent="0.2">
      <c r="A5" s="51" t="s">
        <v>394</v>
      </c>
      <c r="B5" s="57" t="s">
        <v>438</v>
      </c>
      <c r="C5" s="55" t="s">
        <v>416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397</v>
      </c>
      <c r="B6" s="57" t="s">
        <v>439</v>
      </c>
      <c r="C6" s="55" t="s">
        <v>425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408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409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440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F6</f>
        <v>14000000</v>
      </c>
    </row>
    <row r="5" spans="1:12" x14ac:dyDescent="0.2">
      <c r="A5" s="51" t="s">
        <v>394</v>
      </c>
      <c r="B5" s="57" t="s">
        <v>441</v>
      </c>
      <c r="C5" s="55" t="s">
        <v>416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408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409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344</v>
      </c>
    </row>
    <row r="4" spans="1:7" s="7" customFormat="1" x14ac:dyDescent="0.25">
      <c r="A4" s="7" t="s">
        <v>172</v>
      </c>
      <c r="B4" s="7" t="s">
        <v>173</v>
      </c>
      <c r="C4" s="7" t="s">
        <v>93</v>
      </c>
      <c r="D4" s="7" t="s">
        <v>174</v>
      </c>
      <c r="E4" s="7" t="s">
        <v>94</v>
      </c>
      <c r="F4" s="7" t="s">
        <v>175</v>
      </c>
      <c r="G4" s="7" t="s">
        <v>96</v>
      </c>
    </row>
    <row r="5" spans="1:7" x14ac:dyDescent="0.25">
      <c r="A5" t="s">
        <v>176</v>
      </c>
      <c r="B5" t="s">
        <v>177</v>
      </c>
      <c r="C5" t="s">
        <v>178</v>
      </c>
      <c r="D5" s="13">
        <v>3.5</v>
      </c>
      <c r="E5" s="5">
        <v>3000</v>
      </c>
      <c r="F5" s="5">
        <f t="shared" ref="F5:F10" si="0">D5*E5</f>
        <v>10500</v>
      </c>
      <c r="G5" t="s">
        <v>296</v>
      </c>
    </row>
    <row r="6" spans="1:7" x14ac:dyDescent="0.25">
      <c r="A6" t="s">
        <v>176</v>
      </c>
      <c r="B6" t="s">
        <v>179</v>
      </c>
      <c r="C6" t="s">
        <v>178</v>
      </c>
      <c r="D6" s="13">
        <v>0.25</v>
      </c>
      <c r="E6" s="5">
        <v>6500</v>
      </c>
      <c r="F6" s="5">
        <f t="shared" si="0"/>
        <v>1625</v>
      </c>
      <c r="G6" t="s">
        <v>180</v>
      </c>
    </row>
    <row r="7" spans="1:7" x14ac:dyDescent="0.25">
      <c r="A7" t="s">
        <v>176</v>
      </c>
      <c r="B7" t="s">
        <v>181</v>
      </c>
      <c r="C7" t="s">
        <v>182</v>
      </c>
      <c r="D7" s="13">
        <v>0.5</v>
      </c>
      <c r="E7" s="5">
        <v>6000</v>
      </c>
      <c r="F7" s="5">
        <f t="shared" si="0"/>
        <v>3000</v>
      </c>
      <c r="G7" t="s">
        <v>183</v>
      </c>
    </row>
    <row r="8" spans="1:7" x14ac:dyDescent="0.25">
      <c r="A8" t="s">
        <v>176</v>
      </c>
      <c r="B8" t="s">
        <v>184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185</v>
      </c>
    </row>
    <row r="9" spans="1:7" x14ac:dyDescent="0.25">
      <c r="A9" t="s">
        <v>186</v>
      </c>
      <c r="B9" t="s">
        <v>187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188</v>
      </c>
    </row>
    <row r="10" spans="1:7" x14ac:dyDescent="0.25">
      <c r="A10" t="s">
        <v>186</v>
      </c>
      <c r="B10" t="s">
        <v>189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188</v>
      </c>
    </row>
    <row r="11" spans="1:7" s="7" customFormat="1" x14ac:dyDescent="0.25">
      <c r="B11" s="7" t="s">
        <v>201</v>
      </c>
      <c r="D11" s="32"/>
      <c r="E11" s="6"/>
      <c r="F11" s="6">
        <f>SUM(F5:F10)</f>
        <v>24125</v>
      </c>
    </row>
    <row r="13" spans="1:7" x14ac:dyDescent="0.25">
      <c r="A13" s="7" t="s">
        <v>342</v>
      </c>
      <c r="B13" s="7"/>
      <c r="C13" s="7"/>
      <c r="D13" s="32" t="s">
        <v>71</v>
      </c>
      <c r="E13" s="6"/>
      <c r="F13" s="6" t="s">
        <v>136</v>
      </c>
      <c r="G13" s="7"/>
    </row>
    <row r="14" spans="1:7" x14ac:dyDescent="0.25">
      <c r="A14" t="s">
        <v>186</v>
      </c>
      <c r="B14" t="s">
        <v>190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191</v>
      </c>
    </row>
    <row r="15" spans="1:7" x14ac:dyDescent="0.25">
      <c r="A15" t="s">
        <v>186</v>
      </c>
      <c r="B15" t="s">
        <v>192</v>
      </c>
      <c r="C15" t="s">
        <v>103</v>
      </c>
      <c r="D15" s="45"/>
      <c r="E15" s="5">
        <v>8000</v>
      </c>
      <c r="F15" s="5">
        <f t="shared" si="1"/>
        <v>0</v>
      </c>
      <c r="G15" t="s">
        <v>193</v>
      </c>
    </row>
    <row r="16" spans="1:7" x14ac:dyDescent="0.25">
      <c r="A16" t="s">
        <v>186</v>
      </c>
      <c r="B16" t="s">
        <v>194</v>
      </c>
      <c r="C16" t="s">
        <v>103</v>
      </c>
      <c r="D16" s="45"/>
      <c r="E16" s="5">
        <v>10000</v>
      </c>
      <c r="F16" s="5">
        <f t="shared" si="1"/>
        <v>0</v>
      </c>
      <c r="G16" t="s">
        <v>195</v>
      </c>
    </row>
    <row r="17" spans="1:7" x14ac:dyDescent="0.25">
      <c r="A17" t="s">
        <v>186</v>
      </c>
      <c r="B17" t="s">
        <v>196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186</v>
      </c>
      <c r="B18" t="s">
        <v>197</v>
      </c>
      <c r="C18" t="s">
        <v>103</v>
      </c>
      <c r="D18" s="45"/>
      <c r="E18" s="5">
        <v>12000</v>
      </c>
      <c r="F18" s="5">
        <f t="shared" si="1"/>
        <v>0</v>
      </c>
      <c r="G18" t="s">
        <v>198</v>
      </c>
    </row>
    <row r="19" spans="1:7" x14ac:dyDescent="0.25">
      <c r="A19" t="s">
        <v>186</v>
      </c>
      <c r="B19" t="s">
        <v>199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200</v>
      </c>
    </row>
    <row r="20" spans="1:7" s="104" customFormat="1" x14ac:dyDescent="0.25">
      <c r="A20" s="104" t="s">
        <v>186</v>
      </c>
      <c r="B20" s="104" t="s">
        <v>528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548</v>
      </c>
    </row>
    <row r="21" spans="1:7" x14ac:dyDescent="0.25">
      <c r="A21" s="7"/>
      <c r="B21" s="7" t="s">
        <v>343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131</v>
      </c>
    </row>
    <row r="2" spans="1:7" ht="15" customHeight="1" x14ac:dyDescent="0.25">
      <c r="A2" s="2" t="s">
        <v>132</v>
      </c>
    </row>
    <row r="4" spans="1:7" ht="27.75" customHeight="1" x14ac:dyDescent="0.25">
      <c r="A4" s="3" t="s">
        <v>65</v>
      </c>
      <c r="B4" s="3" t="s">
        <v>133</v>
      </c>
      <c r="C4" s="3" t="s">
        <v>134</v>
      </c>
      <c r="D4" s="3" t="s">
        <v>135</v>
      </c>
      <c r="E4" s="3" t="s">
        <v>71</v>
      </c>
      <c r="F4" s="3" t="s">
        <v>94</v>
      </c>
      <c r="G4" s="3" t="s">
        <v>136</v>
      </c>
    </row>
    <row r="5" spans="1:7" ht="15" customHeight="1" x14ac:dyDescent="0.25">
      <c r="A5" s="7" t="s">
        <v>137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138</v>
      </c>
      <c r="C6">
        <v>5659</v>
      </c>
      <c r="D6" t="s">
        <v>139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140</v>
      </c>
      <c r="C7">
        <v>2584</v>
      </c>
      <c r="D7" t="s">
        <v>141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142</v>
      </c>
      <c r="C8">
        <v>6218</v>
      </c>
      <c r="D8" t="s">
        <v>141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143</v>
      </c>
      <c r="C9">
        <v>4240</v>
      </c>
      <c r="D9" t="s">
        <v>141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144</v>
      </c>
      <c r="C10">
        <v>6976</v>
      </c>
      <c r="D10" t="s">
        <v>141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145</v>
      </c>
      <c r="C11">
        <v>3288</v>
      </c>
      <c r="D11" t="s">
        <v>141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146</v>
      </c>
      <c r="C12">
        <v>1756</v>
      </c>
      <c r="D12" t="s">
        <v>141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148</v>
      </c>
      <c r="D16" t="s">
        <v>149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152</v>
      </c>
      <c r="D20" t="s">
        <v>149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153</v>
      </c>
      <c r="D21" t="s">
        <v>149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7" t="s">
        <v>562</v>
      </c>
    </row>
    <row r="3" spans="1:6" ht="30" x14ac:dyDescent="0.25">
      <c r="A3" s="108" t="s">
        <v>67</v>
      </c>
      <c r="B3" s="108" t="s">
        <v>563</v>
      </c>
      <c r="C3" s="108" t="s">
        <v>564</v>
      </c>
      <c r="D3" s="108" t="s">
        <v>565</v>
      </c>
      <c r="E3" s="108" t="s">
        <v>566</v>
      </c>
      <c r="F3" s="108" t="s">
        <v>567</v>
      </c>
    </row>
    <row r="4" spans="1:6" ht="30" x14ac:dyDescent="0.25">
      <c r="A4" s="109" t="s">
        <v>568</v>
      </c>
      <c r="B4" s="109" t="s">
        <v>569</v>
      </c>
      <c r="C4" s="109" t="s">
        <v>570</v>
      </c>
      <c r="D4" s="110">
        <v>1300000</v>
      </c>
      <c r="E4" s="110">
        <f t="shared" ref="E4:E10" si="0"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0">
        <f t="shared" ref="F4:F10" si="1">D4+E4</f>
        <v>1482890</v>
      </c>
    </row>
    <row r="5" spans="1:6" ht="30" x14ac:dyDescent="0.25">
      <c r="A5" s="109" t="s">
        <v>239</v>
      </c>
      <c r="B5" s="109" t="s">
        <v>569</v>
      </c>
      <c r="C5" s="109" t="s">
        <v>571</v>
      </c>
      <c r="D5" s="110">
        <v>1000000</v>
      </c>
      <c r="E5" s="110">
        <f t="shared" si="0"/>
        <v>147550</v>
      </c>
      <c r="F5" s="110">
        <f t="shared" si="1"/>
        <v>1147550</v>
      </c>
    </row>
    <row r="6" spans="1:6" ht="30" x14ac:dyDescent="0.25">
      <c r="A6" s="109" t="s">
        <v>241</v>
      </c>
      <c r="B6" s="109" t="s">
        <v>569</v>
      </c>
      <c r="C6" s="109" t="s">
        <v>572</v>
      </c>
      <c r="D6" s="110">
        <v>700000</v>
      </c>
      <c r="E6" s="110">
        <f t="shared" si="0"/>
        <v>112210</v>
      </c>
      <c r="F6" s="110">
        <f t="shared" si="1"/>
        <v>812210</v>
      </c>
    </row>
    <row r="7" spans="1:6" ht="30" x14ac:dyDescent="0.25">
      <c r="A7" s="109" t="s">
        <v>241</v>
      </c>
      <c r="B7" s="109" t="s">
        <v>569</v>
      </c>
      <c r="C7" s="109" t="s">
        <v>573</v>
      </c>
      <c r="D7" s="110">
        <v>700000</v>
      </c>
      <c r="E7" s="110">
        <f t="shared" si="0"/>
        <v>112210</v>
      </c>
      <c r="F7" s="110">
        <f t="shared" si="1"/>
        <v>812210</v>
      </c>
    </row>
    <row r="8" spans="1:6" ht="30" x14ac:dyDescent="0.25">
      <c r="A8" s="109" t="s">
        <v>241</v>
      </c>
      <c r="B8" s="109" t="s">
        <v>569</v>
      </c>
      <c r="C8" s="109" t="s">
        <v>574</v>
      </c>
      <c r="D8" s="110">
        <v>700000</v>
      </c>
      <c r="E8" s="110">
        <f t="shared" si="0"/>
        <v>112210</v>
      </c>
      <c r="F8" s="110">
        <f t="shared" si="1"/>
        <v>812210</v>
      </c>
    </row>
    <row r="9" spans="1:6" x14ac:dyDescent="0.25">
      <c r="A9" s="109" t="s">
        <v>575</v>
      </c>
      <c r="B9" s="109" t="s">
        <v>576</v>
      </c>
      <c r="C9" s="109" t="s">
        <v>577</v>
      </c>
      <c r="D9" s="110">
        <v>700000</v>
      </c>
      <c r="E9" s="110">
        <f t="shared" si="0"/>
        <v>112210</v>
      </c>
      <c r="F9" s="110">
        <f t="shared" si="1"/>
        <v>812210</v>
      </c>
    </row>
    <row r="10" spans="1:6" x14ac:dyDescent="0.25">
      <c r="A10" s="109" t="s">
        <v>618</v>
      </c>
      <c r="B10" s="109" t="s">
        <v>578</v>
      </c>
      <c r="C10" s="109" t="s">
        <v>579</v>
      </c>
      <c r="D10" s="110">
        <v>800000</v>
      </c>
      <c r="E10" s="110">
        <f t="shared" si="0"/>
        <v>123990</v>
      </c>
      <c r="F10" s="110">
        <f t="shared" si="1"/>
        <v>923990</v>
      </c>
    </row>
    <row r="11" spans="1:6" x14ac:dyDescent="0.25">
      <c r="A11" s="111" t="s">
        <v>580</v>
      </c>
      <c r="B11" s="111"/>
      <c r="C11" s="111"/>
      <c r="D11" s="112">
        <f>SUM(D4:D10)</f>
        <v>5900000</v>
      </c>
      <c r="E11" s="112">
        <f>SUM(E4:E10)</f>
        <v>903270</v>
      </c>
      <c r="F11" s="112">
        <f>SUM(F4:F10)</f>
        <v>6803270</v>
      </c>
    </row>
    <row r="12" spans="1:6" x14ac:dyDescent="0.25">
      <c r="A12" s="109"/>
      <c r="B12" s="109"/>
      <c r="C12" s="109"/>
      <c r="D12" s="110"/>
      <c r="E12" s="110"/>
      <c r="F12" s="110"/>
    </row>
    <row r="13" spans="1:6" ht="30" x14ac:dyDescent="0.25">
      <c r="A13" s="111" t="s">
        <v>581</v>
      </c>
      <c r="B13" s="109"/>
      <c r="C13" s="109"/>
      <c r="D13" s="110"/>
      <c r="E13" s="110"/>
      <c r="F13" s="110"/>
    </row>
    <row r="14" spans="1:6" x14ac:dyDescent="0.25">
      <c r="A14" s="108" t="s">
        <v>173</v>
      </c>
      <c r="B14" s="108" t="s">
        <v>582</v>
      </c>
      <c r="C14" s="108"/>
      <c r="D14" s="113" t="s">
        <v>71</v>
      </c>
      <c r="E14" s="113" t="s">
        <v>583</v>
      </c>
      <c r="F14" s="113" t="s">
        <v>584</v>
      </c>
    </row>
    <row r="15" spans="1:6" ht="30" x14ac:dyDescent="0.25">
      <c r="A15" s="109" t="s">
        <v>585</v>
      </c>
      <c r="B15" s="109" t="s">
        <v>586</v>
      </c>
      <c r="C15" s="109"/>
      <c r="D15" s="110">
        <v>5</v>
      </c>
      <c r="E15" s="110">
        <f>'Оснащение и офис'!E8</f>
        <v>69708</v>
      </c>
      <c r="F15" s="110">
        <f>D15*E15</f>
        <v>348540</v>
      </c>
    </row>
    <row r="16" spans="1:6" ht="30" x14ac:dyDescent="0.25">
      <c r="A16" s="109" t="s">
        <v>587</v>
      </c>
      <c r="B16" s="109" t="s">
        <v>588</v>
      </c>
      <c r="C16" s="109"/>
      <c r="D16" s="110">
        <v>6</v>
      </c>
      <c r="E16" s="110">
        <f>'Оснащение и офис'!E9</f>
        <v>14750</v>
      </c>
      <c r="F16" s="110">
        <f>D16*E16</f>
        <v>88500</v>
      </c>
    </row>
    <row r="17" spans="1:6" x14ac:dyDescent="0.25">
      <c r="A17" s="109" t="s">
        <v>589</v>
      </c>
      <c r="B17" s="109" t="s">
        <v>590</v>
      </c>
      <c r="C17" s="109"/>
      <c r="D17" s="110">
        <v>7</v>
      </c>
      <c r="E17" s="110">
        <f>'Оснащение и офис'!E37</f>
        <v>3550</v>
      </c>
      <c r="F17" s="110">
        <f>D17*E17</f>
        <v>24850</v>
      </c>
    </row>
    <row r="18" spans="1:6" ht="30" x14ac:dyDescent="0.25">
      <c r="A18" s="109" t="s">
        <v>212</v>
      </c>
      <c r="B18" s="109" t="s">
        <v>591</v>
      </c>
      <c r="C18" s="109"/>
      <c r="D18" s="110"/>
      <c r="E18" s="110"/>
      <c r="F18" s="110">
        <f>ROUND((F15+F16)*Сборка_мебели_проц,0)</f>
        <v>43704</v>
      </c>
    </row>
    <row r="19" spans="1:6" x14ac:dyDescent="0.25">
      <c r="A19" s="111" t="s">
        <v>592</v>
      </c>
      <c r="B19" s="111"/>
      <c r="C19" s="111"/>
      <c r="D19" s="112"/>
      <c r="E19" s="112"/>
      <c r="F19" s="112">
        <f>SUM(F15:F18)</f>
        <v>505594</v>
      </c>
    </row>
    <row r="20" spans="1:6" x14ac:dyDescent="0.25">
      <c r="A20" s="109"/>
      <c r="B20" s="109"/>
      <c r="C20" s="109"/>
      <c r="D20" s="110"/>
      <c r="E20" s="110"/>
      <c r="F20" s="110"/>
    </row>
    <row r="21" spans="1:6" x14ac:dyDescent="0.25">
      <c r="A21" s="111" t="s">
        <v>593</v>
      </c>
      <c r="B21" s="109"/>
      <c r="C21" s="109"/>
      <c r="D21" s="110"/>
      <c r="E21" s="110"/>
      <c r="F21" s="110"/>
    </row>
    <row r="22" spans="1:6" x14ac:dyDescent="0.25">
      <c r="A22" s="109" t="s">
        <v>594</v>
      </c>
      <c r="B22" s="109"/>
      <c r="C22" s="109"/>
      <c r="D22" s="110">
        <v>7</v>
      </c>
      <c r="E22" s="110">
        <f>'Оснащение и офис'!E68</f>
        <v>7000</v>
      </c>
      <c r="F22" s="110">
        <f>D22*E22</f>
        <v>49000</v>
      </c>
    </row>
    <row r="23" spans="1:6" x14ac:dyDescent="0.25">
      <c r="A23" s="109" t="s">
        <v>595</v>
      </c>
      <c r="B23" s="109" t="s">
        <v>596</v>
      </c>
      <c r="C23" s="109"/>
      <c r="D23" s="110"/>
      <c r="E23" s="110"/>
      <c r="F23" s="110">
        <f>ROUND(0.29%*12*D11,-3)</f>
        <v>205000</v>
      </c>
    </row>
    <row r="24" spans="1:6" ht="45" x14ac:dyDescent="0.25">
      <c r="A24" s="109" t="s">
        <v>597</v>
      </c>
      <c r="B24" s="109" t="s">
        <v>598</v>
      </c>
      <c r="C24" s="109"/>
      <c r="D24" s="110"/>
      <c r="E24" s="110"/>
      <c r="F24" s="110">
        <f>5*6/12*Поездка_РК+1*(3/12*Поездка_РК+3*Поездка_местн)</f>
        <v>596062.5</v>
      </c>
    </row>
    <row r="25" spans="1:6" x14ac:dyDescent="0.25">
      <c r="A25" s="109" t="s">
        <v>599</v>
      </c>
      <c r="B25" s="109" t="s">
        <v>600</v>
      </c>
      <c r="C25" s="109"/>
      <c r="D25" s="110"/>
      <c r="E25" s="110"/>
      <c r="F25" s="110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45</vt:i4>
      </vt:variant>
    </vt:vector>
  </HeadingPairs>
  <TitlesOfParts>
    <vt:vector size="62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Обязательства_ЗП</vt:lpstr>
      <vt:lpstr>Обязательства_НДС</vt:lpstr>
      <vt:lpstr>Обязательства_прочие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2026-10-29T07:36:14Z</dcterms:modified>
  <dc:language>en-US</dc:language>
</cp:coreProperties>
</file>