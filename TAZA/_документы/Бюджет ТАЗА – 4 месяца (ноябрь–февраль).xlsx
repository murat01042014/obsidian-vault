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7" i="5"/>
  <c r="K77" i="5"/>
  <c r="J77" i="5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F14" i="1" s="1"/>
  <c r="E63" i="5"/>
  <c r="E42" i="5"/>
  <c r="I42" i="5" s="1"/>
  <c r="J42" i="5" s="1"/>
  <c r="I63" i="5" l="1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F8" i="1" s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G11" i="16" l="1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F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s="1"/>
  <c r="E66" i="5" l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D10" i="1" l="1"/>
  <c r="F24" i="17"/>
  <c r="K58" i="5"/>
  <c r="J58" i="5"/>
  <c r="L58" i="5"/>
  <c r="D12" i="1" s="1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D17" i="1" l="1"/>
  <c r="E12" i="1"/>
  <c r="E17" i="1" s="1"/>
  <c r="E10" i="1"/>
  <c r="D6" i="1"/>
  <c r="C6" i="1"/>
  <c r="B6" i="1"/>
  <c r="B12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F12" i="1" l="1"/>
  <c r="D15" i="1"/>
  <c r="D16" i="1" s="1"/>
  <c r="E6" i="1"/>
  <c r="E15" i="1" s="1"/>
  <c r="C10" i="1"/>
  <c r="B10" i="1"/>
  <c r="F10" i="1" s="1"/>
  <c r="B9" i="1"/>
  <c r="F9" i="1" s="1"/>
  <c r="D18" i="1"/>
  <c r="D21" i="1" s="1"/>
  <c r="K49" i="5"/>
  <c r="C11" i="1" s="1"/>
  <c r="F11" i="1" s="1"/>
  <c r="B17" i="1"/>
  <c r="O5" i="3"/>
  <c r="M37" i="3"/>
  <c r="E16" i="1" l="1"/>
  <c r="E18" i="1" s="1"/>
  <c r="E21" i="1" s="1"/>
  <c r="F6" i="1"/>
  <c r="C15" i="1"/>
  <c r="C16" i="1" s="1"/>
  <c r="B15" i="1"/>
  <c r="C17" i="1"/>
  <c r="F17" i="1" s="1"/>
  <c r="O37" i="3"/>
  <c r="B16" i="1" l="1"/>
  <c r="F16" i="1" s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<sst xmlns="http://schemas.openxmlformats.org/spreadsheetml/2006/main" count="1108" uniqueCount="615">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</sst>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612</v>
      </c>
    </row>
    <row r="3" spans="1:6" ht="30" x14ac:dyDescent="0.25">
      <c r="A3" s="35" t="s">
        <v>0</v>
      </c>
      <c r="B3" s="35" t="s">
        <v>561</v>
      </c>
      <c r="C3" s="35" t="s">
        <v>562</v>
      </c>
      <c r="D3" s="35" t="s">
        <v>563</v>
      </c>
      <c r="E3" s="35" t="s">
        <v>613</v>
      </c>
      <c r="F3" s="35" t="s">
        <v>614</v>
      </c>
    </row>
    <row r="4" spans="1:6" x14ac:dyDescent="0.25">
      <c r="A4" s="36" t="s">
        <v>330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331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570</v>
      </c>
      <c r="B6" s="38">
        <f>(SUMPRODUCT((Штат!$E$5:$E$36="штат")*Штат!$K$5:$K$36*(Штат!$I$5:$I$36&lt;=2)))+B7+B20</f>
        <v>64149240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>SUM(B6:E6)</f>
        <v>164888420</v>
      </c>
    </row>
    <row r="7" spans="1:6" ht="30" hidden="1" x14ac:dyDescent="0.25">
      <c r="A7" s="36" t="s">
        <v>488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>SUM(B7:E7)</f>
        <v>9389520</v>
      </c>
    </row>
    <row r="8" spans="1:6" ht="30" x14ac:dyDescent="0.25">
      <c r="A8" s="36" t="s">
        <v>386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>SUM(B8:E8)</f>
        <v>27526384</v>
      </c>
    </row>
    <row r="9" spans="1:6" x14ac:dyDescent="0.25">
      <c r="A9" s="36" t="s">
        <v>356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>SUM(B9:E9)</f>
        <v>850095.23809523811</v>
      </c>
    </row>
    <row r="10" spans="1:6" x14ac:dyDescent="0.25">
      <c r="A10" s="36" t="s">
        <v>332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>SUM(B10:E10)</f>
        <v>8312775</v>
      </c>
    </row>
    <row r="11" spans="1:6" ht="30" x14ac:dyDescent="0.25">
      <c r="A11" s="36" t="s">
        <v>333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>SUM(B11:E11)</f>
        <v>14537636.9</v>
      </c>
    </row>
    <row r="12" spans="1:6" ht="30" x14ac:dyDescent="0.25">
      <c r="A12" s="36" t="s">
        <v>346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>SUM(B12:E12)</f>
        <v>27467936.148387097</v>
      </c>
    </row>
    <row r="13" spans="1:6" x14ac:dyDescent="0.25">
      <c r="A13" s="36" t="s">
        <v>334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>SUM(B13:E13)</f>
        <v>1142447</v>
      </c>
    </row>
    <row r="14" spans="1:6" x14ac:dyDescent="0.25">
      <c r="A14" s="36" t="s">
        <v>335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>SUM(B14:E14)</f>
        <v>4700000</v>
      </c>
    </row>
    <row r="15" spans="1:6" x14ac:dyDescent="0.25">
      <c r="A15" s="39" t="s">
        <v>336</v>
      </c>
      <c r="B15" s="40">
        <f>SUM(B6:B14)-B7</f>
        <v>99249525.236482337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>SUM(B15:E15)</f>
        <v>249425694.28648233</v>
      </c>
    </row>
    <row r="16" spans="1:6" ht="30" x14ac:dyDescent="0.25">
      <c r="A16" s="36" t="s">
        <v>357</v>
      </c>
      <c r="B16" s="38">
        <f>(B15-B20)*Резерв+SUMIFS('Оснащение и офис'!$J$5:$J$77,'Оснащение и офис'!$A$5:$A$77,"Прочие")</f>
        <v>6529952.5236482341</v>
      </c>
      <c r="C16" s="38">
        <f>(C15-C20)*Резерв+SUMIFS('Оснащение и офис'!$K$5:$K$77,'Оснащение и офис'!$A$5:$A$77,"Прочие")</f>
        <v>5468960.4350000005</v>
      </c>
      <c r="D16" s="38">
        <f>(D15-D20)*Резерв+SUMIFS('Оснащение и офис'!$L$5:$L$77,'Оснащение и офис'!$A$5:$A$77,"Прочие")</f>
        <v>4366381.91</v>
      </c>
      <c r="E16" s="38">
        <f>(E15-E20)*Резерв</f>
        <v>5182274.5600000005</v>
      </c>
      <c r="F16" s="38">
        <f>SUM(B16:E16)</f>
        <v>21547569.428648233</v>
      </c>
    </row>
    <row r="17" spans="1:6" ht="30" x14ac:dyDescent="0.25">
      <c r="A17" s="36" t="s">
        <v>565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38">
        <f>((D11+D12+D13+D14)-'Оснащение и офис'!$L$59)*(1+Резерв)*НДС</f>
        <v>1168858.7856000001</v>
      </c>
      <c r="E17" s="38">
        <f>(E11+E12+E13+E14)*(1+Резерв)*НДС</f>
        <v>1266467.3296000001</v>
      </c>
      <c r="F17" s="38">
        <f>SUM(B17:E17)</f>
        <v>7564280.7589161294</v>
      </c>
    </row>
    <row r="18" spans="1:6" x14ac:dyDescent="0.25">
      <c r="A18" s="41" t="s">
        <v>337</v>
      </c>
      <c r="B18" s="42">
        <f>B15+B16+B17</f>
        <v>109441146.4342467</v>
      </c>
      <c r="C18" s="42">
        <f>C15+C16+C17</f>
        <v>61625850.754600003</v>
      </c>
      <c r="D18" s="42">
        <f>D15+D16+D17</f>
        <v>49199059.795600004</v>
      </c>
      <c r="E18" s="42">
        <f>E15+E16+E17</f>
        <v>58271487.489600003</v>
      </c>
      <c r="F18" s="42">
        <f>SUM(B18:E18)</f>
        <v>278537544.47404671</v>
      </c>
    </row>
    <row r="19" spans="1:6" x14ac:dyDescent="0.25">
      <c r="A19" s="39" t="s">
        <v>338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>SUM(B19:E19)</f>
        <v>116312426.66666667</v>
      </c>
    </row>
    <row r="20" spans="1:6" hidden="1" x14ac:dyDescent="0.25">
      <c r="A20" s="39" t="s">
        <v>569</v>
      </c>
      <c r="B20" s="40">
        <v>37450000</v>
      </c>
      <c r="C20" s="40">
        <v>0</v>
      </c>
      <c r="D20" s="40">
        <v>0</v>
      </c>
      <c r="E20" s="40">
        <v>0</v>
      </c>
      <c r="F20" s="40">
        <f>SUM(B20:E20)</f>
        <v>37450000</v>
      </c>
    </row>
    <row r="21" spans="1:6" x14ac:dyDescent="0.25">
      <c r="A21" s="43" t="s">
        <v>571</v>
      </c>
      <c r="B21" s="44">
        <f>B18+B19</f>
        <v>147687119.76758003</v>
      </c>
      <c r="C21" s="44">
        <f>C18+C19</f>
        <v>93457024.087933332</v>
      </c>
      <c r="D21" s="44">
        <f>D18+D19</f>
        <v>66356233.12893334</v>
      </c>
      <c r="E21" s="44">
        <f>E18+E19</f>
        <v>87349594.156266674</v>
      </c>
      <c r="F21" s="44">
        <f>F18+F19</f>
        <v>394849971.14071339</v>
      </c>
    </row>
    <row r="23" spans="1:6" x14ac:dyDescent="0.25">
      <c r="A23" s="106" t="s">
        <v>566</v>
      </c>
      <c r="B23" s="44">
        <f>B21</f>
        <v>147687119.76758003</v>
      </c>
      <c r="C23" s="44">
        <f>B23+C21</f>
        <v>241144143.85551336</v>
      </c>
      <c r="D23" s="44">
        <f>C23+D21</f>
        <v>307500376.9844467</v>
      </c>
      <c r="E23" s="44">
        <f>D23+E21</f>
        <v>394849971.14071339</v>
      </c>
      <c r="F23" s="44"/>
    </row>
    <row r="24" spans="1:6" x14ac:dyDescent="0.25">
      <c r="A24" s="106" t="s">
        <v>567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568</v>
      </c>
      <c r="B25" s="44">
        <f>$F$24-B23</f>
        <v>102312880.23241997</v>
      </c>
      <c r="C25" s="44">
        <f>$F$24-C23</f>
        <v>8855856.1444866359</v>
      </c>
      <c r="D25" s="44">
        <f>$F$24-D23</f>
        <v>-57500376.984446704</v>
      </c>
      <c r="E25" s="44">
        <f>$F$24-E23</f>
        <v>-144849971.14071339</v>
      </c>
      <c r="F25" s="44">
        <f>F24-F21</f>
        <v>-144849971.14071339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354</v>
      </c>
      <c r="B15" s="8">
        <f>ROUND(0.29%*12*SUMIFS(Штат!$H$5:$H$36,Штат!$E$5:$E$36,"штат",Штат!$F$5:$F$36,"новая"),-3)</f>
        <v>713000</v>
      </c>
      <c r="C15" t="s">
        <v>385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536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389</v>
      </c>
      <c r="M4" s="3" t="s">
        <v>76</v>
      </c>
      <c r="N4" s="3" t="s">
        <v>355</v>
      </c>
      <c r="O4" s="3" t="s">
        <v>77</v>
      </c>
      <c r="P4" s="3" t="s">
        <v>316</v>
      </c>
      <c r="Q4" s="88" t="s">
        <v>486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456</v>
      </c>
      <c r="Q5" s="89"/>
    </row>
    <row r="6" spans="1:17" ht="60" x14ac:dyDescent="0.25">
      <c r="A6" s="16">
        <v>2</v>
      </c>
      <c r="B6" s="16" t="s">
        <v>263</v>
      </c>
      <c r="C6" s="17" t="s">
        <v>452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453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359</v>
      </c>
      <c r="Q7" s="89"/>
    </row>
    <row r="8" spans="1:17" ht="90" x14ac:dyDescent="0.25">
      <c r="A8" s="16">
        <v>4</v>
      </c>
      <c r="B8" s="16" t="s">
        <v>207</v>
      </c>
      <c r="C8" s="17" t="s">
        <v>361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362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485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373</v>
      </c>
      <c r="Q9" s="89"/>
    </row>
    <row r="10" spans="1:17" ht="60" x14ac:dyDescent="0.25">
      <c r="A10" s="16">
        <v>6</v>
      </c>
      <c r="B10" s="16" t="s">
        <v>236</v>
      </c>
      <c r="C10" s="17" t="s">
        <v>374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375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376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377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363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364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365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461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462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372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485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366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485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368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367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370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371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369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360</v>
      </c>
      <c r="C32" s="17" t="s">
        <v>459</v>
      </c>
      <c r="D32" s="17" t="s">
        <v>455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358</v>
      </c>
      <c r="Q32" s="89"/>
    </row>
    <row r="33" spans="1:17" s="79" customFormat="1" ht="45" x14ac:dyDescent="0.25">
      <c r="A33" s="16">
        <v>35</v>
      </c>
      <c r="B33" s="16" t="s">
        <v>360</v>
      </c>
      <c r="C33" s="17" t="s">
        <v>460</v>
      </c>
      <c r="D33" s="17" t="s">
        <v>455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457</v>
      </c>
      <c r="Q33" s="89"/>
    </row>
    <row r="34" spans="1:17" s="79" customFormat="1" ht="45" x14ac:dyDescent="0.25">
      <c r="A34" s="16">
        <v>35</v>
      </c>
      <c r="B34" s="16" t="s">
        <v>360</v>
      </c>
      <c r="C34" s="17" t="s">
        <v>460</v>
      </c>
      <c r="D34" s="17" t="s">
        <v>455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458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8</v>
      </c>
      <c r="H39" s="5">
        <f>H37-H38</f>
        <v>9100000</v>
      </c>
    </row>
    <row r="41" spans="1:17" x14ac:dyDescent="0.25">
      <c r="C41" s="7" t="s">
        <v>481</v>
      </c>
    </row>
    <row r="42" spans="1:17" x14ac:dyDescent="0.25">
      <c r="C42" t="s">
        <v>487</v>
      </c>
      <c r="H42" s="5">
        <f>SUMPRODUCT(Q5:Q36,H5:H36)</f>
        <v>8400000</v>
      </c>
    </row>
    <row r="43" spans="1:17" x14ac:dyDescent="0.25">
      <c r="C43" t="s">
        <v>482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483</v>
      </c>
      <c r="H44" s="6">
        <f>H42+H43</f>
        <v>9389520</v>
      </c>
    </row>
    <row r="45" spans="1:17" x14ac:dyDescent="0.25">
      <c r="C45" t="s">
        <v>484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518</v>
      </c>
      <c r="G3" s="103" t="s">
        <v>519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525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454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378</v>
      </c>
      <c r="C9" s="27" t="s">
        <v>379</v>
      </c>
      <c r="D9" s="27" t="s">
        <v>380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494</v>
      </c>
    </row>
    <row r="2" spans="1:7" ht="44.1" customHeight="1" x14ac:dyDescent="0.25">
      <c r="A2" s="4" t="s">
        <v>495</v>
      </c>
      <c r="B2" s="4"/>
      <c r="C2" s="4"/>
      <c r="D2" s="4"/>
      <c r="E2" s="4"/>
      <c r="F2" s="4"/>
      <c r="G2" s="4"/>
    </row>
    <row r="4" spans="1:7" x14ac:dyDescent="0.25">
      <c r="A4" t="s">
        <v>496</v>
      </c>
      <c r="B4" s="93">
        <v>0.1</v>
      </c>
      <c r="C4" t="s">
        <v>497</v>
      </c>
    </row>
    <row r="5" spans="1:7" x14ac:dyDescent="0.25">
      <c r="A5" t="s">
        <v>498</v>
      </c>
      <c r="B5" s="94">
        <f>Ставка_ОПВР+Ставка_ООСМС+Ставка_СН*(1-Ставка_ОПВ-Ставка_ВОСМС)</f>
        <v>0.1178</v>
      </c>
      <c r="C5" t="s">
        <v>499</v>
      </c>
    </row>
    <row r="7" spans="1:7" ht="45.95" customHeight="1" x14ac:dyDescent="0.25">
      <c r="A7" s="95" t="s">
        <v>500</v>
      </c>
      <c r="B7" s="95" t="s">
        <v>501</v>
      </c>
      <c r="C7" s="95" t="s">
        <v>502</v>
      </c>
      <c r="D7" s="95" t="s">
        <v>503</v>
      </c>
      <c r="E7" s="95" t="s">
        <v>504</v>
      </c>
      <c r="F7" s="95" t="s">
        <v>505</v>
      </c>
      <c r="G7" s="95" t="s">
        <v>506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507</v>
      </c>
    </row>
    <row r="14" spans="1:7" x14ac:dyDescent="0.25">
      <c r="A14" s="98" t="s">
        <v>508</v>
      </c>
      <c r="B14" s="97">
        <f>$B$4*(1+$B$5)</f>
        <v>0.11177999999999999</v>
      </c>
      <c r="C14" s="98" t="s">
        <v>509</v>
      </c>
    </row>
    <row r="15" spans="1:7" x14ac:dyDescent="0.25">
      <c r="A15" s="98" t="s">
        <v>510</v>
      </c>
      <c r="B15" s="97">
        <f>$B$4*(1+$B$5)*(1+НДС)</f>
        <v>0.12966479999999997</v>
      </c>
      <c r="C15" s="98" t="s">
        <v>511</v>
      </c>
    </row>
    <row r="17" spans="1:3" x14ac:dyDescent="0.25">
      <c r="A17" s="7" t="s">
        <v>512</v>
      </c>
    </row>
    <row r="18" spans="1:3" ht="32.1" customHeight="1" x14ac:dyDescent="0.25">
      <c r="A18" s="99" t="s">
        <v>520</v>
      </c>
      <c r="B18" s="99"/>
      <c r="C18" s="99"/>
    </row>
    <row r="19" spans="1:3" x14ac:dyDescent="0.25">
      <c r="A19" s="98" t="s">
        <v>521</v>
      </c>
      <c r="B19" s="96">
        <f>Аутсорс!E11</f>
        <v>5393100</v>
      </c>
      <c r="C19" s="96"/>
    </row>
    <row r="20" spans="1:3" x14ac:dyDescent="0.25">
      <c r="A20" s="98" t="s">
        <v>522</v>
      </c>
      <c r="B20" s="96">
        <f>Аутсорс!F11</f>
        <v>539310</v>
      </c>
      <c r="C20" s="96"/>
    </row>
    <row r="21" spans="1:3" x14ac:dyDescent="0.25">
      <c r="A21" s="100" t="s">
        <v>513</v>
      </c>
      <c r="B21" s="101">
        <f>Аутсорс!F11*2</f>
        <v>1078620</v>
      </c>
      <c r="C21" s="101"/>
    </row>
    <row r="22" spans="1:3" x14ac:dyDescent="0.25">
      <c r="A22" s="100" t="s">
        <v>514</v>
      </c>
      <c r="B22" s="101">
        <f>B21*(1+НДС)</f>
        <v>1251199.2</v>
      </c>
      <c r="C22" s="101"/>
    </row>
    <row r="23" spans="1:3" x14ac:dyDescent="0.25">
      <c r="A23" s="98" t="s">
        <v>523</v>
      </c>
      <c r="B23" s="96">
        <f>Аутсорс!L11</f>
        <v>13763192</v>
      </c>
      <c r="C23" s="96"/>
    </row>
    <row r="25" spans="1:3" x14ac:dyDescent="0.25">
      <c r="A25" t="s">
        <v>524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392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381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463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382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323</v>
      </c>
    </row>
    <row r="2" spans="1:13" ht="15" customHeight="1" x14ac:dyDescent="0.25">
      <c r="A2" s="2" t="s">
        <v>324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561</v>
      </c>
      <c r="K4" s="3" t="s">
        <v>562</v>
      </c>
      <c r="L4" s="3" t="s">
        <v>563</v>
      </c>
      <c r="M4" s="3" t="s">
        <v>564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383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527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465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466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467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468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469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537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470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538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471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539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529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540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489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541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490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542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493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543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492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544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528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545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472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473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474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546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475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476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340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464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547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477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478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384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341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556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557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480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548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491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549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530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550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342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387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479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551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531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532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390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391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343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5">IF(F59="разово",IF(G59&lt;=3,D59*E59,0),IF(F59="мес",D59*E59*MAX(0,4-G59),D59*E59*MAX(0,4-G59)/12))</f>
        <v>4869152.0999999996</v>
      </c>
      <c r="J59" s="5">
        <f t="shared" ref="J59:J77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552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558</v>
      </c>
      <c r="C63" s="105" t="s">
        <v>559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560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350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351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352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353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344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7" si="18">IF($F69="разово",IF($M69=12,$I69,0),IF($F69="мес",$D69*$E69*($G69&lt;=3),IF($F69="год",$D69*$E69/12*($G69&lt;=3),$I69/2)))</f>
        <v>22500</v>
      </c>
      <c r="L69" s="5">
        <f t="shared" ref="L69:L77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534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553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515</v>
      </c>
      <c r="C72" s="102" t="s">
        <v>516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517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132</v>
      </c>
      <c r="B76" s="4" t="s">
        <v>533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554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A77" t="s">
        <v>132</v>
      </c>
      <c r="B77" s="4" t="s">
        <v>345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5"/>
        <v>0</v>
      </c>
      <c r="J77" s="5">
        <f t="shared" si="16"/>
        <v>0</v>
      </c>
      <c r="K77" s="5">
        <f t="shared" si="18"/>
        <v>0</v>
      </c>
      <c r="L77" s="5">
        <f t="shared" si="19"/>
        <v>0</v>
      </c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326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561</v>
      </c>
      <c r="I4" s="34" t="s">
        <v>562</v>
      </c>
      <c r="J4" s="34" t="s">
        <v>563</v>
      </c>
    </row>
    <row r="5" spans="1:10" ht="30" x14ac:dyDescent="0.25">
      <c r="A5" t="s">
        <v>273</v>
      </c>
      <c r="B5" s="4" t="s">
        <v>448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273</v>
      </c>
      <c r="B6" s="4" t="s">
        <v>449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273</v>
      </c>
      <c r="B8" s="4" t="s">
        <v>450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273</v>
      </c>
      <c r="B9" s="4" t="s">
        <v>451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273</v>
      </c>
      <c r="B10" s="4" t="s">
        <v>447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393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400</v>
      </c>
      <c r="B5" s="54" t="s">
        <v>401</v>
      </c>
      <c r="C5" s="55" t="s">
        <v>402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403</v>
      </c>
      <c r="B6" s="57" t="s">
        <v>404</v>
      </c>
      <c r="C6" s="55" t="s">
        <v>405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406</v>
      </c>
      <c r="B7" s="57" t="s">
        <v>407</v>
      </c>
      <c r="C7" s="55" t="s">
        <v>405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408</v>
      </c>
      <c r="B8" s="57" t="s">
        <v>409</v>
      </c>
      <c r="C8" s="55" t="s">
        <v>405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410</v>
      </c>
      <c r="B9" s="57" t="s">
        <v>411</v>
      </c>
      <c r="C9" s="55" t="s">
        <v>405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412</v>
      </c>
      <c r="B10" s="57" t="s">
        <v>413</v>
      </c>
      <c r="C10" s="55" t="s">
        <v>405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414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415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416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F14</f>
        <v>5530000</v>
      </c>
    </row>
    <row r="5" spans="1:12" x14ac:dyDescent="0.2">
      <c r="A5" s="51" t="s">
        <v>400</v>
      </c>
      <c r="B5" s="57" t="s">
        <v>417</v>
      </c>
      <c r="C5" s="55" t="s">
        <v>418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403</v>
      </c>
      <c r="B6" s="57" t="s">
        <v>419</v>
      </c>
      <c r="C6" s="55" t="s">
        <v>418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406</v>
      </c>
      <c r="B7" s="57" t="s">
        <v>420</v>
      </c>
      <c r="C7" s="55" t="s">
        <v>418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408</v>
      </c>
      <c r="B8" s="57" t="s">
        <v>421</v>
      </c>
      <c r="C8" s="55" t="s">
        <v>422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410</v>
      </c>
      <c r="B9" s="57" t="s">
        <v>423</v>
      </c>
      <c r="C9" s="55" t="s">
        <v>424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412</v>
      </c>
      <c r="B10" s="57" t="s">
        <v>425</v>
      </c>
      <c r="C10" s="55" t="s">
        <v>424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426</v>
      </c>
      <c r="C11" s="55" t="s">
        <v>424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412</v>
      </c>
      <c r="B12" s="57" t="s">
        <v>409</v>
      </c>
      <c r="C12" s="55" t="s">
        <v>422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427</v>
      </c>
      <c r="B13" s="75" t="s">
        <v>428</v>
      </c>
      <c r="C13" s="76" t="s">
        <v>402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414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415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429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F8</f>
        <v>14900000</v>
      </c>
    </row>
    <row r="5" spans="1:12" x14ac:dyDescent="0.2">
      <c r="A5" s="51" t="s">
        <v>400</v>
      </c>
      <c r="B5" s="57" t="s">
        <v>430</v>
      </c>
      <c r="C5" s="55" t="s">
        <v>431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403</v>
      </c>
      <c r="B6" s="57" t="s">
        <v>432</v>
      </c>
      <c r="C6" s="55" t="s">
        <v>433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406</v>
      </c>
      <c r="B7" s="57" t="s">
        <v>434</v>
      </c>
      <c r="C7" s="55" t="s">
        <v>433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414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415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435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400</v>
      </c>
      <c r="B5" s="57" t="s">
        <v>436</v>
      </c>
      <c r="C5" s="55" t="s">
        <v>422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403</v>
      </c>
      <c r="B6" s="57" t="s">
        <v>437</v>
      </c>
      <c r="C6" s="55" t="s">
        <v>431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406</v>
      </c>
      <c r="B7" s="57" t="s">
        <v>438</v>
      </c>
      <c r="C7" s="55" t="s">
        <v>422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408</v>
      </c>
      <c r="B8" s="57" t="s">
        <v>439</v>
      </c>
      <c r="C8" s="55" t="s">
        <v>422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410</v>
      </c>
      <c r="B9" s="57" t="s">
        <v>440</v>
      </c>
      <c r="C9" s="55" t="s">
        <v>422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412</v>
      </c>
      <c r="B10" s="57" t="s">
        <v>441</v>
      </c>
      <c r="C10" s="55" t="s">
        <v>422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427</v>
      </c>
      <c r="B11" s="57" t="s">
        <v>442</v>
      </c>
      <c r="C11" s="55" t="s">
        <v>424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414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415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443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F7</f>
        <v>11300000</v>
      </c>
    </row>
    <row r="5" spans="1:12" x14ac:dyDescent="0.2">
      <c r="A5" s="51" t="s">
        <v>400</v>
      </c>
      <c r="B5" s="57" t="s">
        <v>444</v>
      </c>
      <c r="C5" s="55" t="s">
        <v>422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403</v>
      </c>
      <c r="B6" s="57" t="s">
        <v>445</v>
      </c>
      <c r="C6" s="55" t="s">
        <v>431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414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415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7" t="s">
        <v>446</v>
      </c>
      <c r="B1" s="107"/>
      <c r="C1" s="107"/>
      <c r="D1" s="107"/>
      <c r="E1" s="107"/>
      <c r="F1" s="108"/>
      <c r="G1" s="108"/>
      <c r="H1" s="108"/>
      <c r="I1" s="108"/>
      <c r="J1" s="108"/>
      <c r="K1" s="108"/>
      <c r="L1" s="108"/>
    </row>
    <row r="3" spans="1:12" ht="38.25" x14ac:dyDescent="0.2">
      <c r="A3" s="47" t="s">
        <v>65</v>
      </c>
      <c r="B3" s="48" t="s">
        <v>394</v>
      </c>
      <c r="C3" s="49" t="s">
        <v>395</v>
      </c>
      <c r="D3" s="49" t="s">
        <v>396</v>
      </c>
      <c r="E3" s="50" t="s">
        <v>397</v>
      </c>
      <c r="F3" s="50" t="s">
        <v>398</v>
      </c>
    </row>
    <row r="4" spans="1:12" x14ac:dyDescent="0.2">
      <c r="A4" s="51"/>
      <c r="B4" s="48" t="s">
        <v>399</v>
      </c>
      <c r="C4" s="49"/>
      <c r="D4" s="49"/>
      <c r="E4" s="52"/>
      <c r="F4" s="53">
        <f>F6</f>
        <v>14000000</v>
      </c>
    </row>
    <row r="5" spans="1:12" x14ac:dyDescent="0.2">
      <c r="A5" s="51" t="s">
        <v>400</v>
      </c>
      <c r="B5" s="57" t="s">
        <v>447</v>
      </c>
      <c r="C5" s="55" t="s">
        <v>422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414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415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349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347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535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555</v>
      </c>
    </row>
    <row r="21" spans="1:7" x14ac:dyDescent="0.25">
      <c r="A21" s="7"/>
      <c r="B21" s="7" t="s">
        <v>348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339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9" t="s">
        <v>572</v>
      </c>
    </row>
    <row r="3" spans="1:6" ht="30" x14ac:dyDescent="0.25">
      <c r="A3" s="110" t="s">
        <v>67</v>
      </c>
      <c r="B3" s="110" t="s">
        <v>573</v>
      </c>
      <c r="C3" s="110" t="s">
        <v>574</v>
      </c>
      <c r="D3" s="110" t="s">
        <v>575</v>
      </c>
      <c r="E3" s="110" t="s">
        <v>576</v>
      </c>
      <c r="F3" s="110" t="s">
        <v>577</v>
      </c>
    </row>
    <row r="4" spans="1:6" ht="30" x14ac:dyDescent="0.25">
      <c r="A4" s="111" t="s">
        <v>578</v>
      </c>
      <c r="B4" s="111" t="s">
        <v>579</v>
      </c>
      <c r="C4" s="111" t="s">
        <v>580</v>
      </c>
      <c r="D4" s="112">
        <v>1300000</v>
      </c>
      <c r="E4" s="112">
        <f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2">
        <f>D4+E4</f>
        <v>1482890</v>
      </c>
    </row>
    <row r="5" spans="1:6" ht="30" x14ac:dyDescent="0.25">
      <c r="A5" s="111" t="s">
        <v>241</v>
      </c>
      <c r="B5" s="111" t="s">
        <v>579</v>
      </c>
      <c r="C5" s="111" t="s">
        <v>581</v>
      </c>
      <c r="D5" s="112">
        <v>1000000</v>
      </c>
      <c r="E5" s="112">
        <f>ROUND(Ставка_СН*D5*(1-Ставка_ОПВ-Ставка_ВОСМС)+Ставка_ОПВР*D5+Ставка_СО*MIN(D5*(1-Ставка_ОПВ),Кап_СО*МЗП)+Ставка_ООСМС*MIN(D5,Кап_ООСМС*МЗП),0)</f>
        <v>147550</v>
      </c>
      <c r="F5" s="112">
        <f>D5+E5</f>
        <v>1147550</v>
      </c>
    </row>
    <row r="6" spans="1:6" ht="30" x14ac:dyDescent="0.25">
      <c r="A6" s="111" t="s">
        <v>243</v>
      </c>
      <c r="B6" s="111" t="s">
        <v>579</v>
      </c>
      <c r="C6" s="111" t="s">
        <v>582</v>
      </c>
      <c r="D6" s="112">
        <v>700000</v>
      </c>
      <c r="E6" s="112">
        <f>ROUND(Ставка_СН*D6*(1-Ставка_ОПВ-Ставка_ВОСМС)+Ставка_ОПВР*D6+Ставка_СО*MIN(D6*(1-Ставка_ОПВ),Кап_СО*МЗП)+Ставка_ООСМС*MIN(D6,Кап_ООСМС*МЗП),0)</f>
        <v>112210</v>
      </c>
      <c r="F6" s="112">
        <f>D6+E6</f>
        <v>812210</v>
      </c>
    </row>
    <row r="7" spans="1:6" ht="30" x14ac:dyDescent="0.25">
      <c r="A7" s="111" t="s">
        <v>243</v>
      </c>
      <c r="B7" s="111" t="s">
        <v>579</v>
      </c>
      <c r="C7" s="111" t="s">
        <v>583</v>
      </c>
      <c r="D7" s="112">
        <v>700000</v>
      </c>
      <c r="E7" s="112">
        <f>ROUND(Ставка_СН*D7*(1-Ставка_ОПВ-Ставка_ВОСМС)+Ставка_ОПВР*D7+Ставка_СО*MIN(D7*(1-Ставка_ОПВ),Кап_СО*МЗП)+Ставка_ООСМС*MIN(D7,Кап_ООСМС*МЗП),0)</f>
        <v>112210</v>
      </c>
      <c r="F7" s="112">
        <f>D7+E7</f>
        <v>812210</v>
      </c>
    </row>
    <row r="8" spans="1:6" ht="30" x14ac:dyDescent="0.25">
      <c r="A8" s="111" t="s">
        <v>243</v>
      </c>
      <c r="B8" s="111" t="s">
        <v>579</v>
      </c>
      <c r="C8" s="111" t="s">
        <v>584</v>
      </c>
      <c r="D8" s="112">
        <v>700000</v>
      </c>
      <c r="E8" s="112">
        <f>ROUND(Ставка_СН*D8*(1-Ставка_ОПВ-Ставка_ВОСМС)+Ставка_ОПВР*D8+Ставка_СО*MIN(D8*(1-Ставка_ОПВ),Кап_СО*МЗП)+Ставка_ООСМС*MIN(D8,Кап_ООСМС*МЗП),0)</f>
        <v>112210</v>
      </c>
      <c r="F8" s="112">
        <f>D8+E8</f>
        <v>812210</v>
      </c>
    </row>
    <row r="9" spans="1:6" x14ac:dyDescent="0.25">
      <c r="A9" s="111" t="s">
        <v>585</v>
      </c>
      <c r="B9" s="111" t="s">
        <v>586</v>
      </c>
      <c r="C9" s="111" t="s">
        <v>587</v>
      </c>
      <c r="D9" s="112">
        <v>700000</v>
      </c>
      <c r="E9" s="112">
        <f>ROUND(Ставка_СН*D9*(1-Ставка_ОПВ-Ставка_ВОСМС)+Ставка_ОПВР*D9+Ставка_СО*MIN(D9*(1-Ставка_ОПВ),Кап_СО*МЗП)+Ставка_ООСМС*MIN(D9,Кап_ООСМС*МЗП),0)</f>
        <v>112210</v>
      </c>
      <c r="F9" s="112">
        <f>D9+E9</f>
        <v>812210</v>
      </c>
    </row>
    <row r="10" spans="1:6" ht="30" x14ac:dyDescent="0.25">
      <c r="A10" s="111" t="s">
        <v>588</v>
      </c>
      <c r="B10" s="111" t="s">
        <v>589</v>
      </c>
      <c r="C10" s="111" t="s">
        <v>590</v>
      </c>
      <c r="D10" s="112">
        <v>800000</v>
      </c>
      <c r="E10" s="112">
        <f>ROUND(Ставка_СН*D10*(1-Ставка_ОПВ-Ставка_ВОСМС)+Ставка_ОПВР*D10+Ставка_СО*MIN(D10*(1-Ставка_ОПВ),Кап_СО*МЗП)+Ставка_ООСМС*MIN(D10,Кап_ООСМС*МЗП),0)</f>
        <v>123990</v>
      </c>
      <c r="F10" s="112">
        <f>D10+E10</f>
        <v>923990</v>
      </c>
    </row>
    <row r="11" spans="1:6" x14ac:dyDescent="0.25">
      <c r="A11" s="113" t="s">
        <v>591</v>
      </c>
      <c r="B11" s="113"/>
      <c r="C11" s="113"/>
      <c r="D11" s="114">
        <f>SUM(D4:D10)</f>
        <v>5900000</v>
      </c>
      <c r="E11" s="114">
        <f>SUM(E4:E10)</f>
        <v>903270</v>
      </c>
      <c r="F11" s="114">
        <f>SUM(F4:F10)</f>
        <v>6803270</v>
      </c>
    </row>
    <row r="12" spans="1:6" x14ac:dyDescent="0.25">
      <c r="A12" s="111"/>
      <c r="B12" s="111"/>
      <c r="C12" s="111"/>
      <c r="D12" s="112"/>
      <c r="E12" s="112"/>
      <c r="F12" s="112"/>
    </row>
    <row r="13" spans="1:6" ht="30" x14ac:dyDescent="0.25">
      <c r="A13" s="113" t="s">
        <v>592</v>
      </c>
      <c r="B13" s="111"/>
      <c r="C13" s="111"/>
      <c r="D13" s="112"/>
      <c r="E13" s="112"/>
      <c r="F13" s="112"/>
    </row>
    <row r="14" spans="1:6" x14ac:dyDescent="0.25">
      <c r="A14" s="110" t="s">
        <v>175</v>
      </c>
      <c r="B14" s="110" t="s">
        <v>593</v>
      </c>
      <c r="C14" s="110"/>
      <c r="D14" s="115" t="s">
        <v>71</v>
      </c>
      <c r="E14" s="115" t="s">
        <v>594</v>
      </c>
      <c r="F14" s="115" t="s">
        <v>595</v>
      </c>
    </row>
    <row r="15" spans="1:6" ht="30" x14ac:dyDescent="0.25">
      <c r="A15" s="111" t="s">
        <v>596</v>
      </c>
      <c r="B15" s="111" t="s">
        <v>597</v>
      </c>
      <c r="C15" s="111"/>
      <c r="D15" s="112">
        <v>5</v>
      </c>
      <c r="E15" s="112">
        <f>'Оснащение и офис'!E8</f>
        <v>69708</v>
      </c>
      <c r="F15" s="112">
        <f>D15*E15</f>
        <v>348540</v>
      </c>
    </row>
    <row r="16" spans="1:6" ht="30" x14ac:dyDescent="0.25">
      <c r="A16" s="111" t="s">
        <v>598</v>
      </c>
      <c r="B16" s="111" t="s">
        <v>599</v>
      </c>
      <c r="C16" s="111"/>
      <c r="D16" s="112">
        <v>6</v>
      </c>
      <c r="E16" s="112">
        <f>'Оснащение и офис'!E9</f>
        <v>14750</v>
      </c>
      <c r="F16" s="112">
        <f>D16*E16</f>
        <v>88500</v>
      </c>
    </row>
    <row r="17" spans="1:6" x14ac:dyDescent="0.25">
      <c r="A17" s="111" t="s">
        <v>600</v>
      </c>
      <c r="B17" s="111" t="s">
        <v>601</v>
      </c>
      <c r="C17" s="111"/>
      <c r="D17" s="112">
        <v>7</v>
      </c>
      <c r="E17" s="112">
        <f>'Оснащение и офис'!E37</f>
        <v>3550</v>
      </c>
      <c r="F17" s="112">
        <f>D17*E17</f>
        <v>24850</v>
      </c>
    </row>
    <row r="18" spans="1:6" ht="30" x14ac:dyDescent="0.25">
      <c r="A18" s="111" t="s">
        <v>214</v>
      </c>
      <c r="B18" s="111" t="s">
        <v>602</v>
      </c>
      <c r="C18" s="111"/>
      <c r="D18" s="112"/>
      <c r="E18" s="112"/>
      <c r="F18" s="112">
        <f>ROUND((F15+F16)*Сборка_мебели_проц,0)</f>
        <v>43704</v>
      </c>
    </row>
    <row r="19" spans="1:6" x14ac:dyDescent="0.25">
      <c r="A19" s="113" t="s">
        <v>603</v>
      </c>
      <c r="B19" s="113"/>
      <c r="C19" s="113"/>
      <c r="D19" s="114"/>
      <c r="E19" s="114"/>
      <c r="F19" s="114">
        <f>SUM(F15:F18)</f>
        <v>505594</v>
      </c>
    </row>
    <row r="20" spans="1:6" x14ac:dyDescent="0.25">
      <c r="A20" s="111"/>
      <c r="B20" s="111"/>
      <c r="C20" s="111"/>
      <c r="D20" s="112"/>
      <c r="E20" s="112"/>
      <c r="F20" s="112"/>
    </row>
    <row r="21" spans="1:6" x14ac:dyDescent="0.25">
      <c r="A21" s="113" t="s">
        <v>604</v>
      </c>
      <c r="B21" s="111"/>
      <c r="C21" s="111"/>
      <c r="D21" s="112"/>
      <c r="E21" s="112"/>
      <c r="F21" s="112"/>
    </row>
    <row r="22" spans="1:6" x14ac:dyDescent="0.25">
      <c r="A22" s="111" t="s">
        <v>605</v>
      </c>
      <c r="B22" s="111"/>
      <c r="C22" s="111"/>
      <c r="D22" s="112">
        <v>7</v>
      </c>
      <c r="E22" s="112">
        <f>'Оснащение и офис'!E68</f>
        <v>7000</v>
      </c>
      <c r="F22" s="112">
        <f>D22*E22</f>
        <v>49000</v>
      </c>
    </row>
    <row r="23" spans="1:6" x14ac:dyDescent="0.25">
      <c r="A23" s="111" t="s">
        <v>606</v>
      </c>
      <c r="B23" s="111" t="s">
        <v>607</v>
      </c>
      <c r="C23" s="111"/>
      <c r="D23" s="112"/>
      <c r="E23" s="112"/>
      <c r="F23" s="112">
        <f>ROUND(0.29%*12*D11,-3)</f>
        <v>205000</v>
      </c>
    </row>
    <row r="24" spans="1:6" ht="45" x14ac:dyDescent="0.25">
      <c r="A24" s="111" t="s">
        <v>608</v>
      </c>
      <c r="B24" s="111" t="s">
        <v>609</v>
      </c>
      <c r="C24" s="111"/>
      <c r="D24" s="112"/>
      <c r="E24" s="112"/>
      <c r="F24" s="112">
        <f>5*6/12*Поездка_РК+1*(3/12*Поездка_РК+3*Поездка_местн)</f>
        <v>596062.5</v>
      </c>
    </row>
    <row r="25" spans="1:6" x14ac:dyDescent="0.25">
      <c r="A25" s="111" t="s">
        <v>610</v>
      </c>
      <c r="B25" s="111" t="s">
        <v>611</v>
      </c>
      <c r="C25" s="111"/>
      <c r="D25" s="112"/>
      <c r="E25" s="112"/>
      <c r="F25" s="112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42</vt:i4>
      </vt:variant>
    </vt:vector>
  </HeadingPairs>
  <TitlesOfParts>
    <vt:vector size="59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2026-10-28T07:16:46Z</dcterms:modified>
  <dc:language>en-US</dc:language>
</cp:coreProperties>
</file>