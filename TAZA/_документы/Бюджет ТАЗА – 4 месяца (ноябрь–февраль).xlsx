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>Параметры!$B$55</definedName>
    <definedName name="Долг_НДС">Параметры!$B$56</definedName>
    <definedName name="Долг_прочие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E63" i="5"/>
  <c r="E42" i="5"/>
  <c r="I42" i="5" s="1"/>
  <c r="J42" i="5" s="1"/>
  <c r="F14" i="1" l="1"/>
  <c r="I63" i="5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B11" i="1" l="1"/>
  <c r="D10" i="1"/>
  <c r="F24" i="17"/>
  <c r="K58" i="5"/>
  <c r="J58" i="5"/>
  <c r="L58" i="5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D12" i="1" l="1"/>
  <c r="D17" i="1" s="1"/>
  <c r="E12" i="1"/>
  <c r="E17" i="1" s="1"/>
  <c r="E10" i="1"/>
  <c r="D6" i="1"/>
  <c r="C6" i="1"/>
  <c r="B12" i="1"/>
  <c r="B17" i="1" s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12" i="1" l="1"/>
  <c r="D15" i="1"/>
  <c r="E6" i="1"/>
  <c r="E15" i="1" s="1"/>
  <c r="C10" i="1"/>
  <c r="B10" i="1"/>
  <c r="B9" i="1"/>
  <c r="F9" i="1" s="1"/>
  <c r="K49" i="5"/>
  <c r="C11" i="1" s="1"/>
  <c r="C17" i="1" s="1"/>
  <c r="O5" i="3"/>
  <c r="M37" i="3"/>
  <c r="D16" i="1" l="1"/>
  <c r="D18" i="1" s="1"/>
  <c r="D21" i="1" s="1"/>
  <c r="F11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<sst xmlns="http://schemas.openxmlformats.org/spreadsheetml/2006/main" count="1111" uniqueCount="619">
  <si>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</si>
  <si>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</si>
  <si>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</si>
  <si>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</si>
  <si>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</si>
  <si>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</si>
  <si>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</si>
  <si>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</si>
  <si>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</si>
  <si>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</si>
  <si>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</si>
  <si>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</si>
  <si>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</si>
  <si>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</si>
  <si>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</si>
  <si>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</si>
  <si>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</si>
  <si>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</si>
  <si>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</si>
  <si>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</si>
  <si>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</si>
  <si>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</si>
  <si>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</si>
  <si>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</si>
  <si>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</si>
  <si>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</si>
  <si>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</si>
  <si>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</si>
  <si>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</si>
  <si>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</si>
  <si>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</si>
  <si>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</si>
  <si>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</si>
  <si>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</si>
  <si>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</si>
  <si>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</si>
  <si>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</si>
  <si>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</si>
  <si>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</si>
  <si>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</si>
  <si>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</si>
  <si>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</si>
  <si>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</si>
  <si>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</si>
  <si>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</si>
  <si>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</si>
  <si>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</si>
  <si>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</si>
  <si>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</si>
  <si>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</si>
  <si>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</si>
  <si>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</si>
  <si>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</si>
  <si>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</si>
  <si>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</si>
  <si>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</si>
  <si>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</si>
  <si>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</si>
  <si>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</si>
  <si>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</si>
  <si>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</si>
  <si>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</si>
  <si>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</si>
  <si>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</si>
  <si>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</si>
  <si>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</si>
  <si>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</si>
  <si>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</si>
  <si>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</si>
  <si>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</si>
  <si>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</si>
  <si>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</si>
  <si>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</si>
  <si>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</si>
  <si>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</si>
  <si>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</si>
  <si>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</si>
  <si>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</si>
  <si>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</si>
  <si>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</si>
  <si>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</si>
  <si>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</si>
  <si>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</si>
  <si>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</si>
  <si>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</si>
  <si>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</si>
  <si>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</si>
  <si>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</si>
  <si>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</si>
  <si>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</si>
  <si>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</si>
  <si>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</si>
  <si>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</si>
  <si>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</si>
  <si>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</si>
  <si>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</si>
  <si>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</si>
  <si>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</si>
  <si>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</si>
  <si>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</si>
  <si>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</si>
  <si>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</si>
  <si>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</si>
  <si>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</si>
  <si>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</si>
  <si>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</si>
  <si>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</si>
  <si>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</si>
  <si>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</si>
  <si>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</si>
  <si>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</si>
  <si>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</si>
  <si>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</si>
  <si>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</si>
  <si>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</si>
  <si>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</si>
  <si>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</si>
  <si>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</si>
  <si>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</si>
  <si>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</si>
  <si>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</si>
  <si>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</si>
  <si>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</si>
  <si>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</si>
  <si>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</si>
  <si>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</si>
  <si>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</si>
  <si>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</si>
  <si>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</si>
  <si>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</si>
  <si>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</si>
  <si>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</si>
  <si>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</si>
  <si>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</si>
  <si>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</si>
  <si>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</si>
  <si>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</si>
  <si>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</si>
  <si>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</si>
  <si>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</si>
  <si>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</si>
  <si>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</si>
  <si>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</si>
  <si>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</si>
  <si>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</si>
  <si>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</si>
  <si>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</si>
  <si>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</si>
  <si>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</si>
  <si>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</si>
  <si>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</si>
  <si>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</si>
  <si>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</si>
  <si>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</si>
  <si>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</si>
  <si>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</si>
  <si>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</si>
  <si>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</si>
  <si>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</si>
  <si>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</si>
  <si>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</si>
  <si>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</si>
  <si>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</si>
  <si>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</si>
  <si>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</si>
  <si>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</si>
  <si>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</si>
  <si>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</si>
  <si>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</si>
  <si>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</si>
  <si>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</si>
  <si>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</si>
  <si>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</si>
  <si>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</si>
  <si>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</si>
  <si>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</si>
  <si>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</si>
  <si>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</si>
  <si>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</si>
  <si>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</si>
  <si>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</si>
  <si>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</si>
  <si>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</si>
  <si>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</si>
  <si>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</si>
  <si>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</si>
  <si>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</si>
  <si>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</si>
  <si>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</si>
  <si>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</si>
  <si>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</si>
  <si>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</si>
  <si>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</si>
  <si>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</si>
  <si>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</si>
  <si>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</si>
  <si>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</si>
  <si>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</si>
  <si>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</si>
  <si>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</si>
  <si>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</si>
  <si>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</si>
  <si>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</si>
  <si>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</si>
  <si>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</si>
  <si>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</si>
  <si>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</si>
  <si>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</si>
  <si>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</si>
  <si>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</si>
  <si>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</si>
  <si>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</si>
  <si>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</si>
  <si>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</si>
  <si>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</si>
  <si>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</si>
  <si>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</si>
  <si>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</si>
  <si>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</si>
  <si>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</si>
  <si>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</si>
  <si>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</si>
  <si>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</si>
  <si>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</si>
  <si>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</si>
  <si>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</si>
  <si>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</si>
  <si>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</si>
  <si>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</si>
  <si>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</si>
  <si>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</si>
  <si>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</si>
  <si>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</si>
  <si>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</si>
  <si>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</si>
  <si>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</si>
  <si>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</si>
  <si>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</si>
  <si>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</si>
  <si>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</si>
  <si>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</si>
  <si>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</si>
  <si>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</si>
  <si>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</si>
  <si>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</si>
  <si>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</si>
  <si>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</si>
  <si>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</si>
  <si>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</si>
  <si>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</si>
  <si>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</si>
  <si>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</si>
  <si>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</si>
  <si>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</si>
  <si>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</si>
  <si>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</si>
  <si>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</si>
  <si>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</si>
  <si>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</si>
  <si>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</si>
  <si>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</si>
  <si>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</si>
  <si>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</si>
  <si>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</si>
  <si>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</si>
  <si>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</si>
  <si>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</si>
  <si>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</si>
  <si>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</si>
  <si>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</si>
  <si>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</si>
  <si>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</si>
  <si>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</si>
  <si>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</si>
  <si>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</si>
  <si>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</si>
  <si>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</si>
  <si>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</si>
  <si>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</si>
  <si>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</si>
  <si>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</si>
  <si>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</si>
  <si>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</si>
  <si>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</si>
  <si>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</si>
  <si>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</si>
  <si>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</si>
  <si>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</si>
  <si>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</si>
  <si>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</si>
  <si>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</si>
  <si>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</si>
  <si>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</si>
  <si>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</si>
  <si>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</si>
  <si>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</si>
  <si>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</si>
  <si>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</si>
  <si>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</si>
  <si>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</si>
  <si>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</si>
  <si>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</si>
  <si>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</si>
  <si>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</si>
  <si>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</si>
  <si>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</si>
  <si>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</si>
  <si>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</si>
  <si>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</si>
  <si>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</si>
  <si>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</si>
  <si>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</si>
  <si>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</si>
  <si>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</si>
  <si>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</si>
  <si>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</si>
  <si>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</si>
  <si>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</si>
  <si>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</si>
  <si>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</si>
  <si>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</si>
  <si>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</si>
  <si>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</si>
  <si>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</si>
  <si>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</si>
  <si>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</si>
  <si>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</si>
  <si>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</si>
  <si>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</si>
  <si>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</si>
  <si>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</si>
  <si>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</si>
  <si>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</si>
  <si>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</si>
  <si>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</si>
  <si>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</si>
  <si>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</si>
  <si>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</si>
  <si>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</si>
  <si>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</si>
  <si>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</si>
  <si>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</si>
  <si>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</si>
  <si>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</si>
  <si>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</si>
  <si>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</si>
  <si>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</si>
  <si>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</si>
  <si>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</si>
  <si>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</si>
  <si>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</si>
  <si>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</si>
  <si>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</si>
  <si>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</si>
  <si>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</si>
  <si>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</si>
  <si>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</si>
  <si>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</si>
  <si>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</si>
  <si>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</si>
  <si>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</si>
  <si>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</si>
  <si>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</si>
  <si>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</si>
  <si>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</si>
  <si>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</si>
  <si>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</si>
  <si>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</si>
  <si>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</si>
  <si>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</si>
  <si>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</si>
  <si>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</si>
  <si>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</si>
  <si>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</si>
  <si>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</si>
  <si>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</si>
  <si>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</si>
  <si>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</si>
  <si>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</si>
  <si>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</si>
  <si>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</si>
  <si>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</si>
  <si>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</si>
  <si>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</si>
  <si>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</si>
  <si>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</si>
  <si>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</si>
  <si>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</si>
  <si>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</si>
  <si>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</si>
  <si>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</si>
  <si>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</si>
  <si>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</si>
  <si>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</si>
  <si>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</si>
  <si>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</si>
  <si>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</si>
  <si>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</si>
  <si>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</si>
  <si>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</si>
  <si>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</si>
  <si>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</si>
  <si>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</si>
  <si>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</si>
  <si>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</si>
  <si>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</si>
  <si>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</si>
  <si>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</si>
  <si>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</si>
  <si>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</si>
  <si>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</si>
  <si>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</si>
  <si>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</si>
  <si>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</si>
  <si>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</si>
  <si>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</si>
  <si>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</si>
  <si>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</si>
  <si>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</si>
  <si>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</si>
  <si>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</si>
  <si>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</si>
  <si>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</si>
  <si>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</si>
  <si>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</si>
  <si>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</si>
  <si>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</si>
  <si>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</si>
  <si>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</si>
  <si>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</si>
  <si>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</si>
  <si>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</si>
  <si>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</si>
  <si>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</si>
  <si>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</si>
  <si>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</si>
  <si>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</si>
  <si>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</si>
  <si>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</si>
  <si>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</si>
  <si>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</si>
  <si>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</si>
  <si>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</si>
  <si>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</si>
  <si>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</si>
  <si>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</si>
  <si>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</si>
  <si>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</si>
  <si>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</si>
  <si>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</si>
  <si>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</si>
  <si>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</si>
  <si>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</si>
  <si>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</si>
  <si>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</si>
  <si>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</si>
  <si>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</si>
  <si>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</si>
  <si>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</si>
  <si>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</si>
  <si>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</si>
  <si>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</si>
  <si>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</si>
  <si>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</si>
  <si>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</si>
  <si>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</si>
  <si>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</si>
  <si>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</si>
  <si>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</si>
  <si>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</si>
  <si>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</si>
  <si>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</si>
  <si>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</si>
  <si>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</si>
  <si>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</si>
  <si>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</si>
  <si>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</si>
  <si>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</si>
  <si>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</si>
  <si>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</si>
  <si>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</si>
  <si>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</si>
  <si>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</si>
  <si>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</si>
  <si>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</si>
  <si>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</si>
  <si>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</si>
  <si>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</si>
  <si>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</si>
  <si>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</si>
  <si>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</si>
  <si>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</si>
  <si>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</si>
  <si>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</si>
  <si>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</si>
  <si>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</si>
  <si>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</si>
  <si>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</si>
  <si>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</si>
  <si>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</si>
  <si>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</si>
  <si>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</si>
  <si>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</si>
  <si>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</si>
  <si>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</si>
  <si>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</si>
  <si>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</si>
  <si>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</si>
  <si>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</si>
  <si>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</si>
  <si>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</si>
  <si>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</si>
  <si>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</si>
  <si>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</si>
  <si>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</si>
  <si>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</si>
  <si>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</si>
  <si>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</si>
  <si>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</si>
  <si>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</si>
  <si>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</si>
  <si>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</si>
  <si>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</si>
  <si>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</si>
  <si>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</si>
  <si>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</si>
  <si>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</si>
  <si>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</si>
  <si>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</si>
  <si>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</si>
  <si>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</si>
  <si>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</si>
  <si>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</si>
  <si>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</si>
  <si>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</si>
  <si>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</si>
  <si>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</si>
  <si>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</si>
  <si>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</si>
  <si>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</si>
  <si>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</si>
  <si>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</si>
  <si>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</si>
  <si>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</si>
  <si>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</si>
  <si>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</si>
  <si>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</si>
  <si>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</si>
  <si>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</si>
  <si>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</si>
  <si>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</si>
  <si>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</si>
  <si>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</si>
  <si>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</si>
  <si>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</si>
  <si>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</si>
  <si>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</si>
  <si>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</si>
  <si>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</si>
  <si>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</si>
  <si>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</si>
  <si>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</si>
  <si>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</si>
  <si>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</si>
  <si>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</si>
  <si>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</si>
  <si>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</si>
  <si>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</si>
  <si>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</si>
  <si>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</si>
  <si>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</si>
  <si>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</si>
  <si>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</si>
  <si>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</si>
  <si>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</si>
  <si>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</si>
  <si>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</si>
  <si>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</si>
  <si>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</si>
  <si>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</si>
  <si>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</si>
  <si>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</si>
  <si>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</si>
  <si>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</si>
  <si>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</si>
  <si>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</si>
  <si>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</si>
  <si>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</si>
  <si>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</si>
  <si>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</si>
  <si>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</si>
  <si>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</si>
  <si>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</si>
  <si>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</si>
  <si>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</si>
  <si>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</si>
  <si>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</si>
  <si>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</si>
  <si>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</si>
  <si>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</si>
  <si>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</si>
  <si>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</si>
  <si>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</si>
  <si>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</si>
  <si>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</si>
  <si>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</si>
  <si>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</si>
  <si>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Задолженность Фонда на 01.11.2026 (погашение в ноябре)</t>
  </si>
  <si>
    <t>Долг_ЗП</t>
  </si>
  <si>
    <t>Оплата труда за июль–октябрь 2026 с налогами – в строке «Оплата труда»</t>
  </si>
  <si>
    <t>Долг_НДС</t>
  </si>
  <si>
    <t>Задолженность по НДС – в строке НДС</t>
  </si>
  <si>
    <t>Долг_прочие</t>
  </si>
  <si>
    <t>Прочая кредиторская задолженность – в строке «Резерв и прочие расходы»</t>
  </si>
  <si>
    <t>Оснащение, офис, цифровые инструменты и медиа на октябрь–декабрь 2026 года, ₸</t>
  </si>
  <si>
    <t>6. Офис: аренда, депозит, текущие хозрасходы, курьер, интернет, обслуживание МФУ, канцелярия, представительские, нотариус и услуги МФЦА</t>
  </si>
  <si>
    <t>Резерв 10% и прочие расходы (прочая кредиторская задолженность)</t>
  </si>
  <si>
    <t>Разница с 250 млн (+ остаток / − дефицит)</t>
  </si>
  <si>
    <t>НДС: 16% на закупки, аренду, услуги, подписки и первоочередные проекты; расчёты с бюджетом по НДС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</si>
</sst>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604</v>
      </c>
    </row>
    <row r="3" spans="1:6" ht="30" x14ac:dyDescent="0.25">
      <c r="A3" s="35" t="s">
        <v>0</v>
      </c>
      <c r="B3" s="35" t="s">
        <v>555</v>
      </c>
      <c r="C3" s="35" t="s">
        <v>556</v>
      </c>
      <c r="D3" s="35" t="s">
        <v>557</v>
      </c>
      <c r="E3" s="35" t="s">
        <v>605</v>
      </c>
      <c r="F3" s="35" t="s">
        <v>606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562</v>
      </c>
      <c r="B6" s="38">
        <f>(SUMPRODUCT((Штат!$E$5:$E$36="штат")*Штат!$K$5:$K$36*(Штат!$I$5:$I$36&lt;=2)))+B7+Долг_ЗП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482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30" x14ac:dyDescent="0.25">
      <c r="A12" s="36" t="s">
        <v>615</v>
      </c>
      <c r="B12" s="38">
        <f>SUMIFS('Оснащение и офис'!$J$5:$J$77,'Оснащение и офис'!$A$5:$A$77,"Офис")</f>
        <v>12179706.848387096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27817936.148387097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91762525.236482337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241938694.28648233</v>
      </c>
    </row>
    <row r="16" spans="1:6" x14ac:dyDescent="0.25">
      <c r="A16" s="36" t="s">
        <v>616</v>
      </c>
      <c r="B16" s="38">
        <f>(B15-Долг_ЗП-'Оснащение и офис'!$J$76)*Резерв+Долг_прочие</f>
        <v>6661952.5236482341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21679569.428648233</v>
      </c>
    </row>
    <row r="17" spans="1:6" ht="30" x14ac:dyDescent="0.25">
      <c r="A17" s="36" t="s">
        <v>618</v>
      </c>
      <c r="B17" s="38">
        <f>((B11+B12+B13+B14)-'Оснащение и офис'!$J$59-'Оснащение и офис'!$J$76)*(1+Резерв)*НДС+Долг_НДС+B19*НДС</f>
        <v>17136024.407449462</v>
      </c>
      <c r="C17" s="38">
        <f>((C11+C12+C13+C14)-'Оснащение и офис'!$K$59-'Оснащение и офис'!$K$76)*(1+Резерв)*НДС+C19*НДС</f>
        <v>6560273.7029333338</v>
      </c>
      <c r="D17" s="38">
        <f>((D11+D12+D13+D14)-'Оснащение и офис'!$L$59-'Оснащение и офис'!$L$76)*(1+Резерв)*НДС+D19*НДС</f>
        <v>3914006.5189333335</v>
      </c>
      <c r="E17" s="38">
        <f>(E11+E12+E13+E14)*(1+Резерв)*НДС+E19*НДС</f>
        <v>5918964.3962666672</v>
      </c>
      <c r="F17" s="38">
        <f t="shared" si="0"/>
        <v>33529269.025582798</v>
      </c>
    </row>
    <row r="18" spans="1:6" x14ac:dyDescent="0.25">
      <c r="A18" s="41" t="s">
        <v>334</v>
      </c>
      <c r="B18" s="42">
        <f>B15+B16+B17</f>
        <v>115560502.16758004</v>
      </c>
      <c r="C18" s="42">
        <f>C15+C16+C17</f>
        <v>66718838.487933338</v>
      </c>
      <c r="D18" s="42">
        <f>D15+D16+D17</f>
        <v>51944207.528933339</v>
      </c>
      <c r="E18" s="42">
        <f>E15+E16+E17</f>
        <v>62923984.556266673</v>
      </c>
      <c r="F18" s="42">
        <f t="shared" si="0"/>
        <v>297147532.74071342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561</v>
      </c>
      <c r="B20" s="40">
        <f>Долг_ЗП+Долг_НДС+Долг_прочие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563</v>
      </c>
      <c r="B21" s="44">
        <f>B18+B19</f>
        <v>153806475.50091338</v>
      </c>
      <c r="C21" s="44">
        <f>C18+C19</f>
        <v>98550011.821266666</v>
      </c>
      <c r="D21" s="44">
        <f>D18+D19</f>
        <v>69101380.862266675</v>
      </c>
      <c r="E21" s="44">
        <f>E18+E19</f>
        <v>92002091.222933337</v>
      </c>
      <c r="F21" s="44">
        <f>F18+F19</f>
        <v>413459959.4073801</v>
      </c>
    </row>
    <row r="23" spans="1:6" x14ac:dyDescent="0.25">
      <c r="A23" s="106" t="s">
        <v>559</v>
      </c>
      <c r="B23" s="44">
        <f>B21</f>
        <v>153806475.50091338</v>
      </c>
      <c r="C23" s="44">
        <f>B23+C21</f>
        <v>252356487.32218003</v>
      </c>
      <c r="D23" s="44">
        <f>C23+D21</f>
        <v>321457868.18444669</v>
      </c>
      <c r="E23" s="44">
        <f>D23+E21</f>
        <v>413459959.40738004</v>
      </c>
      <c r="F23" s="44"/>
    </row>
    <row r="24" spans="1:6" x14ac:dyDescent="0.25">
      <c r="A24" s="106" t="s">
        <v>560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617</v>
      </c>
      <c r="B25" s="44">
        <f>$F$24-B23</f>
        <v>96193524.499086618</v>
      </c>
      <c r="C25" s="44">
        <f>$F$24-C23</f>
        <v>-2356487.3221800327</v>
      </c>
      <c r="D25" s="44">
        <f>$F$24-D23</f>
        <v>-71457868.184446692</v>
      </c>
      <c r="E25" s="44">
        <f>$F$24-E23</f>
        <v>-163459959.40738004</v>
      </c>
      <c r="F25" s="44">
        <f>F24-F21</f>
        <v>-163459959.4073801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530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607</v>
      </c>
    </row>
    <row r="55" spans="1:3" x14ac:dyDescent="0.25">
      <c r="A55" t="s">
        <v>608</v>
      </c>
      <c r="B55" s="5">
        <v>29613000</v>
      </c>
      <c r="C55" t="s">
        <v>609</v>
      </c>
    </row>
    <row r="56" spans="1:3" x14ac:dyDescent="0.25">
      <c r="A56" t="s">
        <v>610</v>
      </c>
      <c r="B56" s="5">
        <v>7355000</v>
      </c>
      <c r="C56" t="s">
        <v>611</v>
      </c>
    </row>
    <row r="57" spans="1:3" x14ac:dyDescent="0.25">
      <c r="A57" t="s">
        <v>612</v>
      </c>
      <c r="B57" s="5">
        <v>482000</v>
      </c>
      <c r="C57" t="s">
        <v>613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480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479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455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456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479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479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454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454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475</v>
      </c>
    </row>
    <row r="42" spans="1:17" x14ac:dyDescent="0.25">
      <c r="C42" t="s">
        <v>481</v>
      </c>
      <c r="H42" s="5">
        <f>SUMPRODUCT(Q5:Q36,H5:H36)</f>
        <v>8400000</v>
      </c>
    </row>
    <row r="43" spans="1:17" x14ac:dyDescent="0.25">
      <c r="C43" t="s">
        <v>476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477</v>
      </c>
      <c r="H44" s="6">
        <f>H42+H43</f>
        <v>9389520</v>
      </c>
    </row>
    <row r="45" spans="1:17" x14ac:dyDescent="0.25">
      <c r="C45" t="s">
        <v>478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512</v>
      </c>
      <c r="G3" s="103" t="s">
        <v>513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519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488</v>
      </c>
    </row>
    <row r="2" spans="1:7" ht="44.1" customHeight="1" x14ac:dyDescent="0.25">
      <c r="A2" s="4" t="s">
        <v>489</v>
      </c>
      <c r="B2" s="4"/>
      <c r="C2" s="4"/>
      <c r="D2" s="4"/>
      <c r="E2" s="4"/>
      <c r="F2" s="4"/>
      <c r="G2" s="4"/>
    </row>
    <row r="4" spans="1:7" x14ac:dyDescent="0.25">
      <c r="A4" t="s">
        <v>490</v>
      </c>
      <c r="B4" s="93">
        <v>0.1</v>
      </c>
      <c r="C4" t="s">
        <v>491</v>
      </c>
    </row>
    <row r="5" spans="1:7" x14ac:dyDescent="0.25">
      <c r="A5" t="s">
        <v>492</v>
      </c>
      <c r="B5" s="94">
        <f>Ставка_ОПВР+Ставка_ООСМС+Ставка_СН*(1-Ставка_ОПВ-Ставка_ВОСМС)</f>
        <v>0.1178</v>
      </c>
      <c r="C5" t="s">
        <v>493</v>
      </c>
    </row>
    <row r="7" spans="1:7" ht="45.95" customHeight="1" x14ac:dyDescent="0.25">
      <c r="A7" s="95" t="s">
        <v>494</v>
      </c>
      <c r="B7" s="95" t="s">
        <v>495</v>
      </c>
      <c r="C7" s="95" t="s">
        <v>496</v>
      </c>
      <c r="D7" s="95" t="s">
        <v>497</v>
      </c>
      <c r="E7" s="95" t="s">
        <v>498</v>
      </c>
      <c r="F7" s="95" t="s">
        <v>499</v>
      </c>
      <c r="G7" s="95" t="s">
        <v>500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501</v>
      </c>
    </row>
    <row r="14" spans="1:7" x14ac:dyDescent="0.25">
      <c r="A14" s="98" t="s">
        <v>502</v>
      </c>
      <c r="B14" s="97">
        <f>$B$4*(1+$B$5)</f>
        <v>0.11177999999999999</v>
      </c>
      <c r="C14" s="98" t="s">
        <v>503</v>
      </c>
    </row>
    <row r="15" spans="1:7" x14ac:dyDescent="0.25">
      <c r="A15" s="98" t="s">
        <v>504</v>
      </c>
      <c r="B15" s="97">
        <f>$B$4*(1+$B$5)*(1+НДС)</f>
        <v>0.12966479999999997</v>
      </c>
      <c r="C15" s="98" t="s">
        <v>505</v>
      </c>
    </row>
    <row r="17" spans="1:3" x14ac:dyDescent="0.25">
      <c r="A17" s="7" t="s">
        <v>506</v>
      </c>
    </row>
    <row r="18" spans="1:3" ht="32.1" customHeight="1" x14ac:dyDescent="0.25">
      <c r="A18" s="99" t="s">
        <v>514</v>
      </c>
      <c r="B18" s="99"/>
      <c r="C18" s="99"/>
    </row>
    <row r="19" spans="1:3" x14ac:dyDescent="0.25">
      <c r="A19" s="98" t="s">
        <v>515</v>
      </c>
      <c r="B19" s="96">
        <f>Аутсорс!E11</f>
        <v>5393100</v>
      </c>
      <c r="C19" s="96"/>
    </row>
    <row r="20" spans="1:3" x14ac:dyDescent="0.25">
      <c r="A20" s="98" t="s">
        <v>516</v>
      </c>
      <c r="B20" s="96">
        <f>Аутсорс!F11</f>
        <v>539310</v>
      </c>
      <c r="C20" s="96"/>
    </row>
    <row r="21" spans="1:3" x14ac:dyDescent="0.25">
      <c r="A21" s="100" t="s">
        <v>507</v>
      </c>
      <c r="B21" s="101">
        <f>Аутсорс!F11*2</f>
        <v>1078620</v>
      </c>
      <c r="C21" s="101"/>
    </row>
    <row r="22" spans="1:3" x14ac:dyDescent="0.25">
      <c r="A22" s="100" t="s">
        <v>508</v>
      </c>
      <c r="B22" s="101">
        <f>B21*(1+НДС)</f>
        <v>1251199.2</v>
      </c>
      <c r="C22" s="101"/>
    </row>
    <row r="23" spans="1:3" x14ac:dyDescent="0.25">
      <c r="A23" s="98" t="s">
        <v>517</v>
      </c>
      <c r="B23" s="96">
        <f>Аутсорс!L11</f>
        <v>13763192</v>
      </c>
      <c r="C23" s="96"/>
    </row>
    <row r="25" spans="1:3" x14ac:dyDescent="0.25">
      <c r="A25" t="s">
        <v>518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614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555</v>
      </c>
      <c r="K4" s="3" t="s">
        <v>556</v>
      </c>
      <c r="L4" s="3" t="s">
        <v>557</v>
      </c>
      <c r="M4" s="3" t="s">
        <v>558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521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459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460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461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462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463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531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464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532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465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533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523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534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483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535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484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536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487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537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486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538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522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539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466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467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468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540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469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470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458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541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471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472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550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551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474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542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485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543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524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544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473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545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525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526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6" si="15">IF(F59="разово",IF(G59&lt;=3,D59*E59,0),IF(F59="мес",D59*E59*MAX(0,4-G59),D59*E59*MAX(0,4-G59)/12))</f>
        <v>4869152.0999999996</v>
      </c>
      <c r="J59" s="5">
        <f t="shared" ref="J59:J76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546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552</v>
      </c>
      <c r="C63" s="105" t="s">
        <v>553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554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6" si="18">IF($F69="разово",IF($M69=12,$I69,0),IF($F69="мес",$D69*$E69*($G69&lt;=3),IF($F69="год",$D69*$E69/12*($G69&lt;=3),$I69/2)))</f>
        <v>22500</v>
      </c>
      <c r="L69" s="5">
        <f t="shared" ref="L69:L76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528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547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509</v>
      </c>
      <c r="C72" s="102" t="s">
        <v>510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511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527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548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555</v>
      </c>
      <c r="I4" s="34" t="s">
        <v>556</v>
      </c>
      <c r="J4" s="34" t="s">
        <v>557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529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549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564</v>
      </c>
    </row>
    <row r="3" spans="1:6" ht="30" x14ac:dyDescent="0.25">
      <c r="A3" s="108" t="s">
        <v>67</v>
      </c>
      <c r="B3" s="108" t="s">
        <v>565</v>
      </c>
      <c r="C3" s="108" t="s">
        <v>566</v>
      </c>
      <c r="D3" s="108" t="s">
        <v>567</v>
      </c>
      <c r="E3" s="108" t="s">
        <v>568</v>
      </c>
      <c r="F3" s="108" t="s">
        <v>569</v>
      </c>
    </row>
    <row r="4" spans="1:6" ht="30" x14ac:dyDescent="0.25">
      <c r="A4" s="109" t="s">
        <v>570</v>
      </c>
      <c r="B4" s="109" t="s">
        <v>571</v>
      </c>
      <c r="C4" s="109" t="s">
        <v>572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571</v>
      </c>
      <c r="C5" s="109" t="s">
        <v>573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571</v>
      </c>
      <c r="C6" s="109" t="s">
        <v>574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571</v>
      </c>
      <c r="C7" s="109" t="s">
        <v>575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571</v>
      </c>
      <c r="C8" s="109" t="s">
        <v>576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577</v>
      </c>
      <c r="B9" s="109" t="s">
        <v>578</v>
      </c>
      <c r="C9" s="109" t="s">
        <v>579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ht="30" x14ac:dyDescent="0.25">
      <c r="A10" s="109" t="s">
        <v>580</v>
      </c>
      <c r="B10" s="109" t="s">
        <v>581</v>
      </c>
      <c r="C10" s="109" t="s">
        <v>582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583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584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585</v>
      </c>
      <c r="C14" s="108"/>
      <c r="D14" s="113" t="s">
        <v>71</v>
      </c>
      <c r="E14" s="113" t="s">
        <v>586</v>
      </c>
      <c r="F14" s="113" t="s">
        <v>587</v>
      </c>
    </row>
    <row r="15" spans="1:6" ht="30" x14ac:dyDescent="0.25">
      <c r="A15" s="109" t="s">
        <v>588</v>
      </c>
      <c r="B15" s="109" t="s">
        <v>589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590</v>
      </c>
      <c r="B16" s="109" t="s">
        <v>591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592</v>
      </c>
      <c r="B17" s="109" t="s">
        <v>593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594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595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596</v>
      </c>
      <c r="B21" s="109"/>
      <c r="C21" s="109"/>
      <c r="D21" s="110"/>
      <c r="E21" s="110"/>
      <c r="F21" s="110"/>
    </row>
    <row r="22" spans="1:6" x14ac:dyDescent="0.25">
      <c r="A22" s="109" t="s">
        <v>597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598</v>
      </c>
      <c r="B23" s="109" t="s">
        <v>599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600</v>
      </c>
      <c r="B24" s="109" t="s">
        <v>601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602</v>
      </c>
      <c r="B25" s="109" t="s">
        <v>603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Долг_ЗП</vt:lpstr>
      <vt:lpstr>Долг_НДС</vt:lpstr>
      <vt:lpstr>Долг_прочие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2026-10-28T08:19:16Z</dcterms:modified>
  <dc:language>en-US</dc:language>
</cp:coreProperties>
</file>