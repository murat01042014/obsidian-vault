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7" i="5"/>
  <c r="K77" i="5"/>
  <c r="J77" i="5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F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F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l="1"/>
  <c r="E10" i="1" s="1"/>
  <c r="F24" i="17"/>
  <c r="K58" i="5"/>
  <c r="J58" i="5"/>
  <c r="L58" i="5"/>
  <c r="D12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D17" i="1" l="1"/>
  <c r="E12" i="1"/>
  <c r="E17" i="1" s="1"/>
  <c r="D6" i="1"/>
  <c r="C6" i="1"/>
  <c r="B6" i="1"/>
  <c r="B12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D15" i="1" l="1"/>
  <c r="D16" i="1" s="1"/>
  <c r="D18" i="1" s="1"/>
  <c r="D21" i="1" s="1"/>
  <c r="E6" i="1"/>
  <c r="E15" i="1" s="1"/>
  <c r="F12" i="1"/>
  <c r="F6" i="1"/>
  <c r="C10" i="1"/>
  <c r="B10" i="1"/>
  <c r="B9" i="1"/>
  <c r="F9" i="1" s="1"/>
  <c r="K49" i="5"/>
  <c r="C11" i="1" s="1"/>
  <c r="F11" i="1" s="1"/>
  <c r="B17" i="1"/>
  <c r="O5" i="3"/>
  <c r="M37" i="3"/>
  <c r="F10" i="1" l="1"/>
  <c r="E16" i="1"/>
  <c r="E18" i="1" s="1"/>
  <c r="E21" i="1" s="1"/>
  <c r="C15" i="1"/>
  <c r="C16" i="1" s="1"/>
  <c r="B15" i="1"/>
  <c r="C17" i="1"/>
  <c r="F17" i="1" s="1"/>
  <c r="O37" i="3"/>
  <c r="B16" i="1" l="1"/>
  <c r="F16" i="1" s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<sst xmlns="http://schemas.openxmlformats.org/spreadsheetml/2006/main" count="1108" uniqueCount="615">
  <si>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</si>
  <si>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</si>
  <si>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</si>
  <si>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</si>
  <si>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</si>
  <si>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</si>
  <si>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</si>
  <si>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</si>
  <si>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</si>
  <si>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</si>
  <si>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</si>
  <si>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</si>
  <si>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</si>
  <si>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</si>
  <si>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</si>
  <si>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</si>
  <si>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</si>
  <si>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</si>
  <si>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</si>
  <si>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</si>
  <si>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</si>
  <si>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</si>
  <si>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</si>
  <si>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</si>
  <si>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</si>
  <si>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</si>
  <si>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</si>
  <si>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</si>
  <si>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</si>
  <si>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</si>
  <si>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</si>
  <si>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</si>
  <si>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</si>
  <si>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</si>
  <si>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</si>
  <si>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</si>
  <si>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</si>
  <si>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</si>
  <si>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</si>
  <si>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</si>
  <si>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</si>
  <si>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</si>
  <si>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</si>
  <si>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</si>
  <si>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</si>
  <si>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</si>
  <si>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</si>
  <si>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</si>
  <si>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</si>
  <si>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</si>
  <si>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</si>
  <si>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</si>
  <si>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</si>
  <si>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</si>
  <si>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</si>
  <si>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</si>
  <si>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</si>
  <si>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</si>
  <si>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</si>
  <si>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</si>
  <si>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</si>
  <si>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</si>
  <si>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</si>
  <si>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</si>
  <si>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</si>
  <si>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</si>
  <si>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</si>
  <si>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</si>
  <si>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</si>
  <si>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</si>
  <si>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</si>
  <si>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</si>
  <si>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</si>
  <si>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</si>
  <si>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</si>
  <si>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</si>
  <si>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</si>
  <si>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</si>
  <si>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</si>
  <si>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</si>
  <si>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</si>
  <si>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</si>
  <si>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</si>
  <si>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</si>
  <si>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</si>
  <si>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</si>
  <si>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</si>
  <si>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</si>
  <si>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</si>
  <si>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</si>
  <si>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</si>
  <si>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</si>
  <si>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</si>
  <si>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</si>
  <si>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</si>
  <si>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</si>
  <si>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</si>
  <si>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</si>
  <si>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</si>
  <si>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</si>
  <si>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</si>
  <si>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</si>
  <si>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</si>
  <si>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</si>
  <si>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</si>
  <si>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</si>
  <si>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</si>
  <si>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</si>
  <si>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</si>
  <si>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</si>
  <si>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</si>
  <si>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</si>
  <si>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</si>
  <si>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</si>
  <si>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</si>
  <si>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</si>
  <si>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</si>
  <si>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</si>
  <si>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</si>
  <si>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</si>
  <si>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</si>
  <si>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</si>
  <si>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</si>
  <si>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</si>
  <si>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</si>
  <si>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</si>
  <si>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</si>
  <si>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</si>
  <si>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</si>
  <si>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</si>
  <si>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</si>
  <si>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</si>
  <si>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</si>
  <si>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</si>
  <si>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</si>
  <si>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</si>
  <si>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</si>
  <si>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</si>
  <si>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</si>
  <si>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</si>
  <si>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</si>
  <si>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</si>
  <si>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</si>
  <si>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</si>
  <si>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</si>
  <si>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</si>
  <si>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</si>
  <si>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</si>
  <si>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</si>
  <si>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</si>
  <si>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</si>
  <si>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</si>
  <si>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</si>
  <si>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</si>
  <si>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</si>
  <si>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</si>
  <si>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</si>
  <si>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</si>
  <si>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</si>
  <si>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</si>
  <si>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</si>
  <si>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</si>
  <si>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</si>
  <si>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</si>
  <si>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</si>
  <si>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</si>
  <si>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</si>
  <si>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</si>
  <si>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</si>
  <si>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</si>
  <si>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</si>
  <si>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</si>
  <si>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</si>
  <si>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</si>
  <si>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</si>
  <si>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</si>
  <si>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</si>
  <si>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</si>
  <si>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</si>
  <si>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</si>
  <si>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</si>
  <si>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</si>
  <si>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</si>
  <si>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</si>
  <si>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</si>
  <si>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</si>
  <si>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</si>
  <si>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</si>
  <si>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</si>
  <si>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</si>
  <si>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</si>
  <si>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</si>
  <si>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</si>
  <si>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</si>
  <si>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</si>
  <si>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</si>
  <si>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</si>
  <si>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</si>
  <si>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</si>
  <si>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</si>
  <si>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</si>
  <si>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</si>
  <si>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</si>
  <si>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</si>
  <si>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</si>
  <si>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</si>
  <si>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</si>
  <si>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</si>
  <si>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</si>
  <si>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</si>
  <si>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</si>
  <si>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</si>
  <si>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</si>
  <si>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</si>
  <si>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</si>
  <si>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</si>
  <si>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</si>
  <si>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</si>
  <si>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</si>
  <si>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</si>
  <si>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</si>
  <si>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</si>
  <si>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</si>
  <si>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</si>
  <si>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</si>
  <si>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</si>
  <si>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</si>
  <si>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</si>
  <si>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</si>
  <si>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</si>
  <si>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</si>
  <si>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</si>
  <si>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</si>
  <si>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</si>
  <si>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</si>
  <si>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</si>
  <si>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</si>
  <si>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</si>
  <si>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</si>
  <si>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</si>
  <si>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</si>
  <si>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</si>
  <si>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</si>
  <si>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</si>
  <si>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</si>
  <si>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</si>
  <si>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</si>
  <si>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</si>
  <si>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</si>
  <si>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</si>
  <si>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</si>
  <si>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</si>
  <si>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</si>
  <si>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</si>
  <si>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</si>
  <si>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</si>
  <si>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</si>
  <si>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</si>
  <si>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</si>
  <si>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</si>
  <si>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</si>
  <si>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</si>
  <si>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</si>
  <si>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</si>
  <si>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</si>
  <si>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</si>
  <si>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</si>
  <si>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</si>
  <si>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</si>
  <si>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</si>
  <si>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</si>
  <si>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</si>
  <si>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</si>
  <si>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</si>
  <si>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</si>
  <si>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</si>
  <si>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</si>
  <si>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</si>
  <si>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</si>
  <si>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</si>
  <si>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</si>
  <si>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</si>
  <si>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</si>
  <si>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</si>
  <si>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</si>
  <si>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</si>
  <si>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</si>
  <si>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</si>
  <si>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</si>
  <si>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</si>
  <si>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</si>
  <si>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</si>
  <si>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</si>
  <si>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</si>
  <si>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</si>
  <si>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</si>
  <si>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</si>
  <si>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</si>
  <si>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</si>
  <si>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</si>
  <si>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</si>
  <si>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</si>
  <si>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</si>
  <si>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</si>
  <si>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</si>
  <si>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</si>
  <si>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</si>
  <si>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</si>
  <si>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</si>
  <si>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</si>
  <si>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</si>
  <si>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</si>
  <si>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</si>
  <si>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</si>
  <si>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</si>
  <si>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</si>
  <si>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</si>
  <si>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</si>
  <si>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</si>
  <si>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</si>
  <si>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</si>
  <si>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</si>
  <si>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</si>
  <si>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</si>
  <si>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</si>
  <si>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</si>
  <si>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</si>
  <si>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</si>
  <si>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</si>
  <si>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</si>
  <si>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</si>
  <si>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</si>
  <si>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</si>
  <si>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</si>
  <si>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</si>
  <si>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</si>
  <si>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</si>
  <si>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</si>
  <si>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</si>
  <si>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</si>
  <si>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</si>
  <si>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</si>
  <si>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</si>
  <si>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</si>
  <si>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</si>
  <si>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</si>
  <si>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</si>
  <si>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</si>
  <si>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</si>
  <si>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</si>
  <si>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</si>
  <si>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</si>
  <si>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</si>
  <si>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</si>
  <si>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</si>
  <si>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</si>
  <si>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</si>
  <si>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</si>
  <si>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</si>
  <si>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</si>
  <si>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</si>
  <si>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</si>
  <si>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</si>
  <si>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</si>
  <si>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</si>
  <si>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</si>
  <si>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</si>
  <si>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</si>
  <si>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</si>
  <si>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</si>
  <si>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</si>
  <si>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</si>
  <si>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</si>
  <si>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</si>
  <si>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</si>
  <si>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</si>
  <si>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</si>
  <si>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</si>
  <si>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</si>
  <si>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</si>
  <si>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</si>
  <si>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</si>
  <si>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</si>
  <si>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</si>
  <si>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</si>
  <si>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</si>
  <si>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</si>
  <si>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</si>
  <si>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</si>
  <si>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</si>
  <si>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</si>
  <si>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</si>
  <si>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</si>
  <si>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</si>
  <si>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</si>
  <si>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</si>
  <si>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</si>
  <si>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</si>
  <si>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</si>
  <si>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</si>
  <si>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</si>
  <si>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</si>
  <si>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</si>
  <si>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</si>
  <si>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</si>
  <si>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</si>
  <si>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</si>
  <si>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</si>
  <si>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</si>
  <si>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</si>
  <si>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</si>
  <si>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</si>
  <si>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</si>
  <si>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</si>
  <si>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</si>
  <si>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</si>
  <si>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</si>
  <si>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</si>
  <si>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</si>
  <si>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</si>
  <si>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</si>
  <si>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</si>
  <si>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</si>
  <si>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</si>
  <si>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</si>
  <si>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</si>
  <si>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</si>
  <si>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</si>
  <si>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</si>
  <si>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</si>
  <si>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</si>
  <si>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</si>
  <si>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</si>
  <si>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</si>
  <si>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</si>
  <si>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</si>
  <si>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</si>
  <si>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</si>
  <si>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</si>
  <si>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</si>
  <si>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</si>
  <si>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</si>
  <si>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</si>
  <si>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</si>
  <si>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</si>
  <si>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</si>
  <si>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</si>
  <si>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</si>
  <si>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</si>
  <si>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</si>
  <si>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</si>
  <si>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</si>
  <si>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</si>
  <si>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</si>
  <si>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</si>
  <si>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</si>
  <si>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</si>
  <si>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</si>
  <si>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</si>
  <si>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</si>
  <si>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</si>
  <si>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</si>
  <si>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</si>
  <si>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</si>
  <si>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</si>
  <si>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</si>
  <si>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</si>
  <si>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</si>
  <si>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</si>
  <si>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</si>
  <si>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</si>
  <si>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</si>
  <si>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</si>
  <si>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</si>
  <si>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</si>
  <si>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</si>
  <si>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</si>
  <si>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</si>
  <si>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</si>
  <si>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</si>
  <si>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</si>
  <si>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</si>
  <si>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</si>
  <si>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</si>
  <si>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</si>
  <si>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</si>
  <si>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</si>
  <si>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</si>
  <si>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</si>
  <si>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</si>
  <si>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</si>
  <si>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</si>
  <si>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</si>
  <si>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</si>
  <si>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</si>
  <si>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</si>
  <si>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</si>
  <si>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</si>
  <si>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</si>
  <si>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</si>
  <si>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</si>
  <si>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</si>
  <si>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</si>
  <si>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</si>
  <si>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</si>
  <si>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</si>
  <si>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</si>
  <si>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</si>
  <si>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</si>
  <si>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</si>
  <si>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</si>
  <si>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</si>
  <si>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</si>
  <si>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</si>
  <si>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</si>
  <si>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</si>
  <si>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</si>
  <si>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</si>
  <si>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</si>
  <si>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</si>
  <si>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</si>
  <si>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</si>
  <si>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</si>
  <si>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</si>
  <si>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</si>
  <si>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</si>
  <si>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</si>
  <si>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</si>
  <si>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</si>
  <si>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</si>
  <si>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</si>
  <si>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</si>
  <si>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</si>
  <si>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</si>
  <si>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</si>
  <si>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</si>
  <si>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</si>
  <si>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</si>
  <si>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</si>
  <si>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</si>
  <si>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</si>
  <si>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</si>
  <si>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</si>
  <si>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</si>
  <si>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</si>
  <si>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</si>
  <si>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</si>
  <si>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</si>
  <si>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</si>
  <si>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</si>
  <si>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</si>
  <si>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</si>
  <si>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</si>
  <si>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</si>
  <si>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</si>
  <si>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</si>
  <si>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</si>
  <si>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</si>
  <si>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</si>
  <si>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</si>
  <si>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</si>
  <si>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</si>
  <si>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</si>
  <si>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</si>
  <si>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</si>
  <si>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</si>
  <si>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</si>
  <si>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</si>
  <si>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</si>
  <si>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</si>
  <si>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</si>
  <si>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</si>
  <si>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</si>
  <si>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</si>
  <si>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</si>
  <si>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</si>
  <si>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</si>
  <si>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</si>
  <si>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</si>
  <si>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</si>
  <si>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</si>
  <si>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</si>
  <si>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</si>
  <si>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</si>
  <si>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</si>
  <si>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</si>
  <si>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</si>
  <si>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</si>
  <si>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</si>
  <si>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</si>
  <si>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</si>
  <si>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</si>
  <si>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</si>
  <si>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</si>
  <si>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</si>
  <si>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</si>
  <si>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</si>
  <si>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17 новых сотрудников 2026 года – запас 3</t>
  </si>
  <si>
    <t>Кресло рабочее (МИ-6 Z)</t>
  </si>
  <si>
    <t>в бюджете 26 кресел на 17 сотрудников и 7 аутсорсеров – запас 2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</si>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</sst>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topLeftCell="C1" zoomScaleNormal="100" workbookViewId="0">
      <selection activeCell="E3" sqref="E3:E25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612</v>
      </c>
    </row>
    <row r="3" spans="1:6" ht="30" x14ac:dyDescent="0.25">
      <c r="A3" s="35" t="s">
        <v>0</v>
      </c>
      <c r="B3" s="35" t="s">
        <v>561</v>
      </c>
      <c r="C3" s="35" t="s">
        <v>562</v>
      </c>
      <c r="D3" s="35" t="s">
        <v>563</v>
      </c>
      <c r="E3" s="35" t="s">
        <v>613</v>
      </c>
      <c r="F3" s="35" t="s">
        <v>614</v>
      </c>
    </row>
    <row r="4" spans="1:6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37">
        <f>SUMPRODUCT((Штат!$E$5:$E$36="штат")*Штат!$G$5:$G$36*(Штат!$I$5:$I$36&lt;=3))</f>
        <v>22</v>
      </c>
      <c r="E4" s="37">
        <f>D4+COUNT('Февраль 2027'!D4:D10)</f>
        <v>29</v>
      </c>
      <c r="F4" s="37"/>
    </row>
    <row r="5" spans="1:6" x14ac:dyDescent="0.25">
      <c r="A5" s="36" t="s">
        <v>331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570</v>
      </c>
      <c r="B6" s="38">
        <f>(SUMPRODUCT((Штат!$E$5:$E$36="штат")*Штат!$K$5:$K$36*(Штат!$I$5:$I$36&lt;=2)))+B7+B20</f>
        <v>63001690</v>
      </c>
      <c r="C6" s="38">
        <f>(SUMPRODUCT((Штат!$E$5:$E$36="штат")*Штат!$K$5:$K$36*(Штат!$I$5:$I$36&lt;=3)))+C7+C20</f>
        <v>36424100</v>
      </c>
      <c r="D6" s="38">
        <f>(SUMPRODUCT((Штат!$E$5:$E$36="штат")*Штат!$K$5:$K$36*(Штат!$I$5:$I$36&lt;=3)))+D7+D20</f>
        <v>27034580</v>
      </c>
      <c r="E6" s="38">
        <f>D6+'Февраль 2027'!F11</f>
        <v>33837850</v>
      </c>
      <c r="F6" s="38">
        <f>SUM(B6:E6)</f>
        <v>160298220</v>
      </c>
    </row>
    <row r="7" spans="1:6" ht="30" hidden="1" x14ac:dyDescent="0.25">
      <c r="A7" s="36" t="s">
        <v>488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>SUM(B7:E7)</f>
        <v>9389520</v>
      </c>
    </row>
    <row r="8" spans="1:6" ht="30" x14ac:dyDescent="0.25">
      <c r="A8" s="36" t="s">
        <v>386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>SUM(B8:E8)</f>
        <v>27526384</v>
      </c>
    </row>
    <row r="9" spans="1:6" x14ac:dyDescent="0.25">
      <c r="A9" s="36" t="s">
        <v>356</v>
      </c>
      <c r="B9" s="38">
        <f>Штат!$N$37</f>
        <v>611142.85714285716</v>
      </c>
      <c r="C9" s="38">
        <v>0</v>
      </c>
      <c r="D9" s="38">
        <v>0</v>
      </c>
      <c r="E9" s="38">
        <f>'Февраль 2027'!F23</f>
        <v>205000</v>
      </c>
      <c r="F9" s="38">
        <f>SUM(B9:E9)</f>
        <v>816142.85714285716</v>
      </c>
    </row>
    <row r="10" spans="1:6" x14ac:dyDescent="0.25">
      <c r="A10" s="36" t="s">
        <v>332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>SUM(B10:E10)</f>
        <v>8312775</v>
      </c>
    </row>
    <row r="11" spans="1:6" ht="30" x14ac:dyDescent="0.25">
      <c r="A11" s="36" t="s">
        <v>333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412690</v>
      </c>
      <c r="F11" s="38">
        <f>SUM(B11:E11)</f>
        <v>14444732.9</v>
      </c>
    </row>
    <row r="12" spans="1:6" ht="30" x14ac:dyDescent="0.25">
      <c r="A12" s="36" t="s">
        <v>346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>SUM(B12:E12)</f>
        <v>27467936.148387097</v>
      </c>
    </row>
    <row r="13" spans="1:6" x14ac:dyDescent="0.25">
      <c r="A13" s="36" t="s">
        <v>334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>SUM(B13:E13)</f>
        <v>1142447</v>
      </c>
    </row>
    <row r="14" spans="1:6" x14ac:dyDescent="0.25">
      <c r="A14" s="36" t="s">
        <v>335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>SUM(B14:E14)</f>
        <v>4700000</v>
      </c>
    </row>
    <row r="15" spans="1:6" x14ac:dyDescent="0.25">
      <c r="A15" s="39" t="s">
        <v>336</v>
      </c>
      <c r="B15" s="40">
        <f>SUM(B6:B14)-B7</f>
        <v>98068022.855529949</v>
      </c>
      <c r="C15" s="40">
        <f>SUM(C6:C14)-C7</f>
        <v>53542054.350000001</v>
      </c>
      <c r="D15" s="40">
        <f>SUM(D6:D14)-D7</f>
        <v>42516269.100000001</v>
      </c>
      <c r="E15" s="40">
        <f>SUM(E6:E14)-E7</f>
        <v>50582291.600000001</v>
      </c>
      <c r="F15" s="40">
        <f>SUM(B15:E15)</f>
        <v>244708637.90552995</v>
      </c>
    </row>
    <row r="16" spans="1:6" ht="30" x14ac:dyDescent="0.25">
      <c r="A16" s="36" t="s">
        <v>357</v>
      </c>
      <c r="B16" s="38">
        <f>(B15-B20)*Резерв+SUMIFS('Оснащение и офис'!$J$5:$J$77,'Оснащение и офис'!$A$5:$A$77,"Прочие")</f>
        <v>6411802.2855529953</v>
      </c>
      <c r="C16" s="38">
        <f>(C15-C20)*Резерв+SUMIFS('Оснащение и офис'!$K$5:$K$77,'Оснащение и офис'!$A$5:$A$77,"Прочие")</f>
        <v>5354205.4350000005</v>
      </c>
      <c r="D16" s="38">
        <f>(D15-D20)*Резерв+SUMIFS('Оснащение и офис'!$L$5:$L$77,'Оснащение и офис'!$A$5:$A$77,"Прочие")</f>
        <v>4251626.91</v>
      </c>
      <c r="E16" s="38">
        <f>(E15-E20)*Резерв</f>
        <v>5058229.16</v>
      </c>
      <c r="F16" s="38">
        <f>SUM(B16:E16)</f>
        <v>21075863.790552996</v>
      </c>
    </row>
    <row r="17" spans="1:6" ht="30" x14ac:dyDescent="0.25">
      <c r="A17" s="36" t="s">
        <v>565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38">
        <f>((D11+D12+D13+D14)-'Оснащение и офис'!$L$59)*(1+Резерв)*НДС</f>
        <v>1168858.7856000001</v>
      </c>
      <c r="E17" s="38">
        <f>(E11+E12+E13+E14)*(1+Резерв)*НДС</f>
        <v>1250116.2256</v>
      </c>
      <c r="F17" s="38">
        <f>SUM(B17:E17)</f>
        <v>7547929.65491613</v>
      </c>
    </row>
    <row r="18" spans="1:6" x14ac:dyDescent="0.25">
      <c r="A18" s="41" t="s">
        <v>337</v>
      </c>
      <c r="B18" s="42">
        <f>B15+B16+B17</f>
        <v>108141493.81519908</v>
      </c>
      <c r="C18" s="42">
        <f>C15+C16+C17</f>
        <v>60363545.754600003</v>
      </c>
      <c r="D18" s="42">
        <f>D15+D16+D17</f>
        <v>47936754.795600004</v>
      </c>
      <c r="E18" s="42">
        <f>E15+E16+E17</f>
        <v>56890636.985600002</v>
      </c>
      <c r="F18" s="42">
        <f>SUM(B18:E18)</f>
        <v>273332431.35099906</v>
      </c>
    </row>
    <row r="19" spans="1:6" x14ac:dyDescent="0.25">
      <c r="A19" s="39" t="s">
        <v>338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>SUM(B19:E19)</f>
        <v>116312426.66666667</v>
      </c>
    </row>
    <row r="20" spans="1:6" hidden="1" x14ac:dyDescent="0.25">
      <c r="A20" s="39" t="s">
        <v>569</v>
      </c>
      <c r="B20" s="40">
        <v>37450000</v>
      </c>
      <c r="C20" s="40">
        <v>0</v>
      </c>
      <c r="D20" s="40">
        <v>0</v>
      </c>
      <c r="E20" s="40">
        <v>0</v>
      </c>
      <c r="F20" s="40">
        <f>SUM(B20:E20)</f>
        <v>37450000</v>
      </c>
    </row>
    <row r="21" spans="1:6" x14ac:dyDescent="0.25">
      <c r="A21" s="43" t="s">
        <v>571</v>
      </c>
      <c r="B21" s="44">
        <f>B18+B19</f>
        <v>146387467.14853242</v>
      </c>
      <c r="C21" s="44">
        <f>C18+C19</f>
        <v>92194719.087933332</v>
      </c>
      <c r="D21" s="44">
        <f>D18+D19</f>
        <v>65093928.12893334</v>
      </c>
      <c r="E21" s="44">
        <f>E18+E19</f>
        <v>85968743.652266666</v>
      </c>
      <c r="F21" s="44">
        <f>F18+F19</f>
        <v>389644858.01766574</v>
      </c>
    </row>
    <row r="23" spans="1:6" x14ac:dyDescent="0.25">
      <c r="A23" s="106" t="s">
        <v>566</v>
      </c>
      <c r="B23" s="44">
        <f>B21</f>
        <v>146387467.14853242</v>
      </c>
      <c r="C23" s="44">
        <f>B23+C21</f>
        <v>238582186.23646575</v>
      </c>
      <c r="D23" s="44">
        <f>C23+D21</f>
        <v>303676114.36539912</v>
      </c>
      <c r="E23" s="44">
        <f>D23+E21</f>
        <v>389644858.0176658</v>
      </c>
      <c r="F23" s="44"/>
    </row>
    <row r="24" spans="1:6" x14ac:dyDescent="0.25">
      <c r="A24" s="106" t="s">
        <v>567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568</v>
      </c>
      <c r="B25" s="44">
        <f>$F$24-B23</f>
        <v>103612532.85146758</v>
      </c>
      <c r="C25" s="44">
        <f>$F$24-C23</f>
        <v>11417813.763534248</v>
      </c>
      <c r="D25" s="44">
        <f>$F$24-D23</f>
        <v>-53676114.365399122</v>
      </c>
      <c r="E25" s="44">
        <f>$F$24-E23</f>
        <v>-139644858.0176658</v>
      </c>
      <c r="F25" s="44">
        <f>F24-F21</f>
        <v>-139644858.01766574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354</v>
      </c>
      <c r="B15" s="8">
        <f>ROUND(0.29%*12*SUMIFS(Штат!$H$5:$H$36,Штат!$E$5:$E$36,"штат",Штат!$F$5:$F$36,"новая"),-3)</f>
        <v>713000</v>
      </c>
      <c r="C15" t="s">
        <v>385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389</v>
      </c>
      <c r="M4" s="3" t="s">
        <v>76</v>
      </c>
      <c r="N4" s="3" t="s">
        <v>355</v>
      </c>
      <c r="O4" s="3" t="s">
        <v>77</v>
      </c>
      <c r="P4" s="3" t="s">
        <v>316</v>
      </c>
      <c r="Q4" s="88" t="s">
        <v>486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263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359</v>
      </c>
      <c r="Q7" s="89"/>
    </row>
    <row r="8" spans="1:17" ht="90" x14ac:dyDescent="0.25">
      <c r="A8" s="16">
        <v>4</v>
      </c>
      <c r="B8" s="16" t="s">
        <v>207</v>
      </c>
      <c r="C8" s="17" t="s">
        <v>361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362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373</v>
      </c>
      <c r="Q9" s="89"/>
    </row>
    <row r="10" spans="1:17" ht="60" x14ac:dyDescent="0.25">
      <c r="A10" s="16">
        <v>6</v>
      </c>
      <c r="B10" s="16" t="s">
        <v>236</v>
      </c>
      <c r="C10" s="17" t="s">
        <v>374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375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376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377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363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364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365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372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366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368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367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370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371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369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360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358</v>
      </c>
      <c r="Q32" s="89"/>
    </row>
    <row r="33" spans="1:17" s="79" customFormat="1" ht="45" x14ac:dyDescent="0.25">
      <c r="A33" s="16">
        <v>35</v>
      </c>
      <c r="B33" s="16" t="s">
        <v>360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360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518</v>
      </c>
      <c r="G3" s="103" t="s">
        <v>519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378</v>
      </c>
      <c r="C9" s="27" t="s">
        <v>379</v>
      </c>
      <c r="D9" s="27" t="s">
        <v>380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381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382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  <c r="M4" s="3" t="s">
        <v>564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383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340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384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341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342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387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343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350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351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352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353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344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345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  <c r="J4" s="34" t="s">
        <v>563</v>
      </c>
    </row>
    <row r="5" spans="1:10" ht="30" x14ac:dyDescent="0.25">
      <c r="A5" t="s">
        <v>273</v>
      </c>
      <c r="B5" s="4" t="s">
        <v>448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449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450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451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447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429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349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347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348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339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9" t="s">
        <v>572</v>
      </c>
    </row>
    <row r="3" spans="1:6" ht="30" x14ac:dyDescent="0.25">
      <c r="A3" s="110" t="s">
        <v>67</v>
      </c>
      <c r="B3" s="110" t="s">
        <v>573</v>
      </c>
      <c r="C3" s="110" t="s">
        <v>574</v>
      </c>
      <c r="D3" s="110" t="s">
        <v>575</v>
      </c>
      <c r="E3" s="110" t="s">
        <v>576</v>
      </c>
      <c r="F3" s="110" t="s">
        <v>577</v>
      </c>
    </row>
    <row r="4" spans="1:6" ht="30" x14ac:dyDescent="0.25">
      <c r="A4" s="111" t="s">
        <v>578</v>
      </c>
      <c r="B4" s="111" t="s">
        <v>579</v>
      </c>
      <c r="C4" s="111" t="s">
        <v>580</v>
      </c>
      <c r="D4" s="112">
        <v>1300000</v>
      </c>
      <c r="E4" s="112">
        <f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2">
        <f>D4+E4</f>
        <v>1482890</v>
      </c>
    </row>
    <row r="5" spans="1:6" ht="30" x14ac:dyDescent="0.25">
      <c r="A5" s="111" t="s">
        <v>241</v>
      </c>
      <c r="B5" s="111" t="s">
        <v>579</v>
      </c>
      <c r="C5" s="111" t="s">
        <v>581</v>
      </c>
      <c r="D5" s="112">
        <v>1000000</v>
      </c>
      <c r="E5" s="112">
        <f>ROUND(Ставка_СН*D5*(1-Ставка_ОПВ-Ставка_ВОСМС)+Ставка_ОПВР*D5+Ставка_СО*MIN(D5*(1-Ставка_ОПВ),Кап_СО*МЗП)+Ставка_ООСМС*MIN(D5,Кап_ООСМС*МЗП),0)</f>
        <v>147550</v>
      </c>
      <c r="F5" s="112">
        <f>D5+E5</f>
        <v>1147550</v>
      </c>
    </row>
    <row r="6" spans="1:6" ht="30" x14ac:dyDescent="0.25">
      <c r="A6" s="111" t="s">
        <v>243</v>
      </c>
      <c r="B6" s="111" t="s">
        <v>579</v>
      </c>
      <c r="C6" s="111" t="s">
        <v>582</v>
      </c>
      <c r="D6" s="112">
        <v>700000</v>
      </c>
      <c r="E6" s="112">
        <f>ROUND(Ставка_СН*D6*(1-Ставка_ОПВ-Ставка_ВОСМС)+Ставка_ОПВР*D6+Ставка_СО*MIN(D6*(1-Ставка_ОПВ),Кап_СО*МЗП)+Ставка_ООСМС*MIN(D6,Кап_ООСМС*МЗП),0)</f>
        <v>112210</v>
      </c>
      <c r="F6" s="112">
        <f>D6+E6</f>
        <v>812210</v>
      </c>
    </row>
    <row r="7" spans="1:6" ht="30" x14ac:dyDescent="0.25">
      <c r="A7" s="111" t="s">
        <v>243</v>
      </c>
      <c r="B7" s="111" t="s">
        <v>579</v>
      </c>
      <c r="C7" s="111" t="s">
        <v>583</v>
      </c>
      <c r="D7" s="112">
        <v>700000</v>
      </c>
      <c r="E7" s="112">
        <f>ROUND(Ставка_СН*D7*(1-Ставка_ОПВ-Ставка_ВОСМС)+Ставка_ОПВР*D7+Ставка_СО*MIN(D7*(1-Ставка_ОПВ),Кап_СО*МЗП)+Ставка_ООСМС*MIN(D7,Кап_ООСМС*МЗП),0)</f>
        <v>112210</v>
      </c>
      <c r="F7" s="112">
        <f>D7+E7</f>
        <v>812210</v>
      </c>
    </row>
    <row r="8" spans="1:6" ht="30" x14ac:dyDescent="0.25">
      <c r="A8" s="111" t="s">
        <v>243</v>
      </c>
      <c r="B8" s="111" t="s">
        <v>579</v>
      </c>
      <c r="C8" s="111" t="s">
        <v>584</v>
      </c>
      <c r="D8" s="112">
        <v>700000</v>
      </c>
      <c r="E8" s="112">
        <f>ROUND(Ставка_СН*D8*(1-Ставка_ОПВ-Ставка_ВОСМС)+Ставка_ОПВР*D8+Ставка_СО*MIN(D8*(1-Ставка_ОПВ),Кап_СО*МЗП)+Ставка_ООСМС*MIN(D8,Кап_ООСМС*МЗП),0)</f>
        <v>112210</v>
      </c>
      <c r="F8" s="112">
        <f>D8+E8</f>
        <v>812210</v>
      </c>
    </row>
    <row r="9" spans="1:6" x14ac:dyDescent="0.25">
      <c r="A9" s="111" t="s">
        <v>585</v>
      </c>
      <c r="B9" s="111" t="s">
        <v>586</v>
      </c>
      <c r="C9" s="111" t="s">
        <v>587</v>
      </c>
      <c r="D9" s="112">
        <v>700000</v>
      </c>
      <c r="E9" s="112">
        <f>ROUND(Ставка_СН*D9*(1-Ставка_ОПВ-Ставка_ВОСМС)+Ставка_ОПВР*D9+Ставка_СО*MIN(D9*(1-Ставка_ОПВ),Кап_СО*МЗП)+Ставка_ООСМС*MIN(D9,Кап_ООСМС*МЗП),0)</f>
        <v>112210</v>
      </c>
      <c r="F9" s="112">
        <f>D9+E9</f>
        <v>812210</v>
      </c>
    </row>
    <row r="10" spans="1:6" ht="30" x14ac:dyDescent="0.25">
      <c r="A10" s="111" t="s">
        <v>588</v>
      </c>
      <c r="B10" s="111" t="s">
        <v>589</v>
      </c>
      <c r="C10" s="111" t="s">
        <v>590</v>
      </c>
      <c r="D10" s="112">
        <v>800000</v>
      </c>
      <c r="E10" s="112">
        <f>ROUND(Ставка_СН*D10*(1-Ставка_ОПВ-Ставка_ВОСМС)+Ставка_ОПВР*D10+Ставка_СО*MIN(D10*(1-Ставка_ОПВ),Кап_СО*МЗП)+Ставка_ООСМС*MIN(D10,Кап_ООСМС*МЗП),0)</f>
        <v>123990</v>
      </c>
      <c r="F10" s="112">
        <f>D10+E10</f>
        <v>923990</v>
      </c>
    </row>
    <row r="11" spans="1:6" x14ac:dyDescent="0.25">
      <c r="A11" s="113" t="s">
        <v>591</v>
      </c>
      <c r="B11" s="113"/>
      <c r="C11" s="113"/>
      <c r="D11" s="114">
        <f>SUM(D4:D10)</f>
        <v>5900000</v>
      </c>
      <c r="E11" s="114">
        <f>SUM(E4:E10)</f>
        <v>903270</v>
      </c>
      <c r="F11" s="114">
        <f>SUM(F4:F10)</f>
        <v>6803270</v>
      </c>
    </row>
    <row r="12" spans="1:6" x14ac:dyDescent="0.25">
      <c r="A12" s="111"/>
      <c r="B12" s="111"/>
      <c r="C12" s="111"/>
      <c r="D12" s="112"/>
      <c r="E12" s="112"/>
      <c r="F12" s="112"/>
    </row>
    <row r="13" spans="1:6" ht="30" x14ac:dyDescent="0.25">
      <c r="A13" s="113" t="s">
        <v>592</v>
      </c>
      <c r="B13" s="111"/>
      <c r="C13" s="111"/>
      <c r="D13" s="112"/>
      <c r="E13" s="112"/>
      <c r="F13" s="112"/>
    </row>
    <row r="14" spans="1:6" x14ac:dyDescent="0.25">
      <c r="A14" s="110" t="s">
        <v>175</v>
      </c>
      <c r="B14" s="110" t="s">
        <v>593</v>
      </c>
      <c r="C14" s="110"/>
      <c r="D14" s="115" t="s">
        <v>71</v>
      </c>
      <c r="E14" s="115" t="s">
        <v>594</v>
      </c>
      <c r="F14" s="115" t="s">
        <v>595</v>
      </c>
    </row>
    <row r="15" spans="1:6" ht="30" x14ac:dyDescent="0.25">
      <c r="A15" s="111" t="s">
        <v>596</v>
      </c>
      <c r="B15" s="111" t="s">
        <v>597</v>
      </c>
      <c r="C15" s="111"/>
      <c r="D15" s="112">
        <v>4</v>
      </c>
      <c r="E15" s="112">
        <f>'Оснащение и офис'!E8</f>
        <v>69708</v>
      </c>
      <c r="F15" s="112">
        <f>D15*E15</f>
        <v>278832</v>
      </c>
    </row>
    <row r="16" spans="1:6" ht="30" x14ac:dyDescent="0.25">
      <c r="A16" s="111" t="s">
        <v>598</v>
      </c>
      <c r="B16" s="111" t="s">
        <v>599</v>
      </c>
      <c r="C16" s="111"/>
      <c r="D16" s="112">
        <v>5</v>
      </c>
      <c r="E16" s="112">
        <f>'Оснащение и офис'!E9</f>
        <v>14750</v>
      </c>
      <c r="F16" s="112">
        <f>D16*E16</f>
        <v>73750</v>
      </c>
    </row>
    <row r="17" spans="1:6" x14ac:dyDescent="0.25">
      <c r="A17" s="111" t="s">
        <v>600</v>
      </c>
      <c r="B17" s="111" t="s">
        <v>601</v>
      </c>
      <c r="C17" s="111"/>
      <c r="D17" s="112">
        <v>7</v>
      </c>
      <c r="E17" s="112">
        <f>'Оснащение и офис'!E37</f>
        <v>3550</v>
      </c>
      <c r="F17" s="112">
        <f>D17*E17</f>
        <v>24850</v>
      </c>
    </row>
    <row r="18" spans="1:6" ht="30" x14ac:dyDescent="0.25">
      <c r="A18" s="111" t="s">
        <v>214</v>
      </c>
      <c r="B18" s="111" t="s">
        <v>602</v>
      </c>
      <c r="C18" s="111"/>
      <c r="D18" s="112"/>
      <c r="E18" s="112"/>
      <c r="F18" s="112">
        <f>ROUND((F15+F16)*Сборка_мебели_проц,0)</f>
        <v>35258</v>
      </c>
    </row>
    <row r="19" spans="1:6" x14ac:dyDescent="0.25">
      <c r="A19" s="113" t="s">
        <v>603</v>
      </c>
      <c r="B19" s="113"/>
      <c r="C19" s="113"/>
      <c r="D19" s="114"/>
      <c r="E19" s="114"/>
      <c r="F19" s="114">
        <f>SUM(F15:F18)</f>
        <v>412690</v>
      </c>
    </row>
    <row r="20" spans="1:6" x14ac:dyDescent="0.25">
      <c r="A20" s="111"/>
      <c r="B20" s="111"/>
      <c r="C20" s="111"/>
      <c r="D20" s="112"/>
      <c r="E20" s="112"/>
      <c r="F20" s="112"/>
    </row>
    <row r="21" spans="1:6" x14ac:dyDescent="0.25">
      <c r="A21" s="113" t="s">
        <v>604</v>
      </c>
      <c r="B21" s="111"/>
      <c r="C21" s="111"/>
      <c r="D21" s="112"/>
      <c r="E21" s="112"/>
      <c r="F21" s="112"/>
    </row>
    <row r="22" spans="1:6" x14ac:dyDescent="0.25">
      <c r="A22" s="111" t="s">
        <v>605</v>
      </c>
      <c r="B22" s="111"/>
      <c r="C22" s="111"/>
      <c r="D22" s="112">
        <v>7</v>
      </c>
      <c r="E22" s="112">
        <f>'Оснащение и офис'!E68</f>
        <v>7000</v>
      </c>
      <c r="F22" s="112">
        <f>D22*E22</f>
        <v>49000</v>
      </c>
    </row>
    <row r="23" spans="1:6" x14ac:dyDescent="0.25">
      <c r="A23" s="111" t="s">
        <v>606</v>
      </c>
      <c r="B23" s="111" t="s">
        <v>607</v>
      </c>
      <c r="C23" s="111"/>
      <c r="D23" s="112"/>
      <c r="E23" s="112"/>
      <c r="F23" s="112">
        <f>ROUND(0.29%*12*D11,-3)</f>
        <v>205000</v>
      </c>
    </row>
    <row r="24" spans="1:6" ht="45" x14ac:dyDescent="0.25">
      <c r="A24" s="111" t="s">
        <v>608</v>
      </c>
      <c r="B24" s="111" t="s">
        <v>609</v>
      </c>
      <c r="C24" s="111"/>
      <c r="D24" s="112"/>
      <c r="E24" s="112"/>
      <c r="F24" s="112">
        <f>5*6/12*Поездка_РК+1*(3/12*Поездка_РК+3*Поездка_местн)</f>
        <v>596062.5</v>
      </c>
    </row>
    <row r="25" spans="1:6" x14ac:dyDescent="0.25">
      <c r="A25" s="111" t="s">
        <v>610</v>
      </c>
      <c r="B25" s="111" t="s">
        <v>611</v>
      </c>
      <c r="C25" s="111"/>
      <c r="D25" s="112"/>
      <c r="E25" s="112"/>
      <c r="F25" s="112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42</vt:i4>
      </vt:variant>
    </vt:vector>
  </HeadingPairs>
  <TitlesOfParts>
    <vt:vector size="59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2026-10-28T07:13:13Z</dcterms:modified>
  <dc:language>en-US</dc:language>
</cp:coreProperties>
</file>