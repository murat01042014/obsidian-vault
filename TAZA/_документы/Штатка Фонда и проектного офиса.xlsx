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ФОТ!$A$1:$G$54</definedName>
    <definedName name="принтареа3" localSheetId="6">ФОТ!$A$1:$G$55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66" l="1"/>
  <c r="F21" i="166"/>
  <c r="F50" i="166" l="1"/>
  <c r="F49" i="166"/>
  <c r="G42" i="166" l="1"/>
  <c r="F42" i="166"/>
  <c r="G19" i="166" l="1"/>
  <c r="F19" i="166"/>
  <c r="G22" i="166"/>
  <c r="F22" i="166"/>
  <c r="E34" i="166" l="1"/>
  <c r="D34" i="166"/>
  <c r="E10" i="166" l="1"/>
  <c r="E6" i="166"/>
  <c r="D10" i="166"/>
  <c r="D6" i="166"/>
  <c r="F48" i="166" l="1"/>
  <c r="F47" i="166"/>
  <c r="F44" i="166"/>
  <c r="F43" i="166"/>
  <c r="F39" i="166"/>
  <c r="F38" i="166"/>
  <c r="F35" i="166"/>
  <c r="F34" i="166" s="1"/>
  <c r="F33" i="166"/>
  <c r="F32" i="166"/>
  <c r="F31" i="166"/>
  <c r="F30" i="166"/>
  <c r="F29" i="166"/>
  <c r="F28" i="166"/>
  <c r="F27" i="166"/>
  <c r="F26" i="166"/>
  <c r="F25" i="166"/>
  <c r="F24" i="166"/>
  <c r="F20" i="166"/>
  <c r="F17" i="166"/>
  <c r="F15" i="166"/>
  <c r="F14" i="166"/>
  <c r="F13" i="166"/>
  <c r="F11" i="166"/>
  <c r="F10" i="166" s="1"/>
  <c r="F9" i="166"/>
  <c r="F8" i="166"/>
  <c r="F7" i="166"/>
  <c r="F6" i="166" l="1"/>
  <c r="G48" i="166"/>
  <c r="G20" i="166"/>
  <c r="G32" i="166" l="1"/>
  <c r="G25" i="166" l="1"/>
  <c r="G47" i="166" l="1"/>
  <c r="G44" i="166"/>
  <c r="G43" i="166"/>
  <c r="G39" i="166"/>
  <c r="G38" i="166"/>
  <c r="G35" i="166"/>
  <c r="G34" i="166" s="1"/>
  <c r="G33" i="166"/>
  <c r="G31" i="166"/>
  <c r="G30" i="166"/>
  <c r="G29" i="166"/>
  <c r="G28" i="166"/>
  <c r="G27" i="166"/>
  <c r="G26" i="166"/>
  <c r="G24" i="166"/>
  <c r="G17" i="166"/>
  <c r="G15" i="166"/>
  <c r="G14" i="166"/>
  <c r="G13" i="166"/>
  <c r="G11" i="166"/>
  <c r="G10" i="166" s="1"/>
  <c r="G9" i="166"/>
  <c r="G8" i="166"/>
  <c r="G7" i="166"/>
  <c r="G6" i="166" l="1"/>
  <c r="F18" i="166" l="1"/>
  <c r="F46" i="166"/>
  <c r="F23" i="166"/>
  <c r="F12" i="166"/>
  <c r="F37" i="166"/>
  <c r="F51" i="166" l="1"/>
  <c r="D46" i="166"/>
  <c r="D37" i="166"/>
  <c r="D23" i="166"/>
  <c r="D18" i="166"/>
  <c r="D12" i="166"/>
  <c r="B55" i="166" l="1"/>
  <c r="D51" i="166"/>
  <c r="E46" i="166"/>
  <c r="E37" i="166"/>
  <c r="E23" i="166"/>
  <c r="E12" i="166"/>
  <c r="E18" i="166"/>
  <c r="E51" i="166" l="1"/>
  <c r="B54" i="166"/>
  <c r="G46" i="166"/>
  <c r="G37" i="166"/>
  <c r="G12" i="166"/>
  <c r="G18" i="166" l="1"/>
  <c r="G23" i="166"/>
  <c r="G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<sst xmlns="http://schemas.openxmlformats.org/spreadsheetml/2006/main" count="1891" uniqueCount="456">
  <si>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</si>
  <si>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</si>
  <si>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</si>
  <si>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</si>
  <si>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</si>
  <si>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</si>
  <si>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</si>
  <si>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</si>
  <si>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</si>
  <si>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</si>
  <si>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</si>
  <si>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</si>
  <si>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</si>
  <si>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</si>
  <si>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</si>
  <si>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</si>
  <si>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</si>
  <si>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</si>
  <si>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</si>
  <si>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</si>
  <si>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</si>
  <si>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</si>
  <si>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</si>
  <si>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</si>
  <si>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</si>
  <si>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</si>
  <si>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</si>
  <si>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</si>
  <si>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</si>
  <si>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</si>
  <si>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</si>
  <si>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</si>
  <si>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</si>
  <si>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</si>
  <si>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</si>
  <si>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</si>
  <si>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</si>
  <si>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</si>
  <si>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</si>
  <si>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</si>
  <si>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</si>
  <si>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</si>
  <si>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</si>
  <si>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</si>
  <si>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</si>
  <si>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</si>
  <si>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</si>
  <si>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</si>
  <si>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</si>
  <si>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</si>
  <si>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</si>
  <si>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</si>
  <si>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</si>
  <si>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</si>
  <si>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</si>
  <si>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</si>
  <si>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</si>
  <si>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</si>
  <si>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</si>
  <si>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</si>
  <si>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</si>
  <si>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</si>
  <si>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</si>
  <si>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</si>
  <si>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</si>
  <si>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</si>
  <si>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</si>
  <si>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</si>
  <si>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</si>
  <si>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</si>
  <si>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</si>
  <si>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</si>
  <si>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</si>
  <si>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</si>
  <si>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</si>
  <si>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</si>
  <si>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</si>
  <si>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</si>
  <si>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</si>
  <si>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</si>
  <si>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</si>
  <si>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</si>
  <si>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</si>
  <si>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</si>
  <si>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</si>
  <si>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</si>
  <si>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</si>
  <si>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</si>
  <si>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</si>
  <si>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</si>
  <si>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</si>
  <si>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</si>
  <si>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</si>
  <si>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</si>
  <si>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</si>
  <si>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</si>
  <si>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</si>
  <si>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</si>
  <si>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</si>
  <si>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</si>
  <si>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</si>
  <si>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</si>
  <si>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</si>
  <si>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</si>
  <si>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</si>
  <si>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</si>
  <si>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</si>
  <si>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</si>
  <si>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</si>
  <si>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</si>
  <si>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</si>
  <si>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</si>
  <si>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</si>
  <si>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</si>
  <si>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</si>
  <si>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</si>
  <si>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</si>
  <si>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</si>
  <si>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</si>
  <si>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</si>
  <si>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</si>
  <si>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</si>
  <si>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</si>
  <si>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</si>
  <si>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</si>
  <si>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</si>
  <si>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</si>
  <si>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</si>
  <si>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</si>
  <si>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</si>
  <si>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</si>
  <si>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</si>
  <si>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</si>
  <si>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</si>
  <si>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</si>
  <si>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</si>
  <si>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</si>
  <si>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</si>
  <si>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</si>
  <si>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</si>
  <si>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</si>
  <si>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</si>
  <si>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</si>
  <si>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</si>
  <si>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</si>
  <si>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</si>
  <si>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</si>
  <si>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</si>
  <si>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</si>
  <si>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</si>
  <si>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</si>
  <si>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</si>
  <si>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</si>
  <si>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</si>
  <si>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</si>
  <si>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</si>
  <si>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</si>
  <si>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</si>
  <si>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</si>
  <si>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</si>
  <si>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</si>
  <si>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</si>
  <si>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</si>
  <si>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</si>
  <si>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</si>
  <si>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</si>
  <si>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</si>
  <si>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</si>
  <si>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</si>
  <si>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</si>
  <si>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</si>
  <si>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</si>
  <si>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</si>
  <si>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</si>
  <si>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</si>
  <si>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</si>
  <si>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</si>
  <si>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</si>
  <si>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</si>
  <si>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</si>
  <si>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</si>
  <si>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</si>
  <si>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</si>
  <si>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</si>
  <si>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</si>
  <si>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</si>
  <si>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</si>
  <si>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</si>
  <si>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</si>
  <si>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</si>
  <si>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</si>
  <si>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</si>
  <si>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</si>
  <si>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</si>
  <si>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</si>
  <si>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</si>
  <si>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</si>
  <si>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</si>
  <si>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</si>
  <si>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</si>
  <si>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</si>
  <si>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</si>
  <si>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</si>
  <si>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</si>
  <si>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</si>
  <si>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</si>
  <si>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</si>
  <si>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</si>
  <si>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</si>
  <si>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</si>
  <si>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</si>
  <si>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</si>
  <si>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</si>
  <si>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</si>
  <si>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</si>
  <si>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</si>
  <si>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</si>
  <si>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</si>
  <si>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</si>
  <si>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</si>
  <si>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</si>
  <si>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</si>
  <si>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</si>
  <si>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</si>
  <si>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</si>
  <si>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</si>
  <si>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</si>
  <si>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</si>
  <si>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</si>
  <si>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</si>
  <si>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</si>
  <si>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</si>
  <si>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</si>
  <si>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</si>
  <si>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</si>
  <si>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</si>
  <si>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</si>
  <si>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</si>
  <si>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</si>
  <si>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</si>
  <si>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</si>
  <si>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</si>
  <si>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</si>
  <si>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</si>
  <si>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</si>
  <si>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</si>
  <si>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</si>
  <si>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</si>
  <si>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</si>
  <si>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</si>
  <si>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</si>
  <si>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</si>
  <si>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</si>
  <si>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</si>
  <si>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</si>
  <si>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</si>
  <si>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</si>
  <si>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</si>
  <si>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</si>
  <si>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</si>
  <si>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</si>
  <si>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</si>
  <si>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</si>
  <si>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</si>
  <si>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</si>
  <si>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</si>
  <si>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</si>
  <si>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</si>
  <si>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</si>
  <si>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</si>
  <si>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</si>
  <si>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</si>
  <si>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</si>
  <si>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</si>
  <si>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</si>
  <si>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</si>
  <si>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</si>
  <si>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</si>
  <si>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</si>
  <si>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</si>
  <si>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</si>
  <si>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</si>
  <si>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</si>
  <si>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</si>
  <si>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</si>
  <si>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</si>
  <si>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</si>
  <si>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</si>
  <si>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</si>
  <si>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</si>
  <si>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</si>
  <si>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</si>
  <si>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</si>
  <si>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</si>
  <si>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</si>
  <si>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</si>
  <si>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</si>
  <si>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</si>
  <si>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</si>
  <si>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</si>
  <si>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</si>
  <si>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</si>
  <si>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</si>
  <si>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</si>
  <si>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</si>
  <si>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</si>
  <si>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</si>
  <si>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</si>
  <si>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</si>
  <si>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</si>
  <si>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</si>
  <si>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</si>
  <si>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</si>
  <si>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</si>
  <si>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</si>
  <si>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</si>
  <si>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</si>
  <si>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</si>
  <si>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</si>
  <si>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</si>
  <si>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</si>
  <si>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</si>
  <si>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</si>
  <si>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</si>
  <si>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</si>
  <si>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</si>
  <si>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</si>
  <si>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</si>
  <si>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</si>
  <si>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</si>
  <si>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</si>
  <si>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</si>
  <si>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</si>
  <si>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</si>
  <si>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</si>
  <si>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</si>
  <si>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</si>
  <si>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</si>
  <si>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</si>
  <si>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</si>
  <si>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</si>
  <si>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</si>
  <si>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</si>
  <si>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</si>
  <si>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</si>
  <si>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</si>
  <si>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</si>
  <si>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</si>
  <si>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</si>
  <si>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</si>
  <si>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</si>
  <si>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</si>
  <si>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</si>
  <si>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</si>
  <si>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</si>
  <si>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</si>
  <si>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</si>
  <si>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</si>
  <si>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</si>
  <si>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</si>
  <si>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</si>
  <si>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</si>
  <si>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</si>
  <si>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</si>
  <si>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</si>
  <si>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</si>
  <si>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</si>
  <si>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</si>
  <si>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</si>
  <si>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</si>
  <si>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</si>
  <si>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</si>
  <si>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</si>
  <si>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</si>
  <si>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</si>
  <si>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</si>
  <si>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</si>
  <si>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</si>
  <si>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</si>
  <si>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</si>
  <si>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</si>
  <si>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</si>
  <si>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</si>
  <si>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</si>
  <si>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</si>
  <si>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</si>
  <si>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</si>
  <si>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</si>
  <si>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</si>
  <si>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</si>
  <si>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</si>
  <si>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</si>
  <si>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</si>
  <si>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</si>
  <si>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</si>
  <si>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</si>
  <si>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</si>
  <si>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</si>
  <si>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</si>
  <si>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</si>
  <si>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</si>
  <si>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</si>
  <si>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</si>
  <si>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</si>
  <si>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</si>
  <si>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</si>
  <si>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</si>
  <si>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</si>
  <si>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</si>
  <si>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</si>
  <si>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</si>
  <si>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</si>
  <si>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</si>
  <si>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</si>
  <si>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</si>
  <si>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</si>
  <si>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</si>
  <si>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</si>
  <si>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</si>
  <si>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</si>
  <si>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</si>
  <si>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</si>
  <si>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</si>
  <si>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</si>
  <si>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</si>
  <si>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</si>
  <si>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</si>
  <si>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</si>
  <si>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</si>
  <si>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</si>
  <si>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</si>
  <si>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</si>
  <si>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</si>
  <si>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</si>
  <si>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</si>
  <si>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</si>
  <si>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</si>
  <si>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</si>
  <si>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</si>
  <si>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</si>
  <si>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</si>
  <si>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</si>
  <si>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</si>
  <si>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</si>
  <si>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</si>
  <si>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</si>
  <si>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</si>
  <si>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</si>
  <si>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Главный исполнительный директор Фонда, Руководитель Проектного офиса для Центральной Азии / Қаражан</t>
  </si>
  <si>
    <t>Общее руководство Фондом и проектом, представительство, утверждение планов, бюджета и отчётов; руководство Проектным офисом для Центральной Азии</t>
  </si>
  <si>
    <t>Молодёжь, волонтёры, НПО, школы и вузы; экспертиза молодёжных и общественных проектов</t>
  </si>
  <si>
    <t>Заместитель руководителя Проектного офиса для Центральной Азии</t>
  </si>
  <si>
    <t>Менеджер проектов – эколог / Загирова Анастасия</t>
  </si>
  <si>
    <t>Менеджер проектов – эколог / Абулхан А.</t>
  </si>
  <si>
    <t>Менеджер проектов – эколог (отходы, вода, воздух) / вакансия</t>
  </si>
  <si>
    <t>*приход с 12.2026 и в 2027 году выделен сиреневым (с 12.2026 – Өміртай А.; остальные – с 02.2027)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</si>
</sst>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0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5" xfId="0" applyFont="1" applyBorder="1" applyAlignment="1">
      <alignment horizontal="center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top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46" fillId="3" borderId="38" xfId="177" applyFont="1" applyFill="1" applyBorder="1" applyAlignment="1">
      <alignment horizont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1" t="s">
        <v>2</v>
      </c>
      <c r="B2" s="301"/>
      <c r="C2" s="132" t="s">
        <v>1</v>
      </c>
    </row>
    <row r="3" spans="1:4">
      <c r="A3" s="302" t="s">
        <v>26</v>
      </c>
      <c r="B3" s="303"/>
      <c r="C3" s="133"/>
    </row>
    <row r="4" spans="1:4">
      <c r="A4" s="302" t="s">
        <v>3</v>
      </c>
      <c r="B4" s="303" t="s">
        <v>27</v>
      </c>
      <c r="C4" s="133"/>
    </row>
    <row r="5" spans="1:4">
      <c r="A5" s="300" t="s">
        <v>242</v>
      </c>
      <c r="B5" s="300"/>
      <c r="C5" s="133"/>
    </row>
    <row r="6" spans="1:4" ht="15" customHeight="1">
      <c r="A6" s="302" t="s">
        <v>29</v>
      </c>
      <c r="B6" s="303"/>
      <c r="C6" s="134"/>
    </row>
    <row r="7" spans="1:4" ht="15" customHeight="1">
      <c r="A7" s="302" t="s">
        <v>43</v>
      </c>
      <c r="B7" s="303"/>
      <c r="C7" s="135"/>
    </row>
    <row r="8" spans="1:4">
      <c r="A8" s="304" t="s">
        <v>30</v>
      </c>
      <c r="B8" s="305"/>
      <c r="C8" s="131">
        <f>SUM(C3:C7)</f>
        <v>0</v>
      </c>
    </row>
    <row r="9" spans="1:4">
      <c r="C9" s="2"/>
    </row>
    <row r="10" spans="1:4">
      <c r="A10" s="306" t="s">
        <v>31</v>
      </c>
      <c r="B10" s="306"/>
      <c r="C10" s="306"/>
    </row>
    <row r="11" spans="1:4">
      <c r="A11" s="301" t="s">
        <v>2</v>
      </c>
      <c r="B11" s="301"/>
      <c r="C11" s="132" t="s">
        <v>1</v>
      </c>
    </row>
    <row r="12" spans="1:4">
      <c r="A12" s="300" t="s">
        <v>32</v>
      </c>
      <c r="B12" s="300"/>
      <c r="C12" s="136"/>
    </row>
    <row r="13" spans="1:4">
      <c r="A13" s="300" t="s">
        <v>33</v>
      </c>
      <c r="B13" s="300"/>
      <c r="C13" s="136"/>
    </row>
    <row r="14" spans="1:4">
      <c r="A14" s="300" t="s">
        <v>34</v>
      </c>
      <c r="B14" s="300"/>
      <c r="C14" s="136"/>
    </row>
    <row r="15" spans="1:4">
      <c r="A15" s="304" t="s">
        <v>35</v>
      </c>
      <c r="B15" s="305"/>
      <c r="C15" s="130">
        <f>SUM(C12:C14)</f>
        <v>0</v>
      </c>
      <c r="D15" s="3"/>
    </row>
    <row r="16" spans="1:4">
      <c r="D16" s="3"/>
    </row>
    <row r="17" spans="1:4">
      <c r="A17" s="307" t="s">
        <v>36</v>
      </c>
      <c r="B17" s="308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1" t="s">
        <v>2</v>
      </c>
      <c r="B20" s="301"/>
      <c r="C20" s="132" t="s">
        <v>1</v>
      </c>
    </row>
    <row r="21" spans="1:4">
      <c r="A21" s="300" t="s">
        <v>26</v>
      </c>
      <c r="B21" s="300"/>
      <c r="C21" s="138"/>
    </row>
    <row r="22" spans="1:4">
      <c r="A22" s="300" t="s">
        <v>3</v>
      </c>
      <c r="B22" s="300" t="s">
        <v>27</v>
      </c>
      <c r="C22" s="138"/>
    </row>
    <row r="23" spans="1:4">
      <c r="A23" s="300" t="s">
        <v>28</v>
      </c>
      <c r="B23" s="300"/>
      <c r="C23" s="138"/>
    </row>
    <row r="24" spans="1:4">
      <c r="A24" s="300" t="s">
        <v>243</v>
      </c>
      <c r="B24" s="300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09" t="s">
        <v>38</v>
      </c>
      <c r="B26" s="310"/>
      <c r="C26" s="311"/>
    </row>
    <row r="27" spans="1:4">
      <c r="A27" s="301" t="s">
        <v>39</v>
      </c>
      <c r="B27" s="301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2" t="s">
        <v>40</v>
      </c>
      <c r="B30" s="312"/>
      <c r="C30" s="2"/>
    </row>
    <row r="31" spans="1:4">
      <c r="A31" s="301" t="s">
        <v>2</v>
      </c>
      <c r="B31" s="301"/>
      <c r="C31" s="132" t="s">
        <v>1</v>
      </c>
    </row>
    <row r="32" spans="1:4">
      <c r="A32" s="300" t="s">
        <v>26</v>
      </c>
      <c r="B32" s="300"/>
      <c r="C32" s="143"/>
    </row>
    <row r="33" spans="1:4">
      <c r="A33" s="300" t="s">
        <v>3</v>
      </c>
      <c r="B33" s="300" t="s">
        <v>27</v>
      </c>
      <c r="C33" s="143"/>
    </row>
    <row r="34" spans="1:4">
      <c r="A34" s="300" t="s">
        <v>28</v>
      </c>
      <c r="B34" s="300"/>
      <c r="C34" s="143"/>
    </row>
    <row r="35" spans="1:4">
      <c r="A35" s="300" t="s">
        <v>41</v>
      </c>
      <c r="B35" s="300"/>
      <c r="C35" s="143"/>
      <c r="D35" s="3"/>
    </row>
    <row r="36" spans="1:4">
      <c r="A36" s="313"/>
      <c r="B36" s="314"/>
      <c r="C36" s="144">
        <f>SUM(C32:C35)</f>
        <v>0</v>
      </c>
    </row>
    <row r="37" spans="1:4">
      <c r="A37" s="7"/>
      <c r="B37" s="7"/>
      <c r="C37" s="8"/>
    </row>
    <row r="38" spans="1:4">
      <c r="A38" s="315" t="s">
        <v>42</v>
      </c>
      <c r="B38" s="316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33:B33"/>
    <mergeCell ref="A34:B34"/>
    <mergeCell ref="A35:B35"/>
    <mergeCell ref="A36:B36"/>
    <mergeCell ref="A38:B38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7" t="s">
        <v>244</v>
      </c>
      <c r="B3" s="317" t="s">
        <v>2</v>
      </c>
      <c r="C3" s="317" t="s">
        <v>246</v>
      </c>
      <c r="D3" s="317" t="s">
        <v>247</v>
      </c>
      <c r="E3" s="317" t="s">
        <v>245</v>
      </c>
      <c r="F3" s="317"/>
      <c r="G3" s="317" t="s">
        <v>250</v>
      </c>
    </row>
    <row r="4" spans="1:7" ht="53.25" customHeight="1">
      <c r="A4" s="317"/>
      <c r="B4" s="317"/>
      <c r="C4" s="317"/>
      <c r="D4" s="317"/>
      <c r="E4" s="146" t="s">
        <v>248</v>
      </c>
      <c r="F4" s="146" t="s">
        <v>249</v>
      </c>
      <c r="G4" s="317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8" t="s">
        <v>258</v>
      </c>
      <c r="C13" s="318"/>
      <c r="D13" s="318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1" t="s">
        <v>259</v>
      </c>
      <c r="C19" s="301"/>
      <c r="D19" s="301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I1" s="319"/>
      <c r="J1" s="319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20" t="s">
        <v>201</v>
      </c>
      <c r="C3" s="320"/>
      <c r="D3" s="320"/>
      <c r="E3" s="320"/>
      <c r="F3" s="320"/>
      <c r="G3" s="320"/>
      <c r="H3" s="320"/>
      <c r="I3" s="320"/>
      <c r="J3" s="320"/>
      <c r="K3" s="88"/>
      <c r="O3" s="51"/>
    </row>
    <row r="4" spans="1:15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I4" s="321"/>
      <c r="J4" s="321"/>
      <c r="K4" s="89"/>
      <c r="O4" s="51"/>
    </row>
    <row r="5" spans="1:15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H5" s="322"/>
      <c r="I5" s="322"/>
      <c r="J5" s="322"/>
      <c r="K5" s="90"/>
      <c r="O5" s="51"/>
    </row>
    <row r="6" spans="1:15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H6" s="322"/>
      <c r="I6" s="322"/>
      <c r="J6" s="322"/>
      <c r="K6" s="90"/>
      <c r="O6" s="51"/>
    </row>
    <row r="7" spans="1:15" ht="12" customHeight="1">
      <c r="A7" s="49" t="s">
        <v>44</v>
      </c>
      <c r="B7" s="323" t="s">
        <v>183</v>
      </c>
      <c r="C7" s="323"/>
      <c r="D7" s="323"/>
      <c r="E7" s="323"/>
      <c r="F7" s="323"/>
      <c r="G7" s="323"/>
      <c r="H7" s="323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8"/>
      <c r="G22" s="329"/>
      <c r="H22" s="93"/>
      <c r="I22" s="328" t="s">
        <v>52</v>
      </c>
      <c r="J22" s="329"/>
      <c r="K22" s="94"/>
    </row>
    <row r="23" spans="1:16" ht="12" customHeight="1">
      <c r="A23" s="56" t="s">
        <v>44</v>
      </c>
      <c r="B23" s="325"/>
      <c r="C23" s="330"/>
      <c r="D23" s="331"/>
      <c r="E23" s="331"/>
      <c r="F23" s="331"/>
      <c r="G23" s="332"/>
      <c r="H23" s="95"/>
      <c r="I23" s="331"/>
      <c r="J23" s="332"/>
      <c r="K23" s="94"/>
    </row>
    <row r="24" spans="1:16" ht="24" customHeight="1">
      <c r="A24" s="56" t="s">
        <v>44</v>
      </c>
      <c r="B24" s="326"/>
      <c r="C24" s="333"/>
      <c r="D24" s="334"/>
      <c r="E24" s="334"/>
      <c r="F24" s="334"/>
      <c r="G24" s="335"/>
      <c r="H24" s="96"/>
      <c r="I24" s="334"/>
      <c r="J24" s="335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36" t="s">
        <v>202</v>
      </c>
      <c r="D29" s="337"/>
      <c r="E29" s="337"/>
      <c r="F29" s="337"/>
      <c r="G29" s="338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9" t="s">
        <v>54</v>
      </c>
      <c r="D30" s="336" t="s">
        <v>5</v>
      </c>
      <c r="E30" s="337"/>
      <c r="F30" s="337"/>
      <c r="G30" s="338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40"/>
      <c r="D31" s="342" t="s">
        <v>55</v>
      </c>
      <c r="E31" s="345" t="s">
        <v>56</v>
      </c>
      <c r="F31" s="346"/>
      <c r="G31" s="347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40"/>
      <c r="D32" s="343"/>
      <c r="E32" s="345" t="s">
        <v>57</v>
      </c>
      <c r="F32" s="346"/>
      <c r="G32" s="347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40"/>
      <c r="D33" s="343"/>
      <c r="E33" s="348" t="s">
        <v>58</v>
      </c>
      <c r="F33" s="349"/>
      <c r="G33" s="350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1"/>
      <c r="D34" s="344"/>
      <c r="E34" s="352" t="s">
        <v>170</v>
      </c>
      <c r="F34" s="352"/>
      <c r="G34" s="352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9" t="s">
        <v>171</v>
      </c>
      <c r="D35" s="336" t="s">
        <v>5</v>
      </c>
      <c r="E35" s="353"/>
      <c r="F35" s="353"/>
      <c r="G35" s="354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40"/>
      <c r="D36" s="342" t="s">
        <v>55</v>
      </c>
      <c r="E36" s="355" t="s">
        <v>172</v>
      </c>
      <c r="F36" s="356"/>
      <c r="G36" s="357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1"/>
      <c r="D37" s="351"/>
      <c r="E37" s="355" t="s">
        <v>173</v>
      </c>
      <c r="F37" s="356"/>
      <c r="G37" s="357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36" t="s">
        <v>203</v>
      </c>
      <c r="D38" s="337"/>
      <c r="E38" s="337"/>
      <c r="F38" s="337"/>
      <c r="G38" s="338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9" t="s">
        <v>186</v>
      </c>
      <c r="D39" s="336" t="s">
        <v>5</v>
      </c>
      <c r="E39" s="337"/>
      <c r="F39" s="337"/>
      <c r="G39" s="338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40"/>
      <c r="D40" s="342" t="s">
        <v>55</v>
      </c>
      <c r="E40" s="345" t="s">
        <v>128</v>
      </c>
      <c r="F40" s="346"/>
      <c r="G40" s="347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1"/>
      <c r="D41" s="351"/>
      <c r="E41" s="345" t="s">
        <v>129</v>
      </c>
      <c r="F41" s="346"/>
      <c r="G41" s="347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9" t="s">
        <v>204</v>
      </c>
      <c r="D42" s="336" t="s">
        <v>5</v>
      </c>
      <c r="E42" s="337"/>
      <c r="F42" s="337"/>
      <c r="G42" s="338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40"/>
      <c r="D43" s="342" t="s">
        <v>55</v>
      </c>
      <c r="E43" s="345" t="s">
        <v>128</v>
      </c>
      <c r="F43" s="346"/>
      <c r="G43" s="347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1"/>
      <c r="D44" s="351"/>
      <c r="E44" s="345" t="s">
        <v>129</v>
      </c>
      <c r="F44" s="346"/>
      <c r="G44" s="347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9" t="s">
        <v>62</v>
      </c>
      <c r="D45" s="336" t="s">
        <v>5</v>
      </c>
      <c r="E45" s="337"/>
      <c r="F45" s="337"/>
      <c r="G45" s="338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40"/>
      <c r="D46" s="342" t="s">
        <v>55</v>
      </c>
      <c r="E46" s="345" t="s">
        <v>63</v>
      </c>
      <c r="F46" s="346"/>
      <c r="G46" s="347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1"/>
      <c r="D47" s="351"/>
      <c r="E47" s="345" t="s">
        <v>64</v>
      </c>
      <c r="F47" s="346"/>
      <c r="G47" s="347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9" t="s">
        <v>205</v>
      </c>
      <c r="D48" s="336" t="s">
        <v>5</v>
      </c>
      <c r="E48" s="337"/>
      <c r="F48" s="337"/>
      <c r="G48" s="338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40"/>
      <c r="D49" s="103" t="s">
        <v>55</v>
      </c>
      <c r="E49" s="358" t="s">
        <v>44</v>
      </c>
      <c r="F49" s="359"/>
      <c r="G49" s="359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45" t="s">
        <v>206</v>
      </c>
      <c r="F50" s="346"/>
      <c r="G50" s="347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45" t="s">
        <v>44</v>
      </c>
      <c r="F51" s="346"/>
      <c r="G51" s="347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9" t="s">
        <v>102</v>
      </c>
      <c r="D52" s="336" t="s">
        <v>5</v>
      </c>
      <c r="E52" s="337"/>
      <c r="F52" s="337"/>
      <c r="G52" s="338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40"/>
      <c r="D53" s="66" t="s">
        <v>55</v>
      </c>
      <c r="E53" s="345" t="s">
        <v>13</v>
      </c>
      <c r="F53" s="346"/>
      <c r="G53" s="347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45" t="s">
        <v>207</v>
      </c>
      <c r="F54" s="346"/>
      <c r="G54" s="347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9" t="s">
        <v>16</v>
      </c>
      <c r="D55" s="336" t="s">
        <v>5</v>
      </c>
      <c r="E55" s="337"/>
      <c r="F55" s="337"/>
      <c r="G55" s="338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40"/>
      <c r="D56" s="66" t="s">
        <v>55</v>
      </c>
      <c r="E56" s="345" t="s">
        <v>146</v>
      </c>
      <c r="F56" s="346"/>
      <c r="G56" s="347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40"/>
      <c r="D57" s="67" t="s">
        <v>44</v>
      </c>
      <c r="E57" s="345" t="s">
        <v>147</v>
      </c>
      <c r="F57" s="346"/>
      <c r="G57" s="347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45" t="s">
        <v>148</v>
      </c>
      <c r="F58" s="346"/>
      <c r="G58" s="347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45" t="s">
        <v>44</v>
      </c>
      <c r="F59" s="346"/>
      <c r="G59" s="347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9" t="s">
        <v>190</v>
      </c>
      <c r="D60" s="336" t="s">
        <v>5</v>
      </c>
      <c r="E60" s="337"/>
      <c r="F60" s="337"/>
      <c r="G60" s="338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40"/>
      <c r="D61" s="66" t="s">
        <v>55</v>
      </c>
      <c r="E61" s="345" t="s">
        <v>128</v>
      </c>
      <c r="F61" s="346"/>
      <c r="G61" s="347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40"/>
      <c r="D62" s="67" t="s">
        <v>44</v>
      </c>
      <c r="E62" s="345" t="s">
        <v>154</v>
      </c>
      <c r="F62" s="346"/>
      <c r="G62" s="347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45" t="s">
        <v>208</v>
      </c>
      <c r="F63" s="346"/>
      <c r="G63" s="347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45" t="s">
        <v>44</v>
      </c>
      <c r="F64" s="346"/>
      <c r="G64" s="347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9" t="s">
        <v>14</v>
      </c>
      <c r="D65" s="336" t="s">
        <v>5</v>
      </c>
      <c r="E65" s="337"/>
      <c r="F65" s="337"/>
      <c r="G65" s="338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40"/>
      <c r="D66" s="66" t="s">
        <v>55</v>
      </c>
      <c r="E66" s="103" t="s">
        <v>209</v>
      </c>
      <c r="F66" s="336" t="s">
        <v>5</v>
      </c>
      <c r="G66" s="338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40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36" t="s">
        <v>5</v>
      </c>
      <c r="G70" s="338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36" t="s">
        <v>5</v>
      </c>
      <c r="G76" s="338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60" t="s">
        <v>216</v>
      </c>
      <c r="F80" s="336" t="s">
        <v>5</v>
      </c>
      <c r="G80" s="338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61"/>
      <c r="F81" s="66" t="s">
        <v>55</v>
      </c>
      <c r="G81" s="362" t="s">
        <v>136</v>
      </c>
      <c r="H81" s="363"/>
      <c r="I81" s="364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60" t="s">
        <v>44</v>
      </c>
      <c r="F84" s="336" t="s">
        <v>5</v>
      </c>
      <c r="G84" s="338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61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9" t="s">
        <v>144</v>
      </c>
      <c r="D87" s="336" t="s">
        <v>5</v>
      </c>
      <c r="E87" s="337"/>
      <c r="F87" s="337"/>
      <c r="G87" s="338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40"/>
      <c r="D88" s="66" t="s">
        <v>55</v>
      </c>
      <c r="E88" s="358" t="s">
        <v>44</v>
      </c>
      <c r="F88" s="359"/>
      <c r="G88" s="359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45" t="s">
        <v>44</v>
      </c>
      <c r="F89" s="346"/>
      <c r="G89" s="347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45" t="s">
        <v>44</v>
      </c>
      <c r="F90" s="346"/>
      <c r="G90" s="347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9" t="s">
        <v>189</v>
      </c>
      <c r="D91" s="336" t="s">
        <v>5</v>
      </c>
      <c r="E91" s="337"/>
      <c r="F91" s="337"/>
      <c r="G91" s="338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40"/>
      <c r="D92" s="66" t="s">
        <v>55</v>
      </c>
      <c r="E92" s="358" t="s">
        <v>44</v>
      </c>
      <c r="F92" s="359"/>
      <c r="G92" s="359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45" t="s">
        <v>44</v>
      </c>
      <c r="F93" s="346"/>
      <c r="G93" s="347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45" t="s">
        <v>44</v>
      </c>
      <c r="F94" s="346"/>
      <c r="G94" s="347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9" t="s">
        <v>137</v>
      </c>
      <c r="D95" s="336" t="s">
        <v>5</v>
      </c>
      <c r="E95" s="337"/>
      <c r="F95" s="337"/>
      <c r="G95" s="338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40"/>
      <c r="D96" s="66" t="s">
        <v>55</v>
      </c>
      <c r="E96" s="358" t="s">
        <v>44</v>
      </c>
      <c r="F96" s="359"/>
      <c r="G96" s="359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45" t="s">
        <v>217</v>
      </c>
      <c r="F97" s="346"/>
      <c r="G97" s="347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45" t="s">
        <v>218</v>
      </c>
      <c r="F98" s="346"/>
      <c r="G98" s="347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45"/>
      <c r="F99" s="346"/>
      <c r="G99" s="347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45" t="s">
        <v>44</v>
      </c>
      <c r="F100" s="346"/>
      <c r="G100" s="347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9" t="s">
        <v>17</v>
      </c>
      <c r="D101" s="336" t="s">
        <v>5</v>
      </c>
      <c r="E101" s="337"/>
      <c r="F101" s="337"/>
      <c r="G101" s="338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40"/>
      <c r="D102" s="66" t="s">
        <v>55</v>
      </c>
      <c r="E102" s="355" t="s">
        <v>219</v>
      </c>
      <c r="F102" s="356"/>
      <c r="G102" s="357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40"/>
      <c r="D103" s="67" t="s">
        <v>44</v>
      </c>
      <c r="E103" s="355" t="s">
        <v>220</v>
      </c>
      <c r="F103" s="356"/>
      <c r="G103" s="357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55" t="s">
        <v>221</v>
      </c>
      <c r="F104" s="356"/>
      <c r="G104" s="357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36" t="s">
        <v>7</v>
      </c>
      <c r="D105" s="337"/>
      <c r="E105" s="337"/>
      <c r="F105" s="337"/>
      <c r="G105" s="338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36" t="s">
        <v>222</v>
      </c>
      <c r="D106" s="337"/>
      <c r="E106" s="337"/>
      <c r="F106" s="337"/>
      <c r="G106" s="338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9" t="s">
        <v>223</v>
      </c>
      <c r="D107" s="336" t="s">
        <v>5</v>
      </c>
      <c r="E107" s="337"/>
      <c r="F107" s="337"/>
      <c r="G107" s="338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40"/>
      <c r="D108" s="66" t="s">
        <v>55</v>
      </c>
      <c r="E108" s="355" t="s">
        <v>224</v>
      </c>
      <c r="F108" s="356"/>
      <c r="G108" s="357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45" t="s">
        <v>225</v>
      </c>
      <c r="F109" s="346"/>
      <c r="G109" s="347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45" t="s">
        <v>44</v>
      </c>
      <c r="F110" s="346"/>
      <c r="G110" s="347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9" t="s">
        <v>192</v>
      </c>
      <c r="D111" s="336" t="s">
        <v>5</v>
      </c>
      <c r="E111" s="337"/>
      <c r="F111" s="337"/>
      <c r="G111" s="338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40"/>
      <c r="D112" s="66" t="s">
        <v>55</v>
      </c>
      <c r="E112" s="355" t="s">
        <v>226</v>
      </c>
      <c r="F112" s="356"/>
      <c r="G112" s="357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45" t="s">
        <v>44</v>
      </c>
      <c r="F113" s="346"/>
      <c r="G113" s="347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9" t="s">
        <v>191</v>
      </c>
      <c r="D114" s="336" t="s">
        <v>5</v>
      </c>
      <c r="E114" s="337"/>
      <c r="F114" s="337"/>
      <c r="G114" s="338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40"/>
      <c r="D115" s="66" t="s">
        <v>55</v>
      </c>
      <c r="E115" s="358" t="s">
        <v>44</v>
      </c>
      <c r="F115" s="359"/>
      <c r="G115" s="359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45" t="s">
        <v>44</v>
      </c>
      <c r="F116" s="346"/>
      <c r="G116" s="347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45" t="s">
        <v>44</v>
      </c>
      <c r="F117" s="346"/>
      <c r="G117" s="347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9" t="s">
        <v>149</v>
      </c>
      <c r="D118" s="336" t="s">
        <v>5</v>
      </c>
      <c r="E118" s="337"/>
      <c r="F118" s="337"/>
      <c r="G118" s="338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40"/>
      <c r="D119" s="66" t="s">
        <v>55</v>
      </c>
      <c r="E119" s="355" t="s">
        <v>227</v>
      </c>
      <c r="F119" s="356"/>
      <c r="G119" s="357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55" t="s">
        <v>228</v>
      </c>
      <c r="F120" s="356"/>
      <c r="G120" s="357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55" t="s">
        <v>229</v>
      </c>
      <c r="F121" s="356"/>
      <c r="G121" s="357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45" t="s">
        <v>44</v>
      </c>
      <c r="F122" s="346"/>
      <c r="G122" s="347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9" t="s">
        <v>230</v>
      </c>
      <c r="D123" s="336" t="s">
        <v>5</v>
      </c>
      <c r="E123" s="337"/>
      <c r="F123" s="337"/>
      <c r="G123" s="338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40"/>
      <c r="D124" s="66" t="s">
        <v>55</v>
      </c>
      <c r="E124" s="342" t="s">
        <v>231</v>
      </c>
      <c r="F124" s="336" t="s">
        <v>5</v>
      </c>
      <c r="G124" s="338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40"/>
      <c r="D125" s="67" t="s">
        <v>44</v>
      </c>
      <c r="E125" s="343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40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55" t="s">
        <v>234</v>
      </c>
      <c r="F129" s="356"/>
      <c r="G129" s="357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45" t="s">
        <v>44</v>
      </c>
      <c r="F130" s="346"/>
      <c r="G130" s="347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9" t="s">
        <v>175</v>
      </c>
      <c r="D131" s="336" t="s">
        <v>5</v>
      </c>
      <c r="E131" s="337"/>
      <c r="F131" s="337"/>
      <c r="G131" s="338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40"/>
      <c r="D132" s="66" t="s">
        <v>55</v>
      </c>
      <c r="E132" s="355" t="s">
        <v>91</v>
      </c>
      <c r="F132" s="356"/>
      <c r="G132" s="357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40"/>
      <c r="D133" s="67" t="s">
        <v>44</v>
      </c>
      <c r="E133" s="355" t="s">
        <v>235</v>
      </c>
      <c r="F133" s="356"/>
      <c r="G133" s="357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55" t="s">
        <v>11</v>
      </c>
      <c r="F134" s="356"/>
      <c r="G134" s="357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55" t="s">
        <v>9</v>
      </c>
      <c r="F135" s="356"/>
      <c r="G135" s="357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52" t="s">
        <v>236</v>
      </c>
      <c r="F136" s="352"/>
      <c r="G136" s="352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65" t="s">
        <v>44</v>
      </c>
      <c r="F137" s="366"/>
      <c r="G137" s="367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9" t="s">
        <v>237</v>
      </c>
      <c r="D138" s="336" t="s">
        <v>5</v>
      </c>
      <c r="E138" s="337"/>
      <c r="F138" s="337"/>
      <c r="G138" s="338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40"/>
      <c r="D139" s="66" t="s">
        <v>55</v>
      </c>
      <c r="E139" s="355" t="s">
        <v>19</v>
      </c>
      <c r="F139" s="356"/>
      <c r="G139" s="357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36" t="s">
        <v>5</v>
      </c>
      <c r="G140" s="338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72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73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36" t="s">
        <v>5</v>
      </c>
      <c r="G144" s="338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72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73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9" t="s">
        <v>239</v>
      </c>
      <c r="D149" s="336" t="s">
        <v>5</v>
      </c>
      <c r="E149" s="337"/>
      <c r="F149" s="337"/>
      <c r="G149" s="338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40"/>
      <c r="D150" s="66" t="s">
        <v>55</v>
      </c>
      <c r="E150" s="358" t="s">
        <v>44</v>
      </c>
      <c r="F150" s="359"/>
      <c r="G150" s="359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45" t="s">
        <v>44</v>
      </c>
      <c r="F151" s="346"/>
      <c r="G151" s="347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68" t="s">
        <v>240</v>
      </c>
      <c r="D152" s="336" t="s">
        <v>5</v>
      </c>
      <c r="E152" s="337"/>
      <c r="F152" s="337"/>
      <c r="G152" s="338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68"/>
      <c r="D153" s="66" t="s">
        <v>55</v>
      </c>
      <c r="E153" s="369" t="s">
        <v>241</v>
      </c>
      <c r="F153" s="370"/>
      <c r="G153" s="371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52" t="s">
        <v>198</v>
      </c>
      <c r="F154" s="352"/>
      <c r="G154" s="352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B1:J1"/>
    <mergeCell ref="B3:J3"/>
    <mergeCell ref="B4:J4"/>
    <mergeCell ref="B5:J5"/>
    <mergeCell ref="B6:J6"/>
    <mergeCell ref="B7:H7"/>
    <mergeCell ref="B22:B24"/>
    <mergeCell ref="C22:G24"/>
    <mergeCell ref="I22:J24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20" t="s">
        <v>167</v>
      </c>
      <c r="C3" s="320"/>
      <c r="D3" s="320"/>
      <c r="E3" s="320"/>
      <c r="F3" s="320"/>
      <c r="G3" s="320"/>
      <c r="H3" s="320"/>
      <c r="L3" s="51"/>
    </row>
    <row r="4" spans="1:13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74" t="s">
        <v>0</v>
      </c>
      <c r="C19" s="327" t="s">
        <v>51</v>
      </c>
      <c r="D19" s="328"/>
      <c r="E19" s="328"/>
      <c r="F19" s="328"/>
      <c r="G19" s="329"/>
      <c r="H19" s="55"/>
    </row>
    <row r="20" spans="1:13" ht="12" customHeight="1">
      <c r="A20" s="56" t="s">
        <v>44</v>
      </c>
      <c r="B20" s="325"/>
      <c r="C20" s="330"/>
      <c r="D20" s="331"/>
      <c r="E20" s="331"/>
      <c r="F20" s="331"/>
      <c r="G20" s="332"/>
      <c r="H20" s="55"/>
    </row>
    <row r="21" spans="1:13" ht="24" customHeight="1">
      <c r="A21" s="56" t="s">
        <v>44</v>
      </c>
      <c r="B21" s="326"/>
      <c r="C21" s="333"/>
      <c r="D21" s="334"/>
      <c r="E21" s="334"/>
      <c r="F21" s="334"/>
      <c r="G21" s="335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75">
        <v>2</v>
      </c>
      <c r="D25" s="376"/>
      <c r="E25" s="57">
        <v>3</v>
      </c>
      <c r="F25" s="375">
        <v>4</v>
      </c>
      <c r="G25" s="376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7" t="s">
        <v>54</v>
      </c>
      <c r="D29" s="378"/>
      <c r="E29" s="336" t="s">
        <v>5</v>
      </c>
      <c r="F29" s="337"/>
      <c r="G29" s="338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9"/>
      <c r="D30" s="380"/>
      <c r="E30" s="66" t="s">
        <v>55</v>
      </c>
      <c r="F30" s="355" t="s">
        <v>56</v>
      </c>
      <c r="G30" s="357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9"/>
      <c r="D31" s="380"/>
      <c r="E31" s="67" t="s">
        <v>44</v>
      </c>
      <c r="F31" s="355" t="s">
        <v>57</v>
      </c>
      <c r="G31" s="357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9"/>
      <c r="D32" s="380"/>
      <c r="E32" s="67" t="s">
        <v>44</v>
      </c>
      <c r="F32" s="355" t="s">
        <v>58</v>
      </c>
      <c r="G32" s="357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45" t="s">
        <v>170</v>
      </c>
      <c r="G33" s="347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45" t="s">
        <v>44</v>
      </c>
      <c r="G34" s="347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7" t="s">
        <v>171</v>
      </c>
      <c r="D35" s="378"/>
      <c r="E35" s="336" t="s">
        <v>5</v>
      </c>
      <c r="F35" s="337"/>
      <c r="G35" s="338"/>
      <c r="H35" s="64"/>
      <c r="I35" s="49"/>
    </row>
    <row r="36" spans="1:13" ht="12" customHeight="1">
      <c r="A36" s="56" t="s">
        <v>44</v>
      </c>
      <c r="B36" s="58">
        <v>9</v>
      </c>
      <c r="C36" s="379"/>
      <c r="D36" s="380"/>
      <c r="E36" s="372" t="s">
        <v>55</v>
      </c>
      <c r="F36" s="355" t="s">
        <v>172</v>
      </c>
      <c r="G36" s="357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1"/>
      <c r="D37" s="382"/>
      <c r="E37" s="373"/>
      <c r="F37" s="355" t="s">
        <v>173</v>
      </c>
      <c r="G37" s="357"/>
      <c r="H37" s="64"/>
      <c r="I37" s="49"/>
    </row>
    <row r="38" spans="1:13" ht="12" customHeight="1">
      <c r="A38" s="56" t="s">
        <v>44</v>
      </c>
      <c r="B38" s="58">
        <v>11</v>
      </c>
      <c r="C38" s="377" t="s">
        <v>174</v>
      </c>
      <c r="D38" s="378"/>
      <c r="E38" s="336" t="s">
        <v>5</v>
      </c>
      <c r="F38" s="337"/>
      <c r="G38" s="338"/>
      <c r="H38" s="64"/>
      <c r="I38" s="49"/>
    </row>
    <row r="39" spans="1:13" ht="12" customHeight="1">
      <c r="A39" s="56" t="s">
        <v>44</v>
      </c>
      <c r="B39" s="58">
        <v>12</v>
      </c>
      <c r="C39" s="379"/>
      <c r="D39" s="380"/>
      <c r="E39" s="66" t="s">
        <v>55</v>
      </c>
      <c r="F39" s="383" t="s">
        <v>44</v>
      </c>
      <c r="G39" s="384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45" t="s">
        <v>44</v>
      </c>
      <c r="G40" s="347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7" t="s">
        <v>175</v>
      </c>
      <c r="D41" s="378"/>
      <c r="E41" s="336" t="s">
        <v>5</v>
      </c>
      <c r="F41" s="337"/>
      <c r="G41" s="338"/>
      <c r="H41" s="64"/>
      <c r="I41" s="49"/>
    </row>
    <row r="42" spans="1:13" ht="12" customHeight="1">
      <c r="A42" s="56" t="s">
        <v>44</v>
      </c>
      <c r="B42" s="58">
        <v>15</v>
      </c>
      <c r="C42" s="379"/>
      <c r="D42" s="380"/>
      <c r="E42" s="66" t="s">
        <v>55</v>
      </c>
      <c r="F42" s="355" t="s">
        <v>91</v>
      </c>
      <c r="G42" s="357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45" t="s">
        <v>176</v>
      </c>
      <c r="G43" s="347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45" t="s">
        <v>44</v>
      </c>
      <c r="G44" s="347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7" t="s">
        <v>177</v>
      </c>
      <c r="D45" s="378"/>
      <c r="E45" s="336" t="s">
        <v>5</v>
      </c>
      <c r="F45" s="337"/>
      <c r="G45" s="338"/>
      <c r="H45" s="64"/>
      <c r="I45" s="49"/>
    </row>
    <row r="46" spans="1:13" ht="12" customHeight="1">
      <c r="A46" s="56" t="s">
        <v>44</v>
      </c>
      <c r="B46" s="58">
        <v>19</v>
      </c>
      <c r="C46" s="379"/>
      <c r="D46" s="380"/>
      <c r="E46" s="66" t="s">
        <v>55</v>
      </c>
      <c r="F46" s="383" t="s">
        <v>44</v>
      </c>
      <c r="G46" s="384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45"/>
      <c r="G47" s="347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45" t="s">
        <v>178</v>
      </c>
      <c r="G48" s="347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45" t="s">
        <v>8</v>
      </c>
      <c r="G49" s="347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36" t="s">
        <v>179</v>
      </c>
      <c r="D50" s="337"/>
      <c r="E50" s="337"/>
      <c r="F50" s="337"/>
      <c r="G50" s="338"/>
      <c r="H50" s="64"/>
      <c r="I50" s="49"/>
    </row>
    <row r="51" spans="1:13" ht="12" customHeight="1">
      <c r="A51" s="56" t="s">
        <v>44</v>
      </c>
      <c r="B51" s="58">
        <v>25</v>
      </c>
      <c r="C51" s="336" t="s">
        <v>180</v>
      </c>
      <c r="D51" s="337"/>
      <c r="E51" s="337"/>
      <c r="F51" s="337"/>
      <c r="G51" s="338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7" t="s">
        <v>54</v>
      </c>
      <c r="D53" s="378"/>
      <c r="E53" s="336" t="s">
        <v>5</v>
      </c>
      <c r="F53" s="337"/>
      <c r="G53" s="338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9"/>
      <c r="D54" s="380"/>
      <c r="E54" s="66" t="s">
        <v>55</v>
      </c>
      <c r="F54" s="355" t="s">
        <v>56</v>
      </c>
      <c r="G54" s="357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9"/>
      <c r="D55" s="380"/>
      <c r="E55" s="67" t="s">
        <v>44</v>
      </c>
      <c r="F55" s="355" t="s">
        <v>57</v>
      </c>
      <c r="G55" s="357"/>
      <c r="H55" s="64"/>
      <c r="I55" s="49"/>
    </row>
    <row r="56" spans="1:13" ht="12" customHeight="1">
      <c r="A56" s="56" t="s">
        <v>44</v>
      </c>
      <c r="B56" s="58">
        <v>5</v>
      </c>
      <c r="C56" s="379"/>
      <c r="D56" s="380"/>
      <c r="E56" s="67" t="s">
        <v>44</v>
      </c>
      <c r="F56" s="355" t="s">
        <v>58</v>
      </c>
      <c r="G56" s="357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45" t="s">
        <v>170</v>
      </c>
      <c r="G57" s="347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45" t="s">
        <v>44</v>
      </c>
      <c r="G58" s="347"/>
      <c r="H58" s="64"/>
      <c r="I58" s="49"/>
    </row>
    <row r="59" spans="1:13" ht="12" customHeight="1">
      <c r="A59" s="56" t="s">
        <v>44</v>
      </c>
      <c r="B59" s="58">
        <v>8</v>
      </c>
      <c r="C59" s="377" t="s">
        <v>171</v>
      </c>
      <c r="D59" s="378"/>
      <c r="E59" s="336" t="s">
        <v>5</v>
      </c>
      <c r="F59" s="337"/>
      <c r="G59" s="338"/>
      <c r="H59" s="64"/>
      <c r="I59" s="49"/>
    </row>
    <row r="60" spans="1:13" ht="12" customHeight="1">
      <c r="A60" s="56" t="s">
        <v>44</v>
      </c>
      <c r="B60" s="58">
        <v>9</v>
      </c>
      <c r="C60" s="379"/>
      <c r="D60" s="380"/>
      <c r="E60" s="372" t="s">
        <v>55</v>
      </c>
      <c r="F60" s="355" t="s">
        <v>172</v>
      </c>
      <c r="G60" s="357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1"/>
      <c r="D61" s="382"/>
      <c r="E61" s="373"/>
      <c r="F61" s="355" t="s">
        <v>173</v>
      </c>
      <c r="G61" s="357"/>
      <c r="H61" s="64"/>
      <c r="I61" s="49"/>
    </row>
    <row r="62" spans="1:13" ht="12" customHeight="1">
      <c r="A62" s="56" t="s">
        <v>44</v>
      </c>
      <c r="B62" s="58">
        <v>11</v>
      </c>
      <c r="C62" s="377" t="s">
        <v>174</v>
      </c>
      <c r="D62" s="378"/>
      <c r="E62" s="336" t="s">
        <v>5</v>
      </c>
      <c r="F62" s="337"/>
      <c r="G62" s="338"/>
      <c r="H62" s="64"/>
      <c r="I62" s="49"/>
    </row>
    <row r="63" spans="1:13" ht="12" customHeight="1">
      <c r="A63" s="56" t="s">
        <v>44</v>
      </c>
      <c r="B63" s="58">
        <v>12</v>
      </c>
      <c r="C63" s="379"/>
      <c r="D63" s="380"/>
      <c r="E63" s="66" t="s">
        <v>55</v>
      </c>
      <c r="F63" s="383" t="s">
        <v>44</v>
      </c>
      <c r="G63" s="384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45" t="s">
        <v>44</v>
      </c>
      <c r="G64" s="347"/>
      <c r="H64" s="64"/>
      <c r="I64" s="49"/>
    </row>
    <row r="65" spans="1:13" ht="12" customHeight="1">
      <c r="A65" s="56" t="s">
        <v>44</v>
      </c>
      <c r="B65" s="58">
        <v>14</v>
      </c>
      <c r="C65" s="377" t="s">
        <v>175</v>
      </c>
      <c r="D65" s="378"/>
      <c r="E65" s="336" t="s">
        <v>5</v>
      </c>
      <c r="F65" s="337"/>
      <c r="G65" s="338"/>
      <c r="H65" s="64"/>
      <c r="I65" s="49"/>
    </row>
    <row r="66" spans="1:13" ht="12" customHeight="1">
      <c r="A66" s="56" t="s">
        <v>44</v>
      </c>
      <c r="B66" s="58">
        <v>15</v>
      </c>
      <c r="C66" s="379"/>
      <c r="D66" s="380"/>
      <c r="E66" s="66" t="s">
        <v>55</v>
      </c>
      <c r="F66" s="355" t="s">
        <v>91</v>
      </c>
      <c r="G66" s="357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45" t="s">
        <v>176</v>
      </c>
      <c r="G67" s="347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45" t="s">
        <v>44</v>
      </c>
      <c r="G68" s="347"/>
      <c r="H68" s="64"/>
      <c r="I68" s="49"/>
    </row>
    <row r="69" spans="1:13" ht="12" customHeight="1">
      <c r="A69" s="56" t="s">
        <v>44</v>
      </c>
      <c r="B69" s="58">
        <v>18</v>
      </c>
      <c r="C69" s="377" t="s">
        <v>177</v>
      </c>
      <c r="D69" s="378"/>
      <c r="E69" s="336" t="s">
        <v>5</v>
      </c>
      <c r="F69" s="337"/>
      <c r="G69" s="338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9"/>
      <c r="D70" s="380"/>
      <c r="E70" s="66" t="s">
        <v>55</v>
      </c>
      <c r="F70" s="383" t="s">
        <v>44</v>
      </c>
      <c r="G70" s="384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45"/>
      <c r="G71" s="347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45" t="s">
        <v>178</v>
      </c>
      <c r="G72" s="347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45" t="s">
        <v>8</v>
      </c>
      <c r="G73" s="347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36" t="s">
        <v>179</v>
      </c>
      <c r="D74" s="337"/>
      <c r="E74" s="337"/>
      <c r="F74" s="337"/>
      <c r="G74" s="338"/>
      <c r="H74" s="64"/>
      <c r="I74" s="49"/>
      <c r="J74" s="49"/>
      <c r="K74" s="49"/>
      <c r="L74" s="51"/>
    </row>
    <row r="75" spans="1:13" ht="15" customHeight="1">
      <c r="B75" s="58">
        <v>25</v>
      </c>
      <c r="C75" s="336" t="s">
        <v>180</v>
      </c>
      <c r="D75" s="337"/>
      <c r="E75" s="337"/>
      <c r="F75" s="337"/>
      <c r="G75" s="338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7" t="s">
        <v>54</v>
      </c>
      <c r="D77" s="378"/>
      <c r="E77" s="336" t="s">
        <v>5</v>
      </c>
      <c r="F77" s="337"/>
      <c r="G77" s="338"/>
      <c r="H77" s="64"/>
      <c r="M77" s="53" t="e">
        <f>H76-M76</f>
        <v>#REF!</v>
      </c>
    </row>
    <row r="78" spans="1:13" ht="15.75" customHeight="1">
      <c r="B78" s="58">
        <v>3</v>
      </c>
      <c r="C78" s="379"/>
      <c r="D78" s="380"/>
      <c r="E78" s="66" t="s">
        <v>55</v>
      </c>
      <c r="F78" s="355" t="s">
        <v>56</v>
      </c>
      <c r="G78" s="357"/>
      <c r="H78" s="64" t="e">
        <f>#REF!</f>
        <v>#REF!</v>
      </c>
    </row>
    <row r="79" spans="1:13" ht="15.75" customHeight="1">
      <c r="B79" s="58">
        <v>4</v>
      </c>
      <c r="C79" s="379"/>
      <c r="D79" s="380"/>
      <c r="E79" s="67" t="s">
        <v>44</v>
      </c>
      <c r="F79" s="355" t="s">
        <v>57</v>
      </c>
      <c r="G79" s="357"/>
      <c r="H79" s="64"/>
    </row>
    <row r="80" spans="1:13" ht="15.75" customHeight="1">
      <c r="B80" s="58">
        <v>5</v>
      </c>
      <c r="C80" s="379"/>
      <c r="D80" s="380"/>
      <c r="E80" s="67" t="s">
        <v>44</v>
      </c>
      <c r="F80" s="355" t="s">
        <v>58</v>
      </c>
      <c r="G80" s="357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45" t="s">
        <v>170</v>
      </c>
      <c r="G81" s="347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45" t="s">
        <v>44</v>
      </c>
      <c r="G82" s="347"/>
      <c r="H82" s="64"/>
    </row>
    <row r="83" spans="2:8" ht="15.75" customHeight="1">
      <c r="B83" s="58">
        <v>8</v>
      </c>
      <c r="C83" s="377" t="s">
        <v>171</v>
      </c>
      <c r="D83" s="378"/>
      <c r="E83" s="336" t="s">
        <v>5</v>
      </c>
      <c r="F83" s="337"/>
      <c r="G83" s="338"/>
      <c r="H83" s="64"/>
    </row>
    <row r="84" spans="2:8" ht="15.75" customHeight="1">
      <c r="B84" s="58">
        <v>9</v>
      </c>
      <c r="C84" s="379"/>
      <c r="D84" s="380"/>
      <c r="E84" s="372" t="s">
        <v>55</v>
      </c>
      <c r="F84" s="355" t="s">
        <v>172</v>
      </c>
      <c r="G84" s="357"/>
      <c r="H84" s="64" t="e">
        <f>#REF!</f>
        <v>#REF!</v>
      </c>
    </row>
    <row r="85" spans="2:8" ht="15.75" customHeight="1">
      <c r="B85" s="58">
        <v>10</v>
      </c>
      <c r="C85" s="381"/>
      <c r="D85" s="382"/>
      <c r="E85" s="373"/>
      <c r="F85" s="355" t="s">
        <v>173</v>
      </c>
      <c r="G85" s="357"/>
      <c r="H85" s="64"/>
    </row>
    <row r="86" spans="2:8" ht="15.75" customHeight="1">
      <c r="B86" s="58">
        <v>11</v>
      </c>
      <c r="C86" s="377" t="s">
        <v>174</v>
      </c>
      <c r="D86" s="378"/>
      <c r="E86" s="336" t="s">
        <v>5</v>
      </c>
      <c r="F86" s="337"/>
      <c r="G86" s="338"/>
      <c r="H86" s="64"/>
    </row>
    <row r="87" spans="2:8" ht="15.75" customHeight="1">
      <c r="B87" s="58">
        <v>12</v>
      </c>
      <c r="C87" s="379"/>
      <c r="D87" s="380"/>
      <c r="E87" s="66" t="s">
        <v>55</v>
      </c>
      <c r="F87" s="383" t="s">
        <v>44</v>
      </c>
      <c r="G87" s="384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45" t="s">
        <v>44</v>
      </c>
      <c r="G88" s="347"/>
      <c r="H88" s="64"/>
    </row>
    <row r="89" spans="2:8" ht="15.75" customHeight="1">
      <c r="B89" s="58">
        <v>14</v>
      </c>
      <c r="C89" s="377" t="s">
        <v>175</v>
      </c>
      <c r="D89" s="378"/>
      <c r="E89" s="336" t="s">
        <v>5</v>
      </c>
      <c r="F89" s="337"/>
      <c r="G89" s="338"/>
      <c r="H89" s="64"/>
    </row>
    <row r="90" spans="2:8" ht="15.75" customHeight="1">
      <c r="B90" s="58">
        <v>15</v>
      </c>
      <c r="C90" s="379"/>
      <c r="D90" s="380"/>
      <c r="E90" s="66" t="s">
        <v>55</v>
      </c>
      <c r="F90" s="355" t="s">
        <v>91</v>
      </c>
      <c r="G90" s="357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45" t="s">
        <v>176</v>
      </c>
      <c r="G91" s="347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45" t="s">
        <v>44</v>
      </c>
      <c r="G92" s="347"/>
      <c r="H92" s="64"/>
    </row>
    <row r="93" spans="2:8" ht="15.75" customHeight="1">
      <c r="B93" s="58">
        <v>18</v>
      </c>
      <c r="C93" s="377" t="s">
        <v>177</v>
      </c>
      <c r="D93" s="378"/>
      <c r="E93" s="336" t="s">
        <v>5</v>
      </c>
      <c r="F93" s="337"/>
      <c r="G93" s="338"/>
      <c r="H93" s="64"/>
    </row>
    <row r="94" spans="2:8" ht="15.75" customHeight="1">
      <c r="B94" s="58">
        <v>19</v>
      </c>
      <c r="C94" s="379"/>
      <c r="D94" s="380"/>
      <c r="E94" s="66" t="s">
        <v>55</v>
      </c>
      <c r="F94" s="383" t="s">
        <v>44</v>
      </c>
      <c r="G94" s="384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45"/>
      <c r="G95" s="347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45" t="s">
        <v>8</v>
      </c>
      <c r="G96" s="347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45"/>
      <c r="G97" s="347"/>
      <c r="H97" s="64"/>
    </row>
    <row r="98" spans="2:8" ht="15.75" customHeight="1">
      <c r="B98" s="58">
        <v>24</v>
      </c>
      <c r="C98" s="336" t="s">
        <v>179</v>
      </c>
      <c r="D98" s="337"/>
      <c r="E98" s="337"/>
      <c r="F98" s="337"/>
      <c r="G98" s="338"/>
      <c r="H98" s="64"/>
    </row>
    <row r="99" spans="2:8" ht="15.75" customHeight="1">
      <c r="B99" s="58">
        <v>25</v>
      </c>
      <c r="C99" s="336" t="s">
        <v>180</v>
      </c>
      <c r="D99" s="337"/>
      <c r="E99" s="337"/>
      <c r="F99" s="337"/>
      <c r="G99" s="338"/>
      <c r="H99" s="64" t="e">
        <f>нак.расх.!G29*16%</f>
        <v>#REF!</v>
      </c>
    </row>
  </sheetData>
  <mergeCells count="94"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  <mergeCell ref="C86:D87"/>
    <mergeCell ref="E86:G86"/>
    <mergeCell ref="F87:G87"/>
    <mergeCell ref="F88:G88"/>
    <mergeCell ref="C89:D90"/>
    <mergeCell ref="E89:G89"/>
    <mergeCell ref="F90:G90"/>
    <mergeCell ref="F81:G81"/>
    <mergeCell ref="F82:G82"/>
    <mergeCell ref="C83:D85"/>
    <mergeCell ref="E83:G83"/>
    <mergeCell ref="E84:E85"/>
    <mergeCell ref="F84:G84"/>
    <mergeCell ref="F85:G85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57:G57"/>
    <mergeCell ref="F58:G58"/>
    <mergeCell ref="C59:D61"/>
    <mergeCell ref="E59:G59"/>
    <mergeCell ref="E60:E61"/>
    <mergeCell ref="F60:G60"/>
    <mergeCell ref="F61:G61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34:G34"/>
    <mergeCell ref="C35:D37"/>
    <mergeCell ref="E35:G35"/>
    <mergeCell ref="E36:E37"/>
    <mergeCell ref="F36:G36"/>
    <mergeCell ref="F37:G37"/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19" t="s">
        <v>182</v>
      </c>
      <c r="C3" s="319"/>
      <c r="D3" s="319"/>
      <c r="E3" s="319"/>
      <c r="F3" s="319"/>
      <c r="G3" s="319"/>
      <c r="K3" s="51"/>
    </row>
    <row r="4" spans="1:11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K4" s="51"/>
    </row>
    <row r="5" spans="1:11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K5" s="51"/>
    </row>
    <row r="6" spans="1:11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K6" s="51"/>
    </row>
    <row r="7" spans="1:11" ht="12" customHeight="1">
      <c r="A7" s="49" t="s">
        <v>44</v>
      </c>
      <c r="B7" s="323" t="s">
        <v>183</v>
      </c>
      <c r="C7" s="323"/>
      <c r="D7" s="323"/>
      <c r="E7" s="323"/>
      <c r="F7" s="323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9"/>
      <c r="G22" s="55"/>
    </row>
    <row r="23" spans="1:12" ht="12" customHeight="1">
      <c r="A23" s="56" t="s">
        <v>44</v>
      </c>
      <c r="B23" s="325"/>
      <c r="C23" s="330"/>
      <c r="D23" s="331"/>
      <c r="E23" s="331"/>
      <c r="F23" s="332"/>
      <c r="G23" s="55"/>
    </row>
    <row r="24" spans="1:12" ht="24" customHeight="1">
      <c r="A24" s="56" t="s">
        <v>44</v>
      </c>
      <c r="B24" s="326"/>
      <c r="C24" s="333"/>
      <c r="D24" s="334"/>
      <c r="E24" s="334"/>
      <c r="F24" s="335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75">
        <v>4</v>
      </c>
      <c r="F28" s="376"/>
      <c r="G28" s="57">
        <v>8</v>
      </c>
    </row>
    <row r="29" spans="1:12" ht="22.5" customHeight="1">
      <c r="A29" s="56" t="s">
        <v>44</v>
      </c>
      <c r="B29" s="58">
        <v>1</v>
      </c>
      <c r="C29" s="336" t="s">
        <v>184</v>
      </c>
      <c r="D29" s="337"/>
      <c r="E29" s="337"/>
      <c r="F29" s="337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36" t="s">
        <v>5</v>
      </c>
      <c r="E30" s="337"/>
      <c r="F30" s="337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55" t="s">
        <v>56</v>
      </c>
      <c r="F31" s="356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55" t="s">
        <v>57</v>
      </c>
      <c r="F32" s="356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55" t="s">
        <v>58</v>
      </c>
      <c r="F33" s="356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45" t="s">
        <v>44</v>
      </c>
      <c r="F36" s="346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36" t="s">
        <v>5</v>
      </c>
      <c r="E37" s="337"/>
      <c r="F37" s="337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55" t="s">
        <v>172</v>
      </c>
      <c r="F38" s="356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55" t="s">
        <v>173</v>
      </c>
      <c r="F39" s="356"/>
      <c r="G39" s="74"/>
    </row>
    <row r="40" spans="1:13" ht="12" customHeight="1">
      <c r="A40" s="56" t="s">
        <v>44</v>
      </c>
      <c r="B40" s="58">
        <v>26</v>
      </c>
      <c r="C40" s="339" t="s">
        <v>174</v>
      </c>
      <c r="D40" s="336" t="s">
        <v>5</v>
      </c>
      <c r="E40" s="337"/>
      <c r="F40" s="337"/>
      <c r="G40" s="74"/>
    </row>
    <row r="41" spans="1:13" ht="12" customHeight="1">
      <c r="A41" s="56" t="s">
        <v>44</v>
      </c>
      <c r="B41" s="58">
        <v>27</v>
      </c>
      <c r="C41" s="340"/>
      <c r="D41" s="66" t="s">
        <v>55</v>
      </c>
      <c r="E41" s="383" t="s">
        <v>44</v>
      </c>
      <c r="F41" s="385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45" t="s">
        <v>44</v>
      </c>
      <c r="F42" s="346"/>
      <c r="G42" s="74"/>
      <c r="H42" s="49"/>
    </row>
    <row r="43" spans="1:13" ht="12" customHeight="1">
      <c r="A43" s="56" t="s">
        <v>44</v>
      </c>
      <c r="B43" s="58">
        <v>29</v>
      </c>
      <c r="C43" s="339" t="s">
        <v>186</v>
      </c>
      <c r="D43" s="336" t="s">
        <v>5</v>
      </c>
      <c r="E43" s="337"/>
      <c r="F43" s="337"/>
      <c r="G43" s="74"/>
    </row>
    <row r="44" spans="1:13" ht="12" customHeight="1">
      <c r="A44" s="56" t="s">
        <v>44</v>
      </c>
      <c r="B44" s="58">
        <v>30</v>
      </c>
      <c r="C44" s="340"/>
      <c r="D44" s="66" t="s">
        <v>55</v>
      </c>
      <c r="E44" s="345" t="s">
        <v>128</v>
      </c>
      <c r="F44" s="346"/>
      <c r="G44" s="74"/>
    </row>
    <row r="45" spans="1:13" ht="18.75" customHeight="1">
      <c r="A45" s="56" t="s">
        <v>44</v>
      </c>
      <c r="B45" s="58">
        <v>31</v>
      </c>
      <c r="C45" s="341"/>
      <c r="D45" s="70" t="s">
        <v>44</v>
      </c>
      <c r="E45" s="386" t="s">
        <v>129</v>
      </c>
      <c r="F45" s="387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36" t="s">
        <v>20</v>
      </c>
      <c r="D46" s="337"/>
      <c r="E46" s="337"/>
      <c r="F46" s="337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36" t="s">
        <v>5</v>
      </c>
      <c r="E47" s="337"/>
      <c r="F47" s="337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55" t="s">
        <v>63</v>
      </c>
      <c r="F48" s="356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55" t="s">
        <v>64</v>
      </c>
      <c r="F49" s="356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9" t="s">
        <v>187</v>
      </c>
      <c r="D50" s="336" t="s">
        <v>5</v>
      </c>
      <c r="E50" s="337"/>
      <c r="F50" s="337"/>
      <c r="G50" s="74"/>
    </row>
    <row r="51" spans="1:8" ht="12" customHeight="1">
      <c r="A51" s="56" t="s">
        <v>44</v>
      </c>
      <c r="B51" s="58">
        <v>37</v>
      </c>
      <c r="C51" s="340"/>
      <c r="D51" s="66" t="s">
        <v>55</v>
      </c>
      <c r="E51" s="383" t="s">
        <v>44</v>
      </c>
      <c r="F51" s="385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45" t="s">
        <v>188</v>
      </c>
      <c r="F52" s="346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36" t="s">
        <v>16</v>
      </c>
      <c r="D53" s="337"/>
      <c r="E53" s="337"/>
      <c r="F53" s="337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36" t="s">
        <v>14</v>
      </c>
      <c r="D54" s="337"/>
      <c r="E54" s="337"/>
      <c r="F54" s="337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36" t="s">
        <v>5</v>
      </c>
      <c r="E55" s="337"/>
      <c r="F55" s="337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83" t="s">
        <v>44</v>
      </c>
      <c r="F56" s="385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45" t="s">
        <v>4</v>
      </c>
      <c r="F57" s="346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45" t="s">
        <v>44</v>
      </c>
      <c r="F58" s="346"/>
      <c r="G58" s="74"/>
      <c r="H58" s="49"/>
    </row>
    <row r="59" spans="1:8" ht="12" customHeight="1">
      <c r="A59" s="56" t="s">
        <v>44</v>
      </c>
      <c r="B59" s="58">
        <v>51</v>
      </c>
      <c r="C59" s="336" t="s">
        <v>189</v>
      </c>
      <c r="D59" s="337"/>
      <c r="E59" s="337"/>
      <c r="F59" s="337"/>
      <c r="G59" s="74"/>
    </row>
    <row r="60" spans="1:8" ht="12" customHeight="1">
      <c r="A60" s="56" t="s">
        <v>44</v>
      </c>
      <c r="B60" s="58">
        <v>52</v>
      </c>
      <c r="C60" s="336" t="s">
        <v>17</v>
      </c>
      <c r="D60" s="337"/>
      <c r="E60" s="337"/>
      <c r="F60" s="337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36" t="s">
        <v>190</v>
      </c>
      <c r="D61" s="337"/>
      <c r="E61" s="337"/>
      <c r="F61" s="337"/>
      <c r="G61" s="74"/>
    </row>
    <row r="62" spans="1:8" ht="12" customHeight="1">
      <c r="A62" s="56" t="s">
        <v>44</v>
      </c>
      <c r="B62" s="58">
        <v>54</v>
      </c>
      <c r="C62" s="336" t="s">
        <v>191</v>
      </c>
      <c r="D62" s="337"/>
      <c r="E62" s="337"/>
      <c r="F62" s="337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36" t="s">
        <v>192</v>
      </c>
      <c r="D63" s="337"/>
      <c r="E63" s="337"/>
      <c r="F63" s="337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9" t="s">
        <v>175</v>
      </c>
      <c r="D64" s="336" t="s">
        <v>5</v>
      </c>
      <c r="E64" s="337"/>
      <c r="F64" s="337"/>
      <c r="G64" s="74"/>
    </row>
    <row r="65" spans="1:11" ht="12" customHeight="1">
      <c r="A65" s="56" t="s">
        <v>44</v>
      </c>
      <c r="B65" s="58">
        <v>57</v>
      </c>
      <c r="C65" s="340"/>
      <c r="D65" s="66" t="s">
        <v>55</v>
      </c>
      <c r="E65" s="355" t="s">
        <v>91</v>
      </c>
      <c r="F65" s="356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45" t="s">
        <v>193</v>
      </c>
      <c r="F66" s="346"/>
      <c r="G66" s="74"/>
      <c r="H66" s="49"/>
    </row>
    <row r="67" spans="1:11" ht="12" customHeight="1">
      <c r="A67" s="56" t="s">
        <v>44</v>
      </c>
      <c r="B67" s="58">
        <v>59</v>
      </c>
      <c r="C67" s="339" t="s">
        <v>102</v>
      </c>
      <c r="D67" s="336" t="s">
        <v>5</v>
      </c>
      <c r="E67" s="337"/>
      <c r="F67" s="337"/>
      <c r="G67" s="74"/>
    </row>
    <row r="68" spans="1:11" ht="12" customHeight="1">
      <c r="A68" s="56" t="s">
        <v>44</v>
      </c>
      <c r="B68" s="58">
        <v>60</v>
      </c>
      <c r="C68" s="340"/>
      <c r="D68" s="66" t="s">
        <v>55</v>
      </c>
      <c r="E68" s="383" t="s">
        <v>44</v>
      </c>
      <c r="F68" s="385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45" t="s">
        <v>194</v>
      </c>
      <c r="F69" s="346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45" t="s">
        <v>195</v>
      </c>
      <c r="F70" s="346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8" t="s">
        <v>196</v>
      </c>
      <c r="F71" s="389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8" t="s">
        <v>13</v>
      </c>
      <c r="F72" s="389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8" t="s">
        <v>8</v>
      </c>
      <c r="F73" s="389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45" t="s">
        <v>44</v>
      </c>
      <c r="F74" s="346"/>
      <c r="G74" s="74"/>
      <c r="H74" s="49"/>
    </row>
    <row r="75" spans="1:11" ht="12" customHeight="1">
      <c r="A75" s="56" t="s">
        <v>44</v>
      </c>
      <c r="B75" s="58">
        <v>65</v>
      </c>
      <c r="C75" s="339" t="s">
        <v>197</v>
      </c>
      <c r="D75" s="336" t="s">
        <v>5</v>
      </c>
      <c r="E75" s="337"/>
      <c r="F75" s="337"/>
      <c r="G75" s="74"/>
    </row>
    <row r="76" spans="1:11" ht="12" customHeight="1">
      <c r="A76" s="56" t="s">
        <v>44</v>
      </c>
      <c r="B76" s="58">
        <v>66</v>
      </c>
      <c r="C76" s="340"/>
      <c r="D76" s="66" t="s">
        <v>55</v>
      </c>
      <c r="E76" s="383" t="s">
        <v>44</v>
      </c>
      <c r="F76" s="385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45" t="s">
        <v>198</v>
      </c>
      <c r="F77" s="346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90" t="s">
        <v>199</v>
      </c>
      <c r="C80" s="390"/>
      <c r="D80" s="390"/>
      <c r="E80" s="390"/>
      <c r="F80" s="390"/>
      <c r="G80" s="83"/>
      <c r="H80" s="83"/>
      <c r="I80" s="82"/>
      <c r="J80" s="83"/>
      <c r="K80" s="51"/>
    </row>
    <row r="81" spans="2:11" ht="15" customHeight="1">
      <c r="B81" s="390" t="s">
        <v>44</v>
      </c>
      <c r="C81" s="390"/>
      <c r="D81" s="390"/>
      <c r="E81" s="390"/>
      <c r="F81" s="390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90" t="s">
        <v>200</v>
      </c>
      <c r="C84" s="390"/>
      <c r="D84" s="390"/>
      <c r="E84" s="390"/>
      <c r="F84" s="390"/>
      <c r="G84" s="390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84:G84"/>
    <mergeCell ref="C75:C76"/>
    <mergeCell ref="D75:F75"/>
    <mergeCell ref="E76:F76"/>
    <mergeCell ref="E77:F77"/>
    <mergeCell ref="B80:F80"/>
    <mergeCell ref="B81:F81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C46:F46"/>
    <mergeCell ref="D47:F47"/>
    <mergeCell ref="E48:F48"/>
    <mergeCell ref="E49:F49"/>
    <mergeCell ref="C50:C51"/>
    <mergeCell ref="D50:F50"/>
    <mergeCell ref="E51:F51"/>
    <mergeCell ref="C40:C41"/>
    <mergeCell ref="D40:F40"/>
    <mergeCell ref="E41:F41"/>
    <mergeCell ref="E42:F42"/>
    <mergeCell ref="C43:C45"/>
    <mergeCell ref="D43:F43"/>
    <mergeCell ref="E44:F44"/>
    <mergeCell ref="E45:F45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B7:F7"/>
    <mergeCell ref="B1:G1"/>
    <mergeCell ref="B3:G3"/>
    <mergeCell ref="B4:G4"/>
    <mergeCell ref="B5:G5"/>
    <mergeCell ref="B6:G6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30" t="s">
        <v>45</v>
      </c>
      <c r="C1" s="430"/>
      <c r="D1" s="430"/>
      <c r="E1" s="430"/>
      <c r="F1" s="430"/>
      <c r="G1" s="430"/>
      <c r="H1" s="430"/>
      <c r="I1" s="430"/>
      <c r="M1" s="12"/>
    </row>
    <row r="2" spans="1:13" ht="14.25" customHeight="1">
      <c r="A2" s="10" t="s">
        <v>44</v>
      </c>
      <c r="B2" s="431" t="s">
        <v>46</v>
      </c>
      <c r="C2" s="431"/>
      <c r="D2" s="431"/>
      <c r="E2" s="431"/>
      <c r="F2" s="431"/>
      <c r="G2" s="431"/>
      <c r="H2" s="431"/>
      <c r="I2" s="431"/>
      <c r="M2" s="12"/>
    </row>
    <row r="3" spans="1:13">
      <c r="A3" s="10" t="s">
        <v>44</v>
      </c>
      <c r="B3" s="432" t="s">
        <v>47</v>
      </c>
      <c r="C3" s="432"/>
      <c r="D3" s="432"/>
      <c r="E3" s="432"/>
      <c r="F3" s="432"/>
      <c r="G3" s="432"/>
      <c r="H3" s="432"/>
      <c r="I3" s="432"/>
      <c r="M3" s="12"/>
    </row>
    <row r="4" spans="1:13" ht="30" customHeight="1">
      <c r="A4" s="10" t="s">
        <v>44</v>
      </c>
      <c r="B4" s="432" t="s">
        <v>48</v>
      </c>
      <c r="C4" s="432"/>
      <c r="D4" s="432"/>
      <c r="E4" s="432"/>
      <c r="F4" s="432"/>
      <c r="G4" s="432"/>
      <c r="H4" s="432"/>
      <c r="I4" s="432"/>
      <c r="M4" s="12"/>
    </row>
    <row r="5" spans="1:13" ht="12" customHeight="1">
      <c r="A5" s="10" t="s">
        <v>44</v>
      </c>
      <c r="B5" s="433" t="s">
        <v>49</v>
      </c>
      <c r="C5" s="433"/>
      <c r="D5" s="433"/>
      <c r="E5" s="433"/>
      <c r="F5" s="433"/>
      <c r="G5" s="433"/>
      <c r="H5" s="433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34" t="s">
        <v>0</v>
      </c>
      <c r="C20" s="437" t="s">
        <v>51</v>
      </c>
      <c r="D20" s="438"/>
      <c r="E20" s="438"/>
      <c r="F20" s="438"/>
      <c r="G20" s="438"/>
      <c r="H20" s="439"/>
      <c r="I20" s="446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35"/>
      <c r="C21" s="440"/>
      <c r="D21" s="441"/>
      <c r="E21" s="441"/>
      <c r="F21" s="441"/>
      <c r="G21" s="441"/>
      <c r="H21" s="442"/>
      <c r="I21" s="435"/>
      <c r="J21" s="10"/>
      <c r="K21" s="10"/>
      <c r="L21" s="10"/>
      <c r="M21" s="12"/>
    </row>
    <row r="22" spans="1:14" ht="12" customHeight="1">
      <c r="A22" s="17" t="s">
        <v>44</v>
      </c>
      <c r="B22" s="436"/>
      <c r="C22" s="443"/>
      <c r="D22" s="444"/>
      <c r="E22" s="444"/>
      <c r="F22" s="444"/>
      <c r="G22" s="444"/>
      <c r="H22" s="445"/>
      <c r="I22" s="436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428">
        <v>2</v>
      </c>
      <c r="D26" s="429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4" t="s">
        <v>53</v>
      </c>
      <c r="D27" s="395"/>
      <c r="E27" s="395"/>
      <c r="F27" s="395"/>
      <c r="G27" s="395"/>
      <c r="H27" s="396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4" t="s">
        <v>5</v>
      </c>
      <c r="F28" s="395"/>
      <c r="G28" s="395"/>
      <c r="H28" s="396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401" t="s">
        <v>56</v>
      </c>
      <c r="G29" s="402"/>
      <c r="H29" s="403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401" t="s">
        <v>57</v>
      </c>
      <c r="G30" s="402"/>
      <c r="H30" s="403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401" t="s">
        <v>58</v>
      </c>
      <c r="G31" s="402"/>
      <c r="H31" s="403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391" t="s">
        <v>59</v>
      </c>
      <c r="G32" s="392"/>
      <c r="H32" s="393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397" t="s">
        <v>61</v>
      </c>
      <c r="D34" s="398"/>
      <c r="E34" s="394" t="s">
        <v>5</v>
      </c>
      <c r="F34" s="395"/>
      <c r="G34" s="395"/>
      <c r="H34" s="396"/>
      <c r="I34" s="32"/>
    </row>
    <row r="35" spans="1:15" ht="12" customHeight="1">
      <c r="A35" s="15" t="s">
        <v>44</v>
      </c>
      <c r="B35" s="21">
        <v>8</v>
      </c>
      <c r="C35" s="399"/>
      <c r="D35" s="400"/>
      <c r="E35" s="26" t="s">
        <v>55</v>
      </c>
      <c r="F35" s="401" t="s">
        <v>44</v>
      </c>
      <c r="G35" s="402"/>
      <c r="H35" s="403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07" t="s">
        <v>62</v>
      </c>
      <c r="D37" s="408"/>
      <c r="E37" s="394" t="s">
        <v>5</v>
      </c>
      <c r="F37" s="395"/>
      <c r="G37" s="395"/>
      <c r="H37" s="396"/>
      <c r="I37" s="32"/>
    </row>
    <row r="38" spans="1:15" ht="12" customHeight="1">
      <c r="A38" s="15" t="s">
        <v>44</v>
      </c>
      <c r="B38" s="21">
        <v>11</v>
      </c>
      <c r="C38" s="409"/>
      <c r="D38" s="410"/>
      <c r="E38" s="413" t="s">
        <v>55</v>
      </c>
      <c r="F38" s="401" t="s">
        <v>63</v>
      </c>
      <c r="G38" s="402"/>
      <c r="H38" s="403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11"/>
      <c r="D39" s="412"/>
      <c r="E39" s="414"/>
      <c r="F39" s="401" t="s">
        <v>64</v>
      </c>
      <c r="G39" s="402"/>
      <c r="H39" s="403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397" t="s">
        <v>65</v>
      </c>
      <c r="D40" s="398"/>
      <c r="E40" s="394" t="s">
        <v>5</v>
      </c>
      <c r="F40" s="395"/>
      <c r="G40" s="395"/>
      <c r="H40" s="396"/>
      <c r="I40" s="32"/>
    </row>
    <row r="41" spans="1:15" ht="17.25" customHeight="1">
      <c r="A41" s="15" t="s">
        <v>44</v>
      </c>
      <c r="B41" s="21">
        <v>14</v>
      </c>
      <c r="C41" s="399"/>
      <c r="D41" s="400"/>
      <c r="E41" s="26" t="s">
        <v>55</v>
      </c>
      <c r="F41" s="401" t="s">
        <v>44</v>
      </c>
      <c r="G41" s="402"/>
      <c r="H41" s="403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391" t="s">
        <v>66</v>
      </c>
      <c r="G42" s="392"/>
      <c r="H42" s="393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4" t="s">
        <v>67</v>
      </c>
      <c r="D44" s="395"/>
      <c r="E44" s="395"/>
      <c r="F44" s="395"/>
      <c r="G44" s="395"/>
      <c r="H44" s="396"/>
      <c r="I44" s="32"/>
    </row>
    <row r="45" spans="1:15" ht="12" customHeight="1">
      <c r="A45" s="15" t="s">
        <v>44</v>
      </c>
      <c r="B45" s="21">
        <v>18</v>
      </c>
      <c r="C45" s="422" t="s">
        <v>68</v>
      </c>
      <c r="D45" s="423"/>
      <c r="E45" s="394" t="s">
        <v>5</v>
      </c>
      <c r="F45" s="395"/>
      <c r="G45" s="395"/>
      <c r="H45" s="396"/>
      <c r="I45" s="32"/>
    </row>
    <row r="46" spans="1:15" ht="30" customHeight="1">
      <c r="A46" s="15" t="s">
        <v>44</v>
      </c>
      <c r="B46" s="21">
        <v>19</v>
      </c>
      <c r="C46" s="424"/>
      <c r="D46" s="425"/>
      <c r="E46" s="413" t="s">
        <v>55</v>
      </c>
      <c r="F46" s="401" t="s">
        <v>69</v>
      </c>
      <c r="G46" s="402"/>
      <c r="H46" s="403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24"/>
      <c r="D47" s="425"/>
      <c r="E47" s="415"/>
      <c r="F47" s="401" t="s">
        <v>70</v>
      </c>
      <c r="G47" s="402"/>
      <c r="H47" s="403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24"/>
      <c r="D48" s="425"/>
      <c r="E48" s="415"/>
      <c r="F48" s="401" t="s">
        <v>71</v>
      </c>
      <c r="G48" s="402"/>
      <c r="H48" s="403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26"/>
      <c r="D49" s="427"/>
      <c r="E49" s="414"/>
      <c r="F49" s="401" t="s">
        <v>72</v>
      </c>
      <c r="G49" s="402"/>
      <c r="H49" s="403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18" t="s">
        <v>73</v>
      </c>
      <c r="D50" s="419"/>
      <c r="E50" s="394" t="s">
        <v>5</v>
      </c>
      <c r="F50" s="395"/>
      <c r="G50" s="395"/>
      <c r="H50" s="396"/>
      <c r="I50" s="32"/>
    </row>
    <row r="51" spans="1:14" ht="12" customHeight="1">
      <c r="A51" s="15" t="s">
        <v>44</v>
      </c>
      <c r="B51" s="21">
        <v>24</v>
      </c>
      <c r="C51" s="420"/>
      <c r="D51" s="421"/>
      <c r="E51" s="26" t="s">
        <v>55</v>
      </c>
      <c r="F51" s="401" t="s">
        <v>23</v>
      </c>
      <c r="G51" s="402"/>
      <c r="H51" s="403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401" t="s">
        <v>74</v>
      </c>
      <c r="G52" s="402"/>
      <c r="H52" s="403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397" t="s">
        <v>75</v>
      </c>
      <c r="D54" s="398"/>
      <c r="E54" s="394" t="s">
        <v>5</v>
      </c>
      <c r="F54" s="395"/>
      <c r="G54" s="395"/>
      <c r="H54" s="396"/>
      <c r="I54" s="32"/>
    </row>
    <row r="55" spans="1:14" ht="12" customHeight="1">
      <c r="A55" s="15" t="s">
        <v>44</v>
      </c>
      <c r="B55" s="21">
        <v>28</v>
      </c>
      <c r="C55" s="399"/>
      <c r="D55" s="400"/>
      <c r="E55" s="26" t="s">
        <v>55</v>
      </c>
      <c r="F55" s="401" t="s">
        <v>76</v>
      </c>
      <c r="G55" s="402"/>
      <c r="H55" s="403"/>
      <c r="I55" s="32"/>
    </row>
    <row r="56" spans="1:14" ht="12" customHeight="1">
      <c r="A56" s="15" t="s">
        <v>44</v>
      </c>
      <c r="B56" s="21">
        <v>29</v>
      </c>
      <c r="C56" s="399"/>
      <c r="D56" s="400"/>
      <c r="E56" s="27" t="s">
        <v>44</v>
      </c>
      <c r="F56" s="401" t="s">
        <v>77</v>
      </c>
      <c r="G56" s="402"/>
      <c r="H56" s="403"/>
      <c r="I56" s="32"/>
    </row>
    <row r="57" spans="1:14" ht="12" customHeight="1">
      <c r="A57" s="15" t="s">
        <v>44</v>
      </c>
      <c r="B57" s="21">
        <v>30</v>
      </c>
      <c r="C57" s="399"/>
      <c r="D57" s="400"/>
      <c r="E57" s="27" t="s">
        <v>44</v>
      </c>
      <c r="F57" s="401" t="s">
        <v>78</v>
      </c>
      <c r="G57" s="402"/>
      <c r="H57" s="403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401" t="s">
        <v>79</v>
      </c>
      <c r="G58" s="402"/>
      <c r="H58" s="403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4" t="s">
        <v>80</v>
      </c>
      <c r="D60" s="395"/>
      <c r="E60" s="395"/>
      <c r="F60" s="395"/>
      <c r="G60" s="395"/>
      <c r="H60" s="396"/>
      <c r="I60" s="32"/>
    </row>
    <row r="61" spans="1:14" ht="12" customHeight="1">
      <c r="A61" s="15" t="s">
        <v>44</v>
      </c>
      <c r="B61" s="21">
        <v>34</v>
      </c>
      <c r="C61" s="397" t="s">
        <v>81</v>
      </c>
      <c r="D61" s="398"/>
      <c r="E61" s="394" t="s">
        <v>5</v>
      </c>
      <c r="F61" s="395"/>
      <c r="G61" s="395"/>
      <c r="H61" s="396"/>
      <c r="I61" s="32"/>
    </row>
    <row r="62" spans="1:14" ht="12" customHeight="1">
      <c r="A62" s="15" t="s">
        <v>44</v>
      </c>
      <c r="B62" s="21">
        <v>35</v>
      </c>
      <c r="C62" s="399"/>
      <c r="D62" s="400"/>
      <c r="E62" s="26" t="s">
        <v>55</v>
      </c>
      <c r="F62" s="26" t="s">
        <v>82</v>
      </c>
      <c r="G62" s="416" t="s">
        <v>5</v>
      </c>
      <c r="H62" s="417"/>
      <c r="I62" s="32"/>
    </row>
    <row r="63" spans="1:14" ht="12" customHeight="1">
      <c r="A63" s="15" t="s">
        <v>44</v>
      </c>
      <c r="B63" s="21">
        <v>36</v>
      </c>
      <c r="C63" s="399"/>
      <c r="D63" s="400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16" t="s">
        <v>5</v>
      </c>
      <c r="H66" s="417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16" t="s">
        <v>5</v>
      </c>
      <c r="H70" s="417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16" t="s">
        <v>5</v>
      </c>
      <c r="H74" s="417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397" t="s">
        <v>88</v>
      </c>
      <c r="D78" s="398"/>
      <c r="E78" s="394" t="s">
        <v>5</v>
      </c>
      <c r="F78" s="395"/>
      <c r="G78" s="395"/>
      <c r="H78" s="396"/>
      <c r="I78" s="32"/>
    </row>
    <row r="79" spans="1:14" ht="12" customHeight="1">
      <c r="A79" s="15" t="s">
        <v>44</v>
      </c>
      <c r="B79" s="21">
        <v>52</v>
      </c>
      <c r="C79" s="399"/>
      <c r="D79" s="400"/>
      <c r="E79" s="26" t="s">
        <v>55</v>
      </c>
      <c r="F79" s="401" t="s">
        <v>89</v>
      </c>
      <c r="G79" s="402"/>
      <c r="H79" s="403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401" t="s">
        <v>24</v>
      </c>
      <c r="G80" s="402"/>
      <c r="H80" s="403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401" t="s">
        <v>90</v>
      </c>
      <c r="G81" s="402"/>
      <c r="H81" s="403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13" t="s">
        <v>91</v>
      </c>
      <c r="G82" s="416" t="s">
        <v>5</v>
      </c>
      <c r="H82" s="417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15"/>
      <c r="G83" s="413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14"/>
      <c r="G84" s="414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401" t="s">
        <v>9</v>
      </c>
      <c r="G85" s="402"/>
      <c r="H85" s="403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401" t="s">
        <v>10</v>
      </c>
      <c r="G86" s="402"/>
      <c r="H86" s="403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401" t="s">
        <v>11</v>
      </c>
      <c r="G87" s="402"/>
      <c r="H87" s="403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401" t="s">
        <v>93</v>
      </c>
      <c r="G88" s="402"/>
      <c r="H88" s="403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391" t="s">
        <v>94</v>
      </c>
      <c r="G89" s="392"/>
      <c r="H89" s="393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391"/>
      <c r="G90" s="392"/>
      <c r="H90" s="393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397" t="s">
        <v>95</v>
      </c>
      <c r="D92" s="398"/>
      <c r="E92" s="394" t="s">
        <v>5</v>
      </c>
      <c r="F92" s="395"/>
      <c r="G92" s="395"/>
      <c r="H92" s="396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13" t="s">
        <v>55</v>
      </c>
      <c r="F93" s="401" t="s">
        <v>44</v>
      </c>
      <c r="G93" s="402"/>
      <c r="H93" s="403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14"/>
      <c r="F94" s="391" t="s">
        <v>96</v>
      </c>
      <c r="G94" s="392"/>
      <c r="H94" s="393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397" t="s">
        <v>97</v>
      </c>
      <c r="D96" s="398"/>
      <c r="E96" s="394" t="s">
        <v>5</v>
      </c>
      <c r="F96" s="395"/>
      <c r="G96" s="395"/>
      <c r="H96" s="396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401" t="s">
        <v>98</v>
      </c>
      <c r="G97" s="402"/>
      <c r="H97" s="403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401" t="s">
        <v>99</v>
      </c>
      <c r="G98" s="402"/>
      <c r="H98" s="403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401" t="s">
        <v>12</v>
      </c>
      <c r="G99" s="402"/>
      <c r="H99" s="403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401" t="s">
        <v>100</v>
      </c>
      <c r="G100" s="402"/>
      <c r="H100" s="403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391" t="s">
        <v>44</v>
      </c>
      <c r="G101" s="392"/>
      <c r="H101" s="393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391" t="s">
        <v>44</v>
      </c>
      <c r="G102" s="392"/>
      <c r="H102" s="393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4" t="s">
        <v>19</v>
      </c>
      <c r="D104" s="395"/>
      <c r="E104" s="395"/>
      <c r="F104" s="395"/>
      <c r="G104" s="395"/>
      <c r="H104" s="396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4" t="s">
        <v>101</v>
      </c>
      <c r="D105" s="395"/>
      <c r="E105" s="395"/>
      <c r="F105" s="395"/>
      <c r="G105" s="395"/>
      <c r="H105" s="396"/>
      <c r="I105" s="32"/>
    </row>
    <row r="106" spans="1:10" ht="12" customHeight="1">
      <c r="A106" s="15" t="s">
        <v>44</v>
      </c>
      <c r="B106" s="21">
        <v>74</v>
      </c>
      <c r="C106" s="397" t="s">
        <v>102</v>
      </c>
      <c r="D106" s="398"/>
      <c r="E106" s="394" t="s">
        <v>5</v>
      </c>
      <c r="F106" s="395"/>
      <c r="G106" s="395"/>
      <c r="H106" s="396"/>
      <c r="I106" s="32"/>
    </row>
    <row r="107" spans="1:10" ht="18.75" customHeight="1">
      <c r="A107" s="15" t="s">
        <v>44</v>
      </c>
      <c r="B107" s="21">
        <v>75</v>
      </c>
      <c r="C107" s="399"/>
      <c r="D107" s="400"/>
      <c r="E107" s="26" t="s">
        <v>55</v>
      </c>
      <c r="F107" s="401" t="s">
        <v>13</v>
      </c>
      <c r="G107" s="402"/>
      <c r="H107" s="403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391" t="s">
        <v>103</v>
      </c>
      <c r="G108" s="392"/>
      <c r="H108" s="393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391" t="s">
        <v>104</v>
      </c>
      <c r="G109" s="392"/>
      <c r="H109" s="393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391" t="s">
        <v>8</v>
      </c>
      <c r="G110" s="392"/>
      <c r="H110" s="393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397" t="s">
        <v>105</v>
      </c>
      <c r="D112" s="398"/>
      <c r="E112" s="394" t="s">
        <v>5</v>
      </c>
      <c r="F112" s="395"/>
      <c r="G112" s="395"/>
      <c r="H112" s="396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401" t="s">
        <v>106</v>
      </c>
      <c r="G113" s="402"/>
      <c r="H113" s="403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401" t="s">
        <v>107</v>
      </c>
      <c r="G114" s="402"/>
      <c r="H114" s="403"/>
      <c r="I114" s="32"/>
    </row>
    <row r="115" spans="1:9" ht="12" customHeight="1">
      <c r="A115" s="15" t="s">
        <v>44</v>
      </c>
      <c r="B115" s="21">
        <v>80</v>
      </c>
      <c r="C115" s="394" t="s">
        <v>108</v>
      </c>
      <c r="D115" s="395"/>
      <c r="E115" s="395"/>
      <c r="F115" s="395"/>
      <c r="G115" s="395"/>
      <c r="H115" s="396"/>
      <c r="I115" s="32"/>
    </row>
    <row r="116" spans="1:9" ht="12" customHeight="1">
      <c r="A116" s="15" t="s">
        <v>44</v>
      </c>
      <c r="B116" s="21">
        <v>81</v>
      </c>
      <c r="C116" s="397" t="s">
        <v>109</v>
      </c>
      <c r="D116" s="398"/>
      <c r="E116" s="394" t="s">
        <v>5</v>
      </c>
      <c r="F116" s="395"/>
      <c r="G116" s="395"/>
      <c r="H116" s="396"/>
      <c r="I116" s="32"/>
    </row>
    <row r="117" spans="1:9" ht="12" customHeight="1">
      <c r="A117" s="15" t="s">
        <v>44</v>
      </c>
      <c r="B117" s="21">
        <v>82</v>
      </c>
      <c r="C117" s="399"/>
      <c r="D117" s="400"/>
      <c r="E117" s="26" t="s">
        <v>55</v>
      </c>
      <c r="F117" s="401" t="s">
        <v>110</v>
      </c>
      <c r="G117" s="402"/>
      <c r="H117" s="403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401" t="s">
        <v>111</v>
      </c>
      <c r="G118" s="402"/>
      <c r="H118" s="403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397" t="s">
        <v>112</v>
      </c>
      <c r="D120" s="398"/>
      <c r="E120" s="394" t="s">
        <v>5</v>
      </c>
      <c r="F120" s="395"/>
      <c r="G120" s="395"/>
      <c r="H120" s="396"/>
      <c r="I120" s="32"/>
    </row>
    <row r="121" spans="1:9" ht="12" customHeight="1">
      <c r="A121" s="15" t="s">
        <v>44</v>
      </c>
      <c r="B121" s="21">
        <v>86</v>
      </c>
      <c r="C121" s="399"/>
      <c r="D121" s="400"/>
      <c r="E121" s="26" t="s">
        <v>55</v>
      </c>
      <c r="F121" s="401" t="s">
        <v>113</v>
      </c>
      <c r="G121" s="402"/>
      <c r="H121" s="403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401" t="s">
        <v>111</v>
      </c>
      <c r="G122" s="402"/>
      <c r="H122" s="403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401" t="s">
        <v>114</v>
      </c>
      <c r="G123" s="402"/>
      <c r="H123" s="403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401" t="s">
        <v>115</v>
      </c>
      <c r="G124" s="402"/>
      <c r="H124" s="403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4" t="s">
        <v>116</v>
      </c>
      <c r="D126" s="395"/>
      <c r="E126" s="395"/>
      <c r="F126" s="395"/>
      <c r="G126" s="395"/>
      <c r="H126" s="396"/>
      <c r="I126" s="32"/>
    </row>
    <row r="127" spans="1:9" ht="12" customHeight="1">
      <c r="A127" s="15" t="s">
        <v>44</v>
      </c>
      <c r="B127" s="21">
        <v>92</v>
      </c>
      <c r="C127" s="397" t="s">
        <v>117</v>
      </c>
      <c r="D127" s="398"/>
      <c r="E127" s="394" t="s">
        <v>5</v>
      </c>
      <c r="F127" s="395"/>
      <c r="G127" s="395"/>
      <c r="H127" s="396"/>
      <c r="I127" s="32"/>
    </row>
    <row r="128" spans="1:9" ht="12" customHeight="1">
      <c r="A128" s="15" t="s">
        <v>44</v>
      </c>
      <c r="B128" s="21">
        <v>93</v>
      </c>
      <c r="C128" s="399"/>
      <c r="D128" s="400"/>
      <c r="E128" s="26" t="s">
        <v>55</v>
      </c>
      <c r="F128" s="404" t="s">
        <v>44</v>
      </c>
      <c r="G128" s="405"/>
      <c r="H128" s="406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4" t="s">
        <v>118</v>
      </c>
      <c r="D130" s="395"/>
      <c r="E130" s="395"/>
      <c r="F130" s="395"/>
      <c r="G130" s="395"/>
      <c r="H130" s="396"/>
      <c r="I130" s="32"/>
    </row>
    <row r="131" spans="1:14" ht="12" customHeight="1">
      <c r="A131" s="15" t="s">
        <v>44</v>
      </c>
      <c r="B131" s="21">
        <v>96</v>
      </c>
      <c r="C131" s="394" t="s">
        <v>119</v>
      </c>
      <c r="D131" s="395"/>
      <c r="E131" s="395"/>
      <c r="F131" s="395"/>
      <c r="G131" s="395"/>
      <c r="H131" s="396"/>
      <c r="I131" s="32"/>
    </row>
    <row r="132" spans="1:14" ht="12" customHeight="1">
      <c r="A132" s="15" t="s">
        <v>44</v>
      </c>
      <c r="B132" s="21">
        <v>97</v>
      </c>
      <c r="C132" s="397" t="s">
        <v>120</v>
      </c>
      <c r="D132" s="398"/>
      <c r="E132" s="394" t="s">
        <v>5</v>
      </c>
      <c r="F132" s="395"/>
      <c r="G132" s="395"/>
      <c r="H132" s="396"/>
      <c r="I132" s="32"/>
    </row>
    <row r="133" spans="1:14" ht="12" customHeight="1">
      <c r="A133" s="15" t="s">
        <v>44</v>
      </c>
      <c r="B133" s="21">
        <v>98</v>
      </c>
      <c r="C133" s="399"/>
      <c r="D133" s="400"/>
      <c r="E133" s="26" t="s">
        <v>55</v>
      </c>
      <c r="F133" s="401" t="s">
        <v>121</v>
      </c>
      <c r="G133" s="402"/>
      <c r="H133" s="403"/>
      <c r="I133" s="32"/>
    </row>
    <row r="134" spans="1:14" ht="12" customHeight="1">
      <c r="A134" s="15" t="s">
        <v>44</v>
      </c>
      <c r="B134" s="21">
        <v>99</v>
      </c>
      <c r="C134" s="399"/>
      <c r="D134" s="400"/>
      <c r="E134" s="27" t="s">
        <v>44</v>
      </c>
      <c r="F134" s="401" t="s">
        <v>122</v>
      </c>
      <c r="G134" s="402"/>
      <c r="H134" s="403"/>
      <c r="I134" s="32"/>
    </row>
    <row r="135" spans="1:14" ht="12" customHeight="1">
      <c r="A135" s="15" t="s">
        <v>44</v>
      </c>
      <c r="B135" s="21">
        <v>100</v>
      </c>
      <c r="C135" s="399"/>
      <c r="D135" s="400"/>
      <c r="E135" s="27" t="s">
        <v>44</v>
      </c>
      <c r="F135" s="401" t="s">
        <v>123</v>
      </c>
      <c r="G135" s="402"/>
      <c r="H135" s="403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401" t="s">
        <v>124</v>
      </c>
      <c r="G136" s="402"/>
      <c r="H136" s="403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401" t="s">
        <v>125</v>
      </c>
      <c r="G137" s="402"/>
      <c r="H137" s="403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401" t="s">
        <v>126</v>
      </c>
      <c r="G138" s="402"/>
      <c r="H138" s="403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07" t="s">
        <v>127</v>
      </c>
      <c r="D140" s="408"/>
      <c r="E140" s="394" t="s">
        <v>5</v>
      </c>
      <c r="F140" s="395"/>
      <c r="G140" s="395"/>
      <c r="H140" s="396"/>
      <c r="I140" s="32"/>
    </row>
    <row r="141" spans="1:14" ht="12" customHeight="1">
      <c r="A141" s="15" t="s">
        <v>44</v>
      </c>
      <c r="B141" s="21">
        <v>106</v>
      </c>
      <c r="C141" s="409"/>
      <c r="D141" s="410"/>
      <c r="E141" s="413" t="s">
        <v>55</v>
      </c>
      <c r="F141" s="401" t="s">
        <v>128</v>
      </c>
      <c r="G141" s="402"/>
      <c r="H141" s="403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11"/>
      <c r="D142" s="412"/>
      <c r="E142" s="414"/>
      <c r="F142" s="401" t="s">
        <v>129</v>
      </c>
      <c r="G142" s="402"/>
      <c r="H142" s="403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4" t="s">
        <v>22</v>
      </c>
      <c r="D143" s="395"/>
      <c r="E143" s="395"/>
      <c r="F143" s="395"/>
      <c r="G143" s="395"/>
      <c r="H143" s="396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4" t="s">
        <v>5</v>
      </c>
      <c r="F144" s="395"/>
      <c r="G144" s="395"/>
      <c r="H144" s="396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401" t="s">
        <v>131</v>
      </c>
      <c r="G145" s="402"/>
      <c r="H145" s="403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401" t="s">
        <v>132</v>
      </c>
      <c r="G146" s="402"/>
      <c r="H146" s="403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401" t="s">
        <v>64</v>
      </c>
      <c r="G147" s="402"/>
      <c r="H147" s="403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391" t="s">
        <v>133</v>
      </c>
      <c r="G148" s="392"/>
      <c r="H148" s="393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391" t="s">
        <v>134</v>
      </c>
      <c r="G149" s="392"/>
      <c r="H149" s="393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391" t="s">
        <v>135</v>
      </c>
      <c r="G150" s="392"/>
      <c r="H150" s="393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391" t="s">
        <v>136</v>
      </c>
      <c r="G151" s="392"/>
      <c r="H151" s="393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397" t="s">
        <v>137</v>
      </c>
      <c r="D153" s="398"/>
      <c r="E153" s="394" t="s">
        <v>5</v>
      </c>
      <c r="F153" s="395"/>
      <c r="G153" s="395"/>
      <c r="H153" s="396"/>
      <c r="I153" s="32"/>
    </row>
    <row r="154" spans="1:10" ht="12" customHeight="1">
      <c r="A154" s="15" t="s">
        <v>44</v>
      </c>
      <c r="B154" s="21">
        <v>115</v>
      </c>
      <c r="C154" s="399"/>
      <c r="D154" s="400"/>
      <c r="E154" s="26" t="s">
        <v>55</v>
      </c>
      <c r="F154" s="404" t="s">
        <v>44</v>
      </c>
      <c r="G154" s="405"/>
      <c r="H154" s="406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391" t="s">
        <v>4</v>
      </c>
      <c r="G155" s="392"/>
      <c r="H155" s="393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391" t="s">
        <v>138</v>
      </c>
      <c r="G156" s="392"/>
      <c r="H156" s="393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391" t="s">
        <v>139</v>
      </c>
      <c r="G157" s="392"/>
      <c r="H157" s="393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391"/>
      <c r="G158" s="392"/>
      <c r="H158" s="393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4" t="s">
        <v>140</v>
      </c>
      <c r="D160" s="395"/>
      <c r="E160" s="395"/>
      <c r="F160" s="395"/>
      <c r="G160" s="395"/>
      <c r="H160" s="396"/>
      <c r="I160" s="32"/>
    </row>
    <row r="161" spans="1:9" ht="12" customHeight="1">
      <c r="A161" s="15" t="s">
        <v>44</v>
      </c>
      <c r="B161" s="21">
        <v>118</v>
      </c>
      <c r="C161" s="394" t="s">
        <v>141</v>
      </c>
      <c r="D161" s="395"/>
      <c r="E161" s="395"/>
      <c r="F161" s="395"/>
      <c r="G161" s="395"/>
      <c r="H161" s="396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4" t="s">
        <v>142</v>
      </c>
      <c r="D162" s="395"/>
      <c r="E162" s="395"/>
      <c r="F162" s="395"/>
      <c r="G162" s="395"/>
      <c r="H162" s="396"/>
      <c r="I162" s="32"/>
    </row>
    <row r="163" spans="1:9" ht="12" customHeight="1">
      <c r="A163" s="15" t="s">
        <v>44</v>
      </c>
      <c r="B163" s="21">
        <v>120</v>
      </c>
      <c r="C163" s="394" t="s">
        <v>143</v>
      </c>
      <c r="D163" s="395"/>
      <c r="E163" s="395"/>
      <c r="F163" s="395"/>
      <c r="G163" s="395"/>
      <c r="H163" s="396"/>
      <c r="I163" s="32"/>
    </row>
    <row r="164" spans="1:9" ht="12" customHeight="1">
      <c r="A164" s="15" t="s">
        <v>44</v>
      </c>
      <c r="B164" s="21">
        <v>121</v>
      </c>
      <c r="C164" s="394" t="s">
        <v>144</v>
      </c>
      <c r="D164" s="395"/>
      <c r="E164" s="395"/>
      <c r="F164" s="395"/>
      <c r="G164" s="395"/>
      <c r="H164" s="396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397" t="s">
        <v>145</v>
      </c>
      <c r="D165" s="398"/>
      <c r="E165" s="394" t="s">
        <v>5</v>
      </c>
      <c r="F165" s="395"/>
      <c r="G165" s="395"/>
      <c r="H165" s="396"/>
      <c r="I165" s="32"/>
    </row>
    <row r="166" spans="1:9" ht="12" customHeight="1">
      <c r="A166" s="15" t="s">
        <v>44</v>
      </c>
      <c r="B166" s="21">
        <v>123</v>
      </c>
      <c r="C166" s="399"/>
      <c r="D166" s="400"/>
      <c r="E166" s="26" t="s">
        <v>55</v>
      </c>
      <c r="F166" s="401" t="s">
        <v>146</v>
      </c>
      <c r="G166" s="402"/>
      <c r="H166" s="403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401" t="s">
        <v>147</v>
      </c>
      <c r="G167" s="402"/>
      <c r="H167" s="403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401" t="s">
        <v>148</v>
      </c>
      <c r="G168" s="402"/>
      <c r="H168" s="403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4" t="s">
        <v>17</v>
      </c>
      <c r="D170" s="395"/>
      <c r="E170" s="395"/>
      <c r="F170" s="395"/>
      <c r="G170" s="395"/>
      <c r="H170" s="396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4" t="s">
        <v>149</v>
      </c>
      <c r="D171" s="395"/>
      <c r="E171" s="395"/>
      <c r="F171" s="395"/>
      <c r="G171" s="395"/>
      <c r="H171" s="396"/>
      <c r="I171" s="32"/>
    </row>
    <row r="172" spans="1:9" ht="12" customHeight="1">
      <c r="A172" s="15" t="s">
        <v>44</v>
      </c>
      <c r="B172" s="21">
        <v>129</v>
      </c>
      <c r="C172" s="394" t="s">
        <v>150</v>
      </c>
      <c r="D172" s="395"/>
      <c r="E172" s="395"/>
      <c r="F172" s="395"/>
      <c r="G172" s="395"/>
      <c r="H172" s="396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4" t="s">
        <v>151</v>
      </c>
      <c r="D173" s="395"/>
      <c r="E173" s="395"/>
      <c r="F173" s="395"/>
      <c r="G173" s="395"/>
      <c r="H173" s="396"/>
      <c r="I173" s="32"/>
    </row>
    <row r="174" spans="1:9" ht="12" customHeight="1">
      <c r="A174" s="15" t="s">
        <v>44</v>
      </c>
      <c r="B174" s="21">
        <v>131</v>
      </c>
      <c r="C174" s="394" t="s">
        <v>152</v>
      </c>
      <c r="D174" s="395"/>
      <c r="E174" s="395"/>
      <c r="F174" s="395"/>
      <c r="G174" s="395"/>
      <c r="H174" s="396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397" t="s">
        <v>153</v>
      </c>
      <c r="D175" s="398"/>
      <c r="E175" s="394" t="s">
        <v>5</v>
      </c>
      <c r="F175" s="395"/>
      <c r="G175" s="395"/>
      <c r="H175" s="396"/>
      <c r="I175" s="32"/>
    </row>
    <row r="176" spans="1:9" ht="12" customHeight="1">
      <c r="A176" s="15" t="s">
        <v>44</v>
      </c>
      <c r="B176" s="21">
        <v>133</v>
      </c>
      <c r="C176" s="399"/>
      <c r="D176" s="400"/>
      <c r="E176" s="26" t="s">
        <v>55</v>
      </c>
      <c r="F176" s="401" t="s">
        <v>128</v>
      </c>
      <c r="G176" s="402"/>
      <c r="H176" s="403"/>
      <c r="I176" s="32"/>
    </row>
    <row r="177" spans="1:14" ht="12" customHeight="1">
      <c r="A177" s="15" t="s">
        <v>44</v>
      </c>
      <c r="B177" s="21">
        <v>134</v>
      </c>
      <c r="C177" s="399"/>
      <c r="D177" s="400"/>
      <c r="E177" s="27" t="s">
        <v>44</v>
      </c>
      <c r="F177" s="401" t="s">
        <v>154</v>
      </c>
      <c r="G177" s="402"/>
      <c r="H177" s="403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401" t="s">
        <v>155</v>
      </c>
      <c r="G178" s="402"/>
      <c r="H178" s="403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4" t="s">
        <v>156</v>
      </c>
      <c r="D180" s="395"/>
      <c r="E180" s="395"/>
      <c r="F180" s="395"/>
      <c r="G180" s="395"/>
      <c r="H180" s="396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4" t="s">
        <v>21</v>
      </c>
      <c r="D181" s="395"/>
      <c r="E181" s="395"/>
      <c r="F181" s="395"/>
      <c r="G181" s="395"/>
      <c r="H181" s="396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397" t="s">
        <v>157</v>
      </c>
      <c r="D182" s="398"/>
      <c r="E182" s="394" t="s">
        <v>5</v>
      </c>
      <c r="F182" s="395"/>
      <c r="G182" s="395"/>
      <c r="H182" s="396"/>
      <c r="I182" s="32"/>
    </row>
    <row r="183" spans="1:14" ht="12" customHeight="1">
      <c r="A183" s="15" t="s">
        <v>44</v>
      </c>
      <c r="B183" s="21">
        <v>140</v>
      </c>
      <c r="C183" s="399"/>
      <c r="D183" s="400"/>
      <c r="E183" s="26" t="s">
        <v>55</v>
      </c>
      <c r="F183" s="401" t="s">
        <v>44</v>
      </c>
      <c r="G183" s="402"/>
      <c r="H183" s="403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397" t="s">
        <v>158</v>
      </c>
      <c r="D185" s="398"/>
      <c r="E185" s="394" t="s">
        <v>5</v>
      </c>
      <c r="F185" s="395"/>
      <c r="G185" s="395"/>
      <c r="H185" s="396"/>
      <c r="I185" s="32"/>
    </row>
    <row r="186" spans="1:14" ht="12" customHeight="1">
      <c r="A186" s="15" t="s">
        <v>44</v>
      </c>
      <c r="B186" s="21">
        <v>143</v>
      </c>
      <c r="C186" s="399"/>
      <c r="D186" s="400"/>
      <c r="E186" s="26" t="s">
        <v>55</v>
      </c>
      <c r="F186" s="401" t="s">
        <v>159</v>
      </c>
      <c r="G186" s="402"/>
      <c r="H186" s="403"/>
      <c r="I186" s="32"/>
    </row>
    <row r="187" spans="1:14" ht="12" customHeight="1">
      <c r="A187" s="15" t="s">
        <v>44</v>
      </c>
      <c r="B187" s="21">
        <v>144</v>
      </c>
      <c r="C187" s="399"/>
      <c r="D187" s="400"/>
      <c r="E187" s="27" t="s">
        <v>44</v>
      </c>
      <c r="F187" s="401" t="s">
        <v>160</v>
      </c>
      <c r="G187" s="402"/>
      <c r="H187" s="403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391" t="s">
        <v>161</v>
      </c>
      <c r="G188" s="392"/>
      <c r="H188" s="393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391" t="s">
        <v>162</v>
      </c>
      <c r="G189" s="392"/>
      <c r="H189" s="393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391" t="s">
        <v>163</v>
      </c>
      <c r="G190" s="392"/>
      <c r="H190" s="393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5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7" t="s">
        <v>287</v>
      </c>
      <c r="G1" s="447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290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300</v>
      </c>
      <c r="F5" s="220" t="s">
        <v>299</v>
      </c>
      <c r="G5" s="219" t="s">
        <v>282</v>
      </c>
      <c r="H5" s="219" t="s">
        <v>301</v>
      </c>
      <c r="I5" s="219" t="s">
        <v>302</v>
      </c>
      <c r="J5" s="219" t="s">
        <v>303</v>
      </c>
    </row>
    <row r="6" spans="1:10">
      <c r="A6" s="200" t="s">
        <v>262</v>
      </c>
      <c r="B6" s="201" t="s">
        <v>289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45">
      <c r="A7" s="205">
        <v>1</v>
      </c>
      <c r="B7" s="206" t="s">
        <v>448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307</v>
      </c>
      <c r="I7" s="264" t="s">
        <v>309</v>
      </c>
      <c r="J7" s="270" t="s">
        <v>449</v>
      </c>
    </row>
    <row r="8" spans="1:10" ht="30">
      <c r="A8" s="205">
        <v>2</v>
      </c>
      <c r="B8" s="206" t="s">
        <v>429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307</v>
      </c>
      <c r="I8" s="264" t="s">
        <v>309</v>
      </c>
      <c r="J8" s="270" t="s">
        <v>332</v>
      </c>
    </row>
    <row r="9" spans="1:10" ht="45">
      <c r="A9" s="205">
        <v>2</v>
      </c>
      <c r="B9" s="206" t="s">
        <v>446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307</v>
      </c>
      <c r="I9" s="264" t="s">
        <v>309</v>
      </c>
      <c r="J9" s="270" t="s">
        <v>447</v>
      </c>
    </row>
    <row r="10" spans="1:10">
      <c r="A10" s="200" t="s">
        <v>288</v>
      </c>
      <c r="B10" s="201" t="s">
        <v>291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420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307</v>
      </c>
      <c r="I11" s="264" t="s">
        <v>311</v>
      </c>
      <c r="J11" s="270" t="s">
        <v>331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86">
        <v>1</v>
      </c>
      <c r="B13" s="293" t="s">
        <v>430</v>
      </c>
      <c r="C13" s="286" t="s">
        <v>270</v>
      </c>
      <c r="D13" s="287">
        <v>1</v>
      </c>
      <c r="E13" s="288">
        <v>1300000</v>
      </c>
      <c r="F13" s="289">
        <f>IF(E13&gt;0,E13-MIN(E13,4250000)*10%-MIN(E13,1700000)*2%-MAX(0,E13-MIN(E13,4250000)*10%-MIN(E13,1700000)*2%-129750)*10%,0)</f>
        <v>1042575</v>
      </c>
      <c r="G13" s="287">
        <f>D13*E13*12/1000</f>
        <v>15600</v>
      </c>
      <c r="H13" s="287" t="s">
        <v>307</v>
      </c>
      <c r="I13" s="290" t="s">
        <v>428</v>
      </c>
      <c r="J13" s="291" t="s">
        <v>330</v>
      </c>
    </row>
    <row r="14" spans="1:10">
      <c r="A14" s="182">
        <v>2</v>
      </c>
      <c r="B14" s="210" t="s">
        <v>431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307</v>
      </c>
      <c r="I14" s="264" t="s">
        <v>311</v>
      </c>
      <c r="J14" s="270" t="s">
        <v>329</v>
      </c>
    </row>
    <row r="15" spans="1:10" s="214" customFormat="1" ht="29.25">
      <c r="A15" s="213">
        <v>3</v>
      </c>
      <c r="B15" s="210" t="s">
        <v>432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307</v>
      </c>
      <c r="I15" s="284" t="s">
        <v>311</v>
      </c>
      <c r="J15" s="285" t="s">
        <v>328</v>
      </c>
    </row>
    <row r="16" spans="1:10" s="214" customFormat="1">
      <c r="A16" s="249">
        <v>4</v>
      </c>
      <c r="B16" s="255" t="s">
        <v>433</v>
      </c>
      <c r="C16" s="249"/>
      <c r="D16" s="251"/>
      <c r="E16" s="252"/>
      <c r="F16" s="253"/>
      <c r="G16" s="251"/>
      <c r="H16" s="251" t="s">
        <v>304</v>
      </c>
      <c r="I16" s="263" t="s">
        <v>311</v>
      </c>
      <c r="J16" s="272" t="s">
        <v>427</v>
      </c>
    </row>
    <row r="17" spans="1:10" s="214" customFormat="1" ht="30">
      <c r="A17" s="243">
        <v>5</v>
      </c>
      <c r="B17" s="244" t="s">
        <v>434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307</v>
      </c>
      <c r="I17" s="266" t="s">
        <v>320</v>
      </c>
      <c r="J17" s="271" t="s">
        <v>327</v>
      </c>
    </row>
    <row r="18" spans="1:10" ht="42.75">
      <c r="A18" s="202"/>
      <c r="B18" s="203" t="s">
        <v>426</v>
      </c>
      <c r="C18" s="204"/>
      <c r="D18" s="181">
        <f>SUM(D19:D22)</f>
        <v>4</v>
      </c>
      <c r="E18" s="221">
        <f>SUM(E19:E22)</f>
        <v>3030000</v>
      </c>
      <c r="F18" s="222">
        <f>SUM(F19:F22)</f>
        <v>2451660</v>
      </c>
      <c r="G18" s="181">
        <f>SUM(G19:G22)</f>
        <v>36360</v>
      </c>
      <c r="H18" s="181"/>
      <c r="I18" s="181"/>
      <c r="J18" s="267"/>
    </row>
    <row r="19" spans="1:10" ht="45">
      <c r="A19" s="196">
        <v>1</v>
      </c>
      <c r="B19" s="211" t="s">
        <v>451</v>
      </c>
      <c r="C19" s="194" t="s">
        <v>272</v>
      </c>
      <c r="D19" s="177">
        <v>1</v>
      </c>
      <c r="E19" s="223">
        <v>1000000</v>
      </c>
      <c r="F19" s="224">
        <f>IF(E19&gt;0,E19-MIN(E19,4250000)*10%-MIN(E19,1700000)*2%-MAX(0,E19-MIN(E19,4250000)*10%-MIN(E19,1700000)*2%-129750)*10%,0)</f>
        <v>804975</v>
      </c>
      <c r="G19" s="177">
        <f>D19*E19*12/1000</f>
        <v>12000</v>
      </c>
      <c r="H19" s="177" t="s">
        <v>307</v>
      </c>
      <c r="I19" s="264" t="s">
        <v>311</v>
      </c>
      <c r="J19" s="270" t="s">
        <v>412</v>
      </c>
    </row>
    <row r="20" spans="1:10" s="214" customFormat="1" ht="30">
      <c r="A20" s="213">
        <v>2</v>
      </c>
      <c r="B20" s="210" t="s">
        <v>452</v>
      </c>
      <c r="C20" s="213" t="s">
        <v>272</v>
      </c>
      <c r="D20" s="281">
        <v>1</v>
      </c>
      <c r="E20" s="282">
        <v>615000</v>
      </c>
      <c r="F20" s="283">
        <f>IF(E20&gt;0,E20-MIN(E20,4250000)*10%-MIN(E20,1700000)*2%-MAX(0,E20-MIN(E20,4250000)*10%-MIN(E20,1700000)*2%-129750)*10%,0)</f>
        <v>500055</v>
      </c>
      <c r="G20" s="281">
        <f>D20*E20*12/1000</f>
        <v>7380</v>
      </c>
      <c r="H20" s="281" t="s">
        <v>307</v>
      </c>
      <c r="I20" s="284" t="s">
        <v>311</v>
      </c>
      <c r="J20" s="285" t="s">
        <v>326</v>
      </c>
    </row>
    <row r="21" spans="1:10" s="214" customFormat="1" ht="30">
      <c r="A21" s="213">
        <v>3</v>
      </c>
      <c r="B21" s="210" t="s">
        <v>453</v>
      </c>
      <c r="C21" s="213" t="s">
        <v>272</v>
      </c>
      <c r="D21" s="281">
        <v>1</v>
      </c>
      <c r="E21" s="282">
        <v>615000</v>
      </c>
      <c r="F21" s="283">
        <f>IF(E21&gt;0,E21-MIN(E21,4250000)*10%-MIN(E21,1700000)*2%-MAX(0,E21-MIN(E21,4250000)*10%-MIN(E21,1700000)*2%-129750)*10%,0)</f>
        <v>500055</v>
      </c>
      <c r="G21" s="281">
        <f>D21*E21*12/1000</f>
        <v>7380</v>
      </c>
      <c r="H21" s="281" t="s">
        <v>307</v>
      </c>
      <c r="I21" s="284" t="s">
        <v>311</v>
      </c>
      <c r="J21" s="285" t="s">
        <v>450</v>
      </c>
    </row>
    <row r="22" spans="1:10" s="214" customFormat="1" ht="30">
      <c r="A22" s="243">
        <v>4</v>
      </c>
      <c r="B22" s="244" t="s">
        <v>454</v>
      </c>
      <c r="C22" s="243" t="s">
        <v>272</v>
      </c>
      <c r="D22" s="245">
        <v>1</v>
      </c>
      <c r="E22" s="246">
        <v>800000</v>
      </c>
      <c r="F22" s="247">
        <f>IF(E22&gt;0,E22-MIN(E22,4250000)*10%-MIN(E22,1700000)*2%-MAX(0,E22-MIN(E22,4250000)*10%-MIN(E22,1700000)*2%-129750)*10%,0)</f>
        <v>646575</v>
      </c>
      <c r="G22" s="245">
        <f>D22*E22*12/1000</f>
        <v>9600</v>
      </c>
      <c r="H22" s="245" t="s">
        <v>307</v>
      </c>
      <c r="I22" s="266" t="s">
        <v>320</v>
      </c>
      <c r="J22" s="271" t="s">
        <v>325</v>
      </c>
    </row>
    <row r="23" spans="1:10" ht="28.5">
      <c r="A23" s="171" t="s">
        <v>280</v>
      </c>
      <c r="B23" s="180" t="s">
        <v>277</v>
      </c>
      <c r="C23" s="179"/>
      <c r="D23" s="181">
        <f>SUM(D24:D33)</f>
        <v>10</v>
      </c>
      <c r="E23" s="221">
        <f t="shared" ref="E23:G23" si="3">SUM(E24:E33)</f>
        <v>9200000</v>
      </c>
      <c r="F23" s="222">
        <f>SUM(F24:F33)</f>
        <v>7416150</v>
      </c>
      <c r="G23" s="181">
        <f t="shared" si="3"/>
        <v>110400</v>
      </c>
      <c r="H23" s="181"/>
      <c r="I23" s="181"/>
      <c r="J23" s="267"/>
    </row>
    <row r="24" spans="1:10" s="214" customFormat="1" ht="30">
      <c r="A24" s="243">
        <v>1</v>
      </c>
      <c r="B24" s="248" t="s">
        <v>435</v>
      </c>
      <c r="C24" s="243" t="s">
        <v>270</v>
      </c>
      <c r="D24" s="245">
        <v>1</v>
      </c>
      <c r="E24" s="246">
        <v>1300000</v>
      </c>
      <c r="F24" s="247">
        <f t="shared" ref="F24:F33" si="4">IF(E24&gt;0,E24-MIN(E24,4250000)*10%-MIN(E24,1700000)*2%-MAX(0,E24-MIN(E24,4250000)*10%-MIN(E24,1700000)*2%-129750)*10%,0)</f>
        <v>1042575</v>
      </c>
      <c r="G24" s="245">
        <f t="shared" ref="G24:G33" si="5">D24*E24*12/1000</f>
        <v>15600</v>
      </c>
      <c r="H24" s="245" t="s">
        <v>307</v>
      </c>
      <c r="I24" s="266" t="s">
        <v>320</v>
      </c>
      <c r="J24" s="271" t="s">
        <v>324</v>
      </c>
    </row>
    <row r="25" spans="1:10" ht="30">
      <c r="A25" s="182">
        <v>2</v>
      </c>
      <c r="B25" s="183" t="s">
        <v>445</v>
      </c>
      <c r="C25" s="194" t="s">
        <v>272</v>
      </c>
      <c r="D25" s="177">
        <v>1</v>
      </c>
      <c r="E25" s="223">
        <v>1100000</v>
      </c>
      <c r="F25" s="224">
        <f t="shared" si="4"/>
        <v>884175</v>
      </c>
      <c r="G25" s="177">
        <f t="shared" si="5"/>
        <v>13200</v>
      </c>
      <c r="H25" s="177" t="s">
        <v>307</v>
      </c>
      <c r="I25" s="264" t="s">
        <v>311</v>
      </c>
      <c r="J25" s="270" t="s">
        <v>323</v>
      </c>
    </row>
    <row r="26" spans="1:10" ht="30">
      <c r="A26" s="213">
        <v>3</v>
      </c>
      <c r="B26" s="183" t="s">
        <v>425</v>
      </c>
      <c r="C26" s="194" t="s">
        <v>272</v>
      </c>
      <c r="D26" s="177">
        <v>1</v>
      </c>
      <c r="E26" s="223">
        <v>1000000</v>
      </c>
      <c r="F26" s="224">
        <f t="shared" si="4"/>
        <v>804975</v>
      </c>
      <c r="G26" s="177">
        <f t="shared" si="5"/>
        <v>12000</v>
      </c>
      <c r="H26" s="177" t="s">
        <v>307</v>
      </c>
      <c r="I26" s="264" t="s">
        <v>311</v>
      </c>
      <c r="J26" s="270" t="s">
        <v>415</v>
      </c>
    </row>
    <row r="27" spans="1:10" s="214" customFormat="1" ht="30">
      <c r="A27" s="243">
        <v>4</v>
      </c>
      <c r="B27" s="248" t="s">
        <v>436</v>
      </c>
      <c r="C27" s="243" t="s">
        <v>272</v>
      </c>
      <c r="D27" s="245">
        <v>1</v>
      </c>
      <c r="E27" s="246">
        <v>1000000</v>
      </c>
      <c r="F27" s="247">
        <f t="shared" si="4"/>
        <v>804975</v>
      </c>
      <c r="G27" s="245">
        <f t="shared" si="5"/>
        <v>12000</v>
      </c>
      <c r="H27" s="245" t="s">
        <v>307</v>
      </c>
      <c r="I27" s="266" t="s">
        <v>320</v>
      </c>
      <c r="J27" s="271" t="s">
        <v>322</v>
      </c>
    </row>
    <row r="28" spans="1:10" ht="30">
      <c r="A28" s="182">
        <v>5</v>
      </c>
      <c r="B28" s="183" t="s">
        <v>423</v>
      </c>
      <c r="C28" s="194" t="s">
        <v>272</v>
      </c>
      <c r="D28" s="177">
        <v>1</v>
      </c>
      <c r="E28" s="223">
        <v>1000000</v>
      </c>
      <c r="F28" s="224">
        <f t="shared" si="4"/>
        <v>804975</v>
      </c>
      <c r="G28" s="177">
        <f t="shared" si="5"/>
        <v>12000</v>
      </c>
      <c r="H28" s="177" t="s">
        <v>307</v>
      </c>
      <c r="I28" s="264" t="s">
        <v>311</v>
      </c>
      <c r="J28" s="270" t="s">
        <v>416</v>
      </c>
    </row>
    <row r="29" spans="1:10" ht="30">
      <c r="A29" s="182">
        <v>6</v>
      </c>
      <c r="B29" s="183" t="s">
        <v>424</v>
      </c>
      <c r="C29" s="194" t="s">
        <v>272</v>
      </c>
      <c r="D29" s="177">
        <v>1</v>
      </c>
      <c r="E29" s="223">
        <v>1000000</v>
      </c>
      <c r="F29" s="224">
        <f t="shared" si="4"/>
        <v>804975</v>
      </c>
      <c r="G29" s="177">
        <f t="shared" si="5"/>
        <v>12000</v>
      </c>
      <c r="H29" s="177" t="s">
        <v>307</v>
      </c>
      <c r="I29" s="264" t="s">
        <v>311</v>
      </c>
      <c r="J29" s="270" t="s">
        <v>417</v>
      </c>
    </row>
    <row r="30" spans="1:10" ht="30">
      <c r="A30" s="213">
        <v>7</v>
      </c>
      <c r="B30" s="292" t="s">
        <v>437</v>
      </c>
      <c r="C30" s="213" t="s">
        <v>271</v>
      </c>
      <c r="D30" s="281">
        <v>1</v>
      </c>
      <c r="E30" s="282">
        <v>700000</v>
      </c>
      <c r="F30" s="283">
        <f t="shared" si="4"/>
        <v>567375</v>
      </c>
      <c r="G30" s="281">
        <f t="shared" si="5"/>
        <v>8400</v>
      </c>
      <c r="H30" s="281" t="s">
        <v>307</v>
      </c>
      <c r="I30" s="284" t="s">
        <v>311</v>
      </c>
      <c r="J30" s="285" t="s">
        <v>322</v>
      </c>
    </row>
    <row r="31" spans="1:10" s="214" customFormat="1" ht="30">
      <c r="A31" s="243">
        <v>8</v>
      </c>
      <c r="B31" s="244" t="s">
        <v>438</v>
      </c>
      <c r="C31" s="243" t="s">
        <v>271</v>
      </c>
      <c r="D31" s="245">
        <v>1</v>
      </c>
      <c r="E31" s="246">
        <v>700000</v>
      </c>
      <c r="F31" s="247">
        <f t="shared" si="4"/>
        <v>567375</v>
      </c>
      <c r="G31" s="245">
        <f t="shared" si="5"/>
        <v>8400</v>
      </c>
      <c r="H31" s="245" t="s">
        <v>307</v>
      </c>
      <c r="I31" s="266" t="s">
        <v>320</v>
      </c>
      <c r="J31" s="271" t="s">
        <v>322</v>
      </c>
    </row>
    <row r="32" spans="1:10" s="214" customFormat="1" ht="30">
      <c r="A32" s="243">
        <v>9</v>
      </c>
      <c r="B32" s="244" t="s">
        <v>439</v>
      </c>
      <c r="C32" s="243" t="s">
        <v>271</v>
      </c>
      <c r="D32" s="245">
        <v>1</v>
      </c>
      <c r="E32" s="246">
        <v>700000</v>
      </c>
      <c r="F32" s="247">
        <f t="shared" si="4"/>
        <v>567375</v>
      </c>
      <c r="G32" s="245">
        <f t="shared" si="5"/>
        <v>8400</v>
      </c>
      <c r="H32" s="245" t="s">
        <v>307</v>
      </c>
      <c r="I32" s="266" t="s">
        <v>320</v>
      </c>
      <c r="J32" s="271" t="s">
        <v>321</v>
      </c>
    </row>
    <row r="33" spans="1:10" s="214" customFormat="1" ht="30">
      <c r="A33" s="243">
        <v>10</v>
      </c>
      <c r="B33" s="244" t="s">
        <v>440</v>
      </c>
      <c r="C33" s="243" t="s">
        <v>271</v>
      </c>
      <c r="D33" s="245">
        <v>1</v>
      </c>
      <c r="E33" s="246">
        <v>700000</v>
      </c>
      <c r="F33" s="247">
        <f t="shared" si="4"/>
        <v>567375</v>
      </c>
      <c r="G33" s="245">
        <f t="shared" si="5"/>
        <v>8400</v>
      </c>
      <c r="H33" s="245" t="s">
        <v>307</v>
      </c>
      <c r="I33" s="266" t="s">
        <v>320</v>
      </c>
      <c r="J33" s="271" t="s">
        <v>322</v>
      </c>
    </row>
    <row r="34" spans="1:10" s="166" customFormat="1">
      <c r="A34" s="171" t="s">
        <v>281</v>
      </c>
      <c r="B34" s="184" t="s">
        <v>278</v>
      </c>
      <c r="C34" s="187"/>
      <c r="D34" s="185">
        <f t="shared" ref="D34:G34" si="6">SUM(D35:D36)</f>
        <v>1</v>
      </c>
      <c r="E34" s="225">
        <f t="shared" si="6"/>
        <v>1300000</v>
      </c>
      <c r="F34" s="226">
        <f t="shared" si="6"/>
        <v>1042575</v>
      </c>
      <c r="G34" s="185">
        <f t="shared" si="6"/>
        <v>15600</v>
      </c>
      <c r="H34" s="185"/>
      <c r="I34" s="185"/>
      <c r="J34" s="268"/>
    </row>
    <row r="35" spans="1:10" ht="30">
      <c r="A35" s="182">
        <v>1</v>
      </c>
      <c r="B35" s="183" t="s">
        <v>422</v>
      </c>
      <c r="C35" s="192" t="s">
        <v>270</v>
      </c>
      <c r="D35" s="177">
        <v>1</v>
      </c>
      <c r="E35" s="223">
        <v>1300000</v>
      </c>
      <c r="F35" s="224">
        <f>IF(E35&gt;0,E35-MIN(E35,4250000)*10%-MIN(E35,1700000)*2%-MAX(0,E35-MIN(E35,4250000)*10%-MIN(E35,1700000)*2%-129750)*10%,0)</f>
        <v>1042575</v>
      </c>
      <c r="G35" s="177">
        <f>D35*E35*12/1000</f>
        <v>15600</v>
      </c>
      <c r="H35" s="177" t="s">
        <v>307</v>
      </c>
      <c r="I35" s="264" t="s">
        <v>311</v>
      </c>
      <c r="J35" s="270" t="s">
        <v>418</v>
      </c>
    </row>
    <row r="36" spans="1:10" ht="30">
      <c r="A36" s="249">
        <v>2</v>
      </c>
      <c r="B36" s="250" t="s">
        <v>297</v>
      </c>
      <c r="C36" s="249"/>
      <c r="D36" s="251"/>
      <c r="E36" s="252"/>
      <c r="F36" s="253"/>
      <c r="G36" s="251"/>
      <c r="H36" s="251" t="s">
        <v>304</v>
      </c>
      <c r="I36" s="263" t="s">
        <v>311</v>
      </c>
      <c r="J36" s="272" t="s">
        <v>319</v>
      </c>
    </row>
    <row r="37" spans="1:10">
      <c r="A37" s="171" t="s">
        <v>266</v>
      </c>
      <c r="B37" s="172" t="s">
        <v>275</v>
      </c>
      <c r="C37" s="188"/>
      <c r="D37" s="173">
        <f t="shared" ref="D37:G37" si="7">SUM(D38:D45)</f>
        <v>5</v>
      </c>
      <c r="E37" s="227">
        <f t="shared" si="7"/>
        <v>4700000</v>
      </c>
      <c r="F37" s="228">
        <f>SUM(F38:F45)</f>
        <v>3787275</v>
      </c>
      <c r="G37" s="173">
        <f t="shared" si="7"/>
        <v>56400</v>
      </c>
      <c r="H37" s="173"/>
      <c r="I37" s="173"/>
      <c r="J37" s="269"/>
    </row>
    <row r="38" spans="1:10" ht="30">
      <c r="A38" s="168">
        <v>1</v>
      </c>
      <c r="B38" s="176" t="s">
        <v>441</v>
      </c>
      <c r="C38" s="193" t="s">
        <v>270</v>
      </c>
      <c r="D38" s="170">
        <v>1</v>
      </c>
      <c r="E38" s="229">
        <v>1300000</v>
      </c>
      <c r="F38" s="230">
        <f>IF(E38&gt;0,E38-MIN(E38,4250000)*10%-MIN(E38,1700000)*2%-MAX(0,E38-MIN(E38,4250000)*10%-MIN(E38,1700000)*2%-129750)*10%,0)</f>
        <v>1042575</v>
      </c>
      <c r="G38" s="170">
        <f>D38*E38*12/1000</f>
        <v>15600</v>
      </c>
      <c r="H38" s="170" t="s">
        <v>307</v>
      </c>
      <c r="I38" s="265" t="s">
        <v>311</v>
      </c>
      <c r="J38" s="273" t="s">
        <v>318</v>
      </c>
    </row>
    <row r="39" spans="1:10" ht="30">
      <c r="A39" s="168">
        <v>2</v>
      </c>
      <c r="B39" s="210" t="s">
        <v>421</v>
      </c>
      <c r="C39" s="194" t="s">
        <v>272</v>
      </c>
      <c r="D39" s="170">
        <v>1</v>
      </c>
      <c r="E39" s="229">
        <v>1000000</v>
      </c>
      <c r="F39" s="230">
        <f>IF(E39&gt;0,E39-MIN(E39,4250000)*10%-MIN(E39,1700000)*2%-MAX(0,E39-MIN(E39,4250000)*10%-MIN(E39,1700000)*2%-129750)*10%,0)</f>
        <v>804975</v>
      </c>
      <c r="G39" s="170">
        <f>D39*E39*12/1000</f>
        <v>12000</v>
      </c>
      <c r="H39" s="170" t="s">
        <v>307</v>
      </c>
      <c r="I39" s="265" t="s">
        <v>311</v>
      </c>
      <c r="J39" s="273" t="s">
        <v>419</v>
      </c>
    </row>
    <row r="40" spans="1:10" s="212" customFormat="1" ht="30">
      <c r="A40" s="254">
        <v>3</v>
      </c>
      <c r="B40" s="255" t="s">
        <v>294</v>
      </c>
      <c r="C40" s="249" t="s">
        <v>272</v>
      </c>
      <c r="D40" s="256"/>
      <c r="E40" s="257"/>
      <c r="F40" s="258"/>
      <c r="G40" s="256"/>
      <c r="H40" s="256" t="s">
        <v>304</v>
      </c>
      <c r="I40" s="262" t="s">
        <v>311</v>
      </c>
      <c r="J40" s="274" t="s">
        <v>317</v>
      </c>
    </row>
    <row r="41" spans="1:10" s="212" customFormat="1" ht="30">
      <c r="A41" s="254">
        <v>4</v>
      </c>
      <c r="B41" s="255" t="s">
        <v>295</v>
      </c>
      <c r="C41" s="249" t="s">
        <v>271</v>
      </c>
      <c r="D41" s="256"/>
      <c r="E41" s="257"/>
      <c r="F41" s="258"/>
      <c r="G41" s="256"/>
      <c r="H41" s="256" t="s">
        <v>304</v>
      </c>
      <c r="I41" s="262" t="s">
        <v>311</v>
      </c>
      <c r="J41" s="274" t="s">
        <v>316</v>
      </c>
    </row>
    <row r="42" spans="1:10" s="212" customFormat="1">
      <c r="A42" s="294">
        <v>5</v>
      </c>
      <c r="B42" s="210" t="s">
        <v>442</v>
      </c>
      <c r="C42" s="213" t="s">
        <v>271</v>
      </c>
      <c r="D42" s="295">
        <v>1</v>
      </c>
      <c r="E42" s="296">
        <v>700000</v>
      </c>
      <c r="F42" s="297">
        <f>IF(E42&gt;0,E42-MIN(E42,4250000)*10%-MIN(E42,1700000)*2%-MAX(0,E42-MIN(E42,4250000)*10%-MIN(E42,1700000)*2%-129750)*10%,0)</f>
        <v>567375</v>
      </c>
      <c r="G42" s="295">
        <f>D42*E42*12/1000</f>
        <v>8400</v>
      </c>
      <c r="H42" s="295" t="s">
        <v>307</v>
      </c>
      <c r="I42" s="298" t="s">
        <v>311</v>
      </c>
      <c r="J42" s="299" t="s">
        <v>315</v>
      </c>
    </row>
    <row r="43" spans="1:10" ht="30">
      <c r="A43" s="168">
        <v>6</v>
      </c>
      <c r="B43" s="176" t="s">
        <v>443</v>
      </c>
      <c r="C43" s="194" t="s">
        <v>272</v>
      </c>
      <c r="D43" s="177">
        <v>1</v>
      </c>
      <c r="E43" s="229">
        <v>1000000</v>
      </c>
      <c r="F43" s="230">
        <f>IF(E43&gt;0,E43-MIN(E43,4250000)*10%-MIN(E43,1700000)*2%-MAX(0,E43-MIN(E43,4250000)*10%-MIN(E43,1700000)*2%-129750)*10%,0)</f>
        <v>804975</v>
      </c>
      <c r="G43" s="170">
        <f>D43*E43*12/1000</f>
        <v>12000</v>
      </c>
      <c r="H43" s="170" t="s">
        <v>307</v>
      </c>
      <c r="I43" s="265" t="s">
        <v>311</v>
      </c>
      <c r="J43" s="273" t="s">
        <v>314</v>
      </c>
    </row>
    <row r="44" spans="1:10" ht="30">
      <c r="A44" s="182">
        <v>7</v>
      </c>
      <c r="B44" s="176" t="s">
        <v>444</v>
      </c>
      <c r="C44" s="195" t="s">
        <v>271</v>
      </c>
      <c r="D44" s="177">
        <v>1</v>
      </c>
      <c r="E44" s="223">
        <v>700000</v>
      </c>
      <c r="F44" s="224">
        <f>IF(E44&gt;0,E44-MIN(E44,4250000)*10%-MIN(E44,1700000)*2%-MAX(0,E44-MIN(E44,4250000)*10%-MIN(E44,1700000)*2%-129750)*10%,0)</f>
        <v>567375</v>
      </c>
      <c r="G44" s="177">
        <f>D44*E44*12/1000</f>
        <v>8400</v>
      </c>
      <c r="H44" s="177" t="s">
        <v>307</v>
      </c>
      <c r="I44" s="264" t="s">
        <v>311</v>
      </c>
      <c r="J44" s="270" t="s">
        <v>313</v>
      </c>
    </row>
    <row r="45" spans="1:10" s="212" customFormat="1" ht="30">
      <c r="A45" s="254">
        <v>8</v>
      </c>
      <c r="B45" s="255" t="s">
        <v>296</v>
      </c>
      <c r="C45" s="249" t="s">
        <v>271</v>
      </c>
      <c r="D45" s="256">
        <v>0</v>
      </c>
      <c r="E45" s="257"/>
      <c r="F45" s="258"/>
      <c r="G45" s="256"/>
      <c r="H45" s="256" t="s">
        <v>304</v>
      </c>
      <c r="I45" s="262" t="s">
        <v>311</v>
      </c>
      <c r="J45" s="274" t="s">
        <v>312</v>
      </c>
    </row>
    <row r="46" spans="1:10">
      <c r="A46" s="167" t="s">
        <v>267</v>
      </c>
      <c r="B46" s="167" t="s">
        <v>293</v>
      </c>
      <c r="C46" s="167"/>
      <c r="D46" s="167">
        <f t="shared" ref="D46:G46" si="8">SUM(D47:D50)</f>
        <v>2</v>
      </c>
      <c r="E46" s="231">
        <f t="shared" si="8"/>
        <v>3393100</v>
      </c>
      <c r="F46" s="232">
        <f t="shared" si="8"/>
        <v>2739235.2</v>
      </c>
      <c r="G46" s="167">
        <f t="shared" si="8"/>
        <v>25200</v>
      </c>
      <c r="H46" s="167"/>
      <c r="I46" s="167"/>
      <c r="J46" s="269"/>
    </row>
    <row r="47" spans="1:10" ht="30">
      <c r="A47" s="168">
        <v>1</v>
      </c>
      <c r="B47" s="169" t="s">
        <v>283</v>
      </c>
      <c r="C47" s="193" t="s">
        <v>270</v>
      </c>
      <c r="D47" s="170">
        <v>1</v>
      </c>
      <c r="E47" s="229">
        <v>1400000</v>
      </c>
      <c r="F47" s="230">
        <f>IF(E47&gt;0,E47-MIN(E47,4250000)*10%-MIN(E47,1700000)*2%-MAX(0,E47-MIN(E47,4250000)*10%-MIN(E47,1700000)*2%-129750)*10%,0)</f>
        <v>1121775</v>
      </c>
      <c r="G47" s="170">
        <f>D47*E47*12/1000</f>
        <v>16800</v>
      </c>
      <c r="H47" s="170" t="s">
        <v>307</v>
      </c>
      <c r="I47" s="265" t="s">
        <v>309</v>
      </c>
      <c r="J47" s="273" t="s">
        <v>310</v>
      </c>
    </row>
    <row r="48" spans="1:10">
      <c r="A48" s="196">
        <v>2</v>
      </c>
      <c r="B48" s="215" t="s">
        <v>284</v>
      </c>
      <c r="C48" s="194" t="s">
        <v>272</v>
      </c>
      <c r="D48" s="170">
        <v>1</v>
      </c>
      <c r="E48" s="223">
        <v>700000</v>
      </c>
      <c r="F48" s="224">
        <f>IF(E48&gt;0,E48-MIN(E48,4250000)*10%-MIN(E48,1700000)*2%-MAX(0,E48-MIN(E48,4250000)*10%-MIN(E48,1700000)*2%-129750)*10%,0)</f>
        <v>567375</v>
      </c>
      <c r="G48" s="177">
        <f>D48*E48*12/1000</f>
        <v>8400</v>
      </c>
      <c r="H48" s="177" t="s">
        <v>307</v>
      </c>
      <c r="I48" s="264" t="s">
        <v>311</v>
      </c>
      <c r="J48" s="270" t="s">
        <v>308</v>
      </c>
    </row>
    <row r="49" spans="1:10">
      <c r="A49" s="259">
        <v>3</v>
      </c>
      <c r="B49" s="260" t="s">
        <v>285</v>
      </c>
      <c r="C49" s="249"/>
      <c r="D49" s="256"/>
      <c r="E49" s="252">
        <v>867500</v>
      </c>
      <c r="F49" s="253">
        <f>IF(E49&gt;0,E49-MIN(E49,4250000)*10%-MIN(E49,1700000)*2%-MAX(0,E49-MIN(E49,4250000)*10%-MIN(E49,1700000)*2%-129750)*10%,0)</f>
        <v>700035</v>
      </c>
      <c r="G49" s="251"/>
      <c r="H49" s="251" t="s">
        <v>304</v>
      </c>
      <c r="I49" s="263" t="s">
        <v>311</v>
      </c>
      <c r="J49" s="272" t="s">
        <v>306</v>
      </c>
    </row>
    <row r="50" spans="1:10" ht="30">
      <c r="A50" s="259">
        <v>4</v>
      </c>
      <c r="B50" s="260" t="s">
        <v>286</v>
      </c>
      <c r="C50" s="249"/>
      <c r="D50" s="251"/>
      <c r="E50" s="257">
        <v>425600</v>
      </c>
      <c r="F50" s="258">
        <f>IF(E50&gt;0,E50-MIN(E50,4250000)*10%-MIN(E50,1700000)*2%-MAX(0,E50-MIN(E50,4250000)*10%-MIN(E50,1700000)*2%-129750)*10%,0)</f>
        <v>350050.2</v>
      </c>
      <c r="G50" s="256"/>
      <c r="H50" s="256" t="s">
        <v>304</v>
      </c>
      <c r="I50" s="262" t="s">
        <v>311</v>
      </c>
      <c r="J50" s="274" t="s">
        <v>305</v>
      </c>
    </row>
    <row r="51" spans="1:10" ht="15.75" thickBot="1">
      <c r="A51" s="197"/>
      <c r="B51" s="198" t="s">
        <v>292</v>
      </c>
      <c r="C51" s="189"/>
      <c r="D51" s="174">
        <f>D6+D10+D12+D18+D23+D34+D37+D46</f>
        <v>30</v>
      </c>
      <c r="E51" s="233">
        <f>E6+E10+E12+E18+E23+E34+E37+E46</f>
        <v>31423100</v>
      </c>
      <c r="F51" s="235">
        <f>F6+F10+F12+F18+F23+F34+F37+F46</f>
        <v>25302295.199999999</v>
      </c>
      <c r="G51" s="234">
        <f>G6+G10+G12+G18+G23+G34+G37+G46</f>
        <v>361560</v>
      </c>
      <c r="H51" s="234"/>
      <c r="I51" s="234"/>
      <c r="J51" s="234"/>
    </row>
    <row r="52" spans="1:10" ht="45">
      <c r="A52" s="241"/>
      <c r="B52" s="217" t="s">
        <v>455</v>
      </c>
      <c r="C52" s="186"/>
      <c r="D52" s="1"/>
      <c r="E52" s="175"/>
      <c r="G52" s="165"/>
    </row>
    <row r="53" spans="1:10">
      <c r="A53" s="241"/>
      <c r="B53" s="261" t="s">
        <v>298</v>
      </c>
      <c r="C53" s="190"/>
      <c r="D53" s="129"/>
      <c r="E53" s="129"/>
      <c r="G53" s="1"/>
    </row>
    <row r="54" spans="1:10">
      <c r="A54" s="241"/>
      <c r="B54" s="216" t="str">
        <f>"Всего в штате по таблице (столбец D) — "&amp;D51&amp;" чел."</f>
        <v>Всего в штате по таблице (столбец D) — 30 чел.</v>
      </c>
      <c r="C54" s="190"/>
      <c r="D54" s="129"/>
      <c r="E54" s="129"/>
      <c r="G54" s="1"/>
    </row>
    <row r="55" spans="1:10" ht="43.5">
      <c r="A55" s="241"/>
      <c r="B55" s="240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6"/>
      <c r="D55" s="1"/>
      <c r="E55" s="1"/>
      <c r="G55" s="1"/>
    </row>
    <row r="56" spans="1:10">
      <c r="A56" s="1"/>
      <c r="B56" s="217"/>
      <c r="C56" s="186"/>
      <c r="D56" s="1"/>
      <c r="E56" s="1"/>
      <c r="G56" s="1"/>
    </row>
    <row r="57" spans="1:10">
      <c r="A57" s="1"/>
      <c r="B57" s="209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333</v>
      </c>
    </row>
    <row r="3" spans="1:6" ht="30" customHeight="1">
      <c r="A3" s="449" t="s">
        <v>334</v>
      </c>
      <c r="B3" s="449"/>
      <c r="C3" s="449"/>
      <c r="D3" s="449"/>
      <c r="E3" s="449"/>
      <c r="F3" s="449"/>
    </row>
    <row r="4" spans="1:6" ht="44.1" customHeight="1">
      <c r="A4" s="449" t="s">
        <v>335</v>
      </c>
      <c r="B4" s="449"/>
      <c r="C4" s="449"/>
      <c r="D4" s="449"/>
      <c r="E4" s="449"/>
      <c r="F4" s="449"/>
    </row>
    <row r="5" spans="1:6" ht="44.1" customHeight="1">
      <c r="A5" s="449" t="s">
        <v>336</v>
      </c>
      <c r="B5" s="449"/>
      <c r="C5" s="449"/>
      <c r="D5" s="449"/>
      <c r="E5" s="449"/>
      <c r="F5" s="449"/>
    </row>
    <row r="6" spans="1:6" ht="30" customHeight="1">
      <c r="A6" s="449" t="s">
        <v>337</v>
      </c>
      <c r="B6" s="449"/>
      <c r="C6" s="449"/>
      <c r="D6" s="449"/>
      <c r="E6" s="449"/>
      <c r="F6" s="449"/>
    </row>
    <row r="7" spans="1:6" ht="30" customHeight="1">
      <c r="A7" s="449" t="s">
        <v>338</v>
      </c>
      <c r="B7" s="449"/>
      <c r="C7" s="449"/>
      <c r="D7" s="449"/>
      <c r="E7" s="449"/>
      <c r="F7" s="449"/>
    </row>
    <row r="9" spans="1:6" ht="25.5">
      <c r="A9" s="279" t="s">
        <v>339</v>
      </c>
      <c r="B9" s="279" t="s">
        <v>340</v>
      </c>
      <c r="C9" s="279" t="s">
        <v>341</v>
      </c>
      <c r="D9" s="279" t="s">
        <v>342</v>
      </c>
      <c r="E9" s="279" t="s">
        <v>343</v>
      </c>
      <c r="F9" s="279" t="s">
        <v>344</v>
      </c>
    </row>
    <row r="10" spans="1:6" ht="51">
      <c r="A10" s="278" t="s">
        <v>345</v>
      </c>
      <c r="B10" s="280" t="s">
        <v>346</v>
      </c>
      <c r="C10" s="280" t="s">
        <v>347</v>
      </c>
      <c r="D10" s="278" t="s">
        <v>348</v>
      </c>
      <c r="E10" s="278" t="s">
        <v>349</v>
      </c>
      <c r="F10" s="278" t="s">
        <v>350</v>
      </c>
    </row>
    <row r="11" spans="1:6" ht="76.5">
      <c r="A11" s="278" t="s">
        <v>413</v>
      </c>
      <c r="B11" s="280" t="s">
        <v>351</v>
      </c>
      <c r="C11" s="280" t="s">
        <v>352</v>
      </c>
      <c r="D11" s="278" t="s">
        <v>353</v>
      </c>
      <c r="E11" s="278" t="s">
        <v>354</v>
      </c>
      <c r="F11" s="278" t="s">
        <v>355</v>
      </c>
    </row>
    <row r="12" spans="1:6" ht="51">
      <c r="A12" s="278" t="s">
        <v>414</v>
      </c>
      <c r="B12" s="280" t="s">
        <v>356</v>
      </c>
      <c r="C12" s="280" t="s">
        <v>357</v>
      </c>
      <c r="D12" s="278" t="s">
        <v>358</v>
      </c>
      <c r="E12" s="278" t="s">
        <v>359</v>
      </c>
      <c r="F12" s="278" t="s">
        <v>360</v>
      </c>
    </row>
    <row r="13" spans="1:6" ht="63.75">
      <c r="A13" s="278" t="s">
        <v>361</v>
      </c>
      <c r="B13" s="280" t="s">
        <v>362</v>
      </c>
      <c r="C13" s="280" t="s">
        <v>363</v>
      </c>
      <c r="D13" s="278" t="s">
        <v>364</v>
      </c>
      <c r="E13" s="278" t="s">
        <v>365</v>
      </c>
      <c r="F13" s="278" t="s">
        <v>366</v>
      </c>
    </row>
    <row r="14" spans="1:6" ht="51">
      <c r="A14" s="278" t="s">
        <v>367</v>
      </c>
      <c r="B14" s="280" t="s">
        <v>368</v>
      </c>
      <c r="C14" s="280" t="s">
        <v>369</v>
      </c>
      <c r="D14" s="278" t="s">
        <v>370</v>
      </c>
      <c r="E14" s="278" t="s">
        <v>371</v>
      </c>
      <c r="F14" s="278" t="s">
        <v>372</v>
      </c>
    </row>
    <row r="15" spans="1:6" ht="51">
      <c r="A15" s="278" t="s">
        <v>373</v>
      </c>
      <c r="B15" s="280" t="s">
        <v>374</v>
      </c>
      <c r="C15" s="280" t="s">
        <v>375</v>
      </c>
      <c r="D15" s="278" t="s">
        <v>376</v>
      </c>
      <c r="E15" s="278" t="s">
        <v>377</v>
      </c>
      <c r="F15" s="278" t="s">
        <v>378</v>
      </c>
    </row>
    <row r="16" spans="1:6" ht="51">
      <c r="A16" s="278" t="s">
        <v>379</v>
      </c>
      <c r="B16" s="280" t="s">
        <v>362</v>
      </c>
      <c r="C16" s="280" t="s">
        <v>380</v>
      </c>
      <c r="D16" s="278" t="s">
        <v>381</v>
      </c>
      <c r="E16" s="278" t="s">
        <v>382</v>
      </c>
      <c r="F16" s="278" t="s">
        <v>383</v>
      </c>
    </row>
    <row r="17" spans="1:6" ht="25.5">
      <c r="A17" s="278" t="s">
        <v>384</v>
      </c>
      <c r="B17" s="280" t="s">
        <v>362</v>
      </c>
      <c r="C17" s="280" t="s">
        <v>380</v>
      </c>
      <c r="D17" s="278" t="s">
        <v>385</v>
      </c>
      <c r="E17" s="278" t="s">
        <v>359</v>
      </c>
      <c r="F17" s="278" t="s">
        <v>386</v>
      </c>
    </row>
    <row r="18" spans="1:6" ht="38.25">
      <c r="A18" s="278" t="s">
        <v>387</v>
      </c>
      <c r="B18" s="280" t="s">
        <v>362</v>
      </c>
      <c r="C18" s="280" t="s">
        <v>380</v>
      </c>
      <c r="D18" s="278" t="s">
        <v>388</v>
      </c>
      <c r="E18" s="278" t="s">
        <v>389</v>
      </c>
      <c r="F18" s="278" t="s">
        <v>390</v>
      </c>
    </row>
    <row r="19" spans="1:6" ht="38.25">
      <c r="A19" s="278" t="s">
        <v>391</v>
      </c>
      <c r="B19" s="280" t="s">
        <v>374</v>
      </c>
      <c r="C19" s="280" t="s">
        <v>380</v>
      </c>
      <c r="D19" s="278" t="s">
        <v>392</v>
      </c>
      <c r="E19" s="278" t="s">
        <v>393</v>
      </c>
      <c r="F19" s="278" t="s">
        <v>394</v>
      </c>
    </row>
    <row r="20" spans="1:6" ht="51">
      <c r="A20" s="278" t="s">
        <v>395</v>
      </c>
      <c r="B20" s="280" t="s">
        <v>374</v>
      </c>
      <c r="C20" s="280" t="s">
        <v>380</v>
      </c>
      <c r="D20" s="278" t="s">
        <v>396</v>
      </c>
      <c r="E20" s="278" t="s">
        <v>397</v>
      </c>
      <c r="F20" s="278" t="s">
        <v>398</v>
      </c>
    </row>
    <row r="21" spans="1:6" ht="25.5">
      <c r="A21" s="278" t="s">
        <v>399</v>
      </c>
      <c r="B21" s="280" t="s">
        <v>374</v>
      </c>
      <c r="C21" s="280" t="s">
        <v>380</v>
      </c>
      <c r="D21" s="278" t="s">
        <v>400</v>
      </c>
      <c r="E21" s="278" t="s">
        <v>401</v>
      </c>
      <c r="F21" s="278" t="s">
        <v>402</v>
      </c>
    </row>
    <row r="23" spans="1:6">
      <c r="A23" s="276" t="s">
        <v>403</v>
      </c>
    </row>
    <row r="24" spans="1:6" ht="27" customHeight="1">
      <c r="A24" s="448" t="s">
        <v>404</v>
      </c>
      <c r="B24" s="448"/>
      <c r="C24" s="448"/>
      <c r="D24" s="448"/>
      <c r="E24" s="448"/>
      <c r="F24" s="448"/>
    </row>
    <row r="25" spans="1:6" ht="27" customHeight="1">
      <c r="A25" s="448" t="s">
        <v>405</v>
      </c>
      <c r="B25" s="448"/>
      <c r="C25" s="448"/>
      <c r="D25" s="448"/>
      <c r="E25" s="448"/>
      <c r="F25" s="448"/>
    </row>
    <row r="26" spans="1:6" ht="27" customHeight="1">
      <c r="A26" s="448" t="s">
        <v>406</v>
      </c>
      <c r="B26" s="448"/>
      <c r="C26" s="448"/>
      <c r="D26" s="448"/>
      <c r="E26" s="448"/>
      <c r="F26" s="448"/>
    </row>
    <row r="27" spans="1:6" ht="27" customHeight="1">
      <c r="A27" s="448" t="s">
        <v>407</v>
      </c>
      <c r="B27" s="448"/>
      <c r="C27" s="448"/>
      <c r="D27" s="448"/>
      <c r="E27" s="448"/>
      <c r="F27" s="448"/>
    </row>
    <row r="28" spans="1:6" ht="27" customHeight="1">
      <c r="A28" s="448" t="s">
        <v>408</v>
      </c>
      <c r="B28" s="448"/>
      <c r="C28" s="448"/>
      <c r="D28" s="448"/>
      <c r="E28" s="448"/>
      <c r="F28" s="448"/>
    </row>
    <row r="29" spans="1:6" ht="27" customHeight="1">
      <c r="A29" s="448" t="s">
        <v>409</v>
      </c>
      <c r="B29" s="448"/>
      <c r="C29" s="448"/>
      <c r="D29" s="448"/>
      <c r="E29" s="448"/>
      <c r="F29" s="448"/>
    </row>
    <row r="30" spans="1:6" ht="27" customHeight="1">
      <c r="A30" s="448" t="s">
        <v>410</v>
      </c>
      <c r="B30" s="448"/>
      <c r="C30" s="448"/>
      <c r="D30" s="448"/>
      <c r="E30" s="448"/>
      <c r="F30" s="448"/>
    </row>
    <row r="31" spans="1:6" ht="27" customHeight="1">
      <c r="A31" s="448" t="s">
        <v>411</v>
      </c>
      <c r="B31" s="448"/>
      <c r="C31" s="448"/>
      <c r="D31" s="448"/>
      <c r="E31" s="448"/>
      <c r="F31" s="448"/>
    </row>
  </sheetData>
  <mergeCells count="13">
    <mergeCell ref="A31:F31"/>
    <mergeCell ref="A25:F25"/>
    <mergeCell ref="A26:F26"/>
    <mergeCell ref="A27:F27"/>
    <mergeCell ref="A28:F28"/>
    <mergeCell ref="A29:F29"/>
    <mergeCell ref="A30:F30"/>
    <mergeCell ref="A24:F24"/>
    <mergeCell ref="A3:F3"/>
    <mergeCell ref="A4:F4"/>
    <mergeCell ref="A5:F5"/>
    <mergeCell ref="A6:F6"/>
    <mergeCell ref="A7:F7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2026-10-23T11:28:10Z</dcterms:modified>
</cp:coreProperties>
</file>