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ТАЗА\"/>
    </mc:Choice>
  </mc:AlternateContent>
  <bookViews>
    <workbookView xWindow="0" yWindow="765" windowWidth="25815" windowHeight="17340" tabRatio="854" firstSheet="6" activeTab="6"/>
  </bookViews>
  <sheets>
    <sheet name="Лист2" sheetId="78" state="hidden" r:id="rId1"/>
    <sheet name="Лист3" sheetId="80" state="hidden" r:id="rId2"/>
    <sheet name="адм.рас." sheetId="76" state="hidden" r:id="rId3"/>
    <sheet name="зат.осн.про." sheetId="74" state="hidden" r:id="rId4"/>
    <sheet name="нак.расх." sheetId="75" state="hidden" r:id="rId5"/>
    <sheet name="выбытие денег " sheetId="73" state="hidden" r:id="rId6"/>
    <sheet name="ФОТ" sheetId="166" r:id="rId7"/>
    <sheet name="Обоснование ставок" sheetId="167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______________xlnm.Print_Area_24" localSheetId="2">#REF!</definedName>
    <definedName name="_______________xlnm.Print_Area_24" localSheetId="5">#REF!</definedName>
    <definedName name="_______________xlnm.Print_Area_24" localSheetId="3">#REF!</definedName>
    <definedName name="_______________xlnm.Print_Area_24" localSheetId="4">#REF!</definedName>
    <definedName name="_______________xlnm.Print_Area_24">#REF!</definedName>
    <definedName name="_______________xlnm.Print_Area_25" localSheetId="2">#REF!</definedName>
    <definedName name="_______________xlnm.Print_Area_25" localSheetId="5">#REF!</definedName>
    <definedName name="_______________xlnm.Print_Area_25" localSheetId="3">#REF!</definedName>
    <definedName name="_______________xlnm.Print_Area_25" localSheetId="4">#REF!</definedName>
    <definedName name="_______________xlnm.Print_Area_25">#REF!</definedName>
    <definedName name="_____________xlnm.Print_Area_24" localSheetId="2">#REF!</definedName>
    <definedName name="_____________xlnm.Print_Area_24" localSheetId="5">#REF!</definedName>
    <definedName name="_____________xlnm.Print_Area_24" localSheetId="3">#REF!</definedName>
    <definedName name="_____________xlnm.Print_Area_24" localSheetId="4">#REF!</definedName>
    <definedName name="_____________xlnm.Print_Area_24">#REF!</definedName>
    <definedName name="_____________xlnm.Print_Area_25" localSheetId="2">#REF!</definedName>
    <definedName name="_____________xlnm.Print_Area_25" localSheetId="5">#REF!</definedName>
    <definedName name="_____________xlnm.Print_Area_25" localSheetId="3">#REF!</definedName>
    <definedName name="_____________xlnm.Print_Area_25" localSheetId="4">#REF!</definedName>
    <definedName name="_____________xlnm.Print_Area_25">#REF!</definedName>
    <definedName name="____________xlnm.Print_Area_24" localSheetId="2">#REF!</definedName>
    <definedName name="____________xlnm.Print_Area_24" localSheetId="5">#REF!</definedName>
    <definedName name="____________xlnm.Print_Area_24" localSheetId="3">#REF!</definedName>
    <definedName name="____________xlnm.Print_Area_24" localSheetId="4">#REF!</definedName>
    <definedName name="____________xlnm.Print_Area_24">#REF!</definedName>
    <definedName name="____________xlnm.Print_Area_25" localSheetId="2">#REF!</definedName>
    <definedName name="____________xlnm.Print_Area_25" localSheetId="5">#REF!</definedName>
    <definedName name="____________xlnm.Print_Area_25" localSheetId="3">#REF!</definedName>
    <definedName name="____________xlnm.Print_Area_25" localSheetId="4">#REF!</definedName>
    <definedName name="____________xlnm.Print_Area_25">#REF!</definedName>
    <definedName name="___________xlnm.Print_Area_24" localSheetId="2">#REF!</definedName>
    <definedName name="___________xlnm.Print_Area_24" localSheetId="5">#REF!</definedName>
    <definedName name="___________xlnm.Print_Area_24" localSheetId="3">#REF!</definedName>
    <definedName name="___________xlnm.Print_Area_24" localSheetId="4">#REF!</definedName>
    <definedName name="___________xlnm.Print_Area_24">#REF!</definedName>
    <definedName name="___________xlnm.Print_Area_25" localSheetId="2">#REF!</definedName>
    <definedName name="___________xlnm.Print_Area_25" localSheetId="5">#REF!</definedName>
    <definedName name="___________xlnm.Print_Area_25" localSheetId="3">#REF!</definedName>
    <definedName name="___________xlnm.Print_Area_25" localSheetId="4">#REF!</definedName>
    <definedName name="___________xlnm.Print_Area_25">#REF!</definedName>
    <definedName name="_________xlnm.Print_Area_24" localSheetId="2">#REF!</definedName>
    <definedName name="_________xlnm.Print_Area_24" localSheetId="5">#REF!</definedName>
    <definedName name="_________xlnm.Print_Area_24" localSheetId="3">#REF!</definedName>
    <definedName name="_________xlnm.Print_Area_24" localSheetId="4">#REF!</definedName>
    <definedName name="_________xlnm.Print_Area_24">#REF!</definedName>
    <definedName name="_________xlnm.Print_Area_25" localSheetId="2">#REF!</definedName>
    <definedName name="_________xlnm.Print_Area_25" localSheetId="5">#REF!</definedName>
    <definedName name="_________xlnm.Print_Area_25" localSheetId="3">#REF!</definedName>
    <definedName name="_________xlnm.Print_Area_25" localSheetId="4">#REF!</definedName>
    <definedName name="_________xlnm.Print_Area_25">#REF!</definedName>
    <definedName name="_______xlnm.Print_Area_24" localSheetId="2">#REF!</definedName>
    <definedName name="_______xlnm.Print_Area_24" localSheetId="5">#REF!</definedName>
    <definedName name="_______xlnm.Print_Area_24" localSheetId="3">#REF!</definedName>
    <definedName name="_______xlnm.Print_Area_24" localSheetId="4">#REF!</definedName>
    <definedName name="_______xlnm.Print_Area_24">#REF!</definedName>
    <definedName name="_______xlnm.Print_Area_25" localSheetId="2">#REF!</definedName>
    <definedName name="_______xlnm.Print_Area_25" localSheetId="5">#REF!</definedName>
    <definedName name="_______xlnm.Print_Area_25" localSheetId="3">#REF!</definedName>
    <definedName name="_______xlnm.Print_Area_25" localSheetId="4">#REF!</definedName>
    <definedName name="_______xlnm.Print_Area_25">#REF!</definedName>
    <definedName name="______xlnm.Print_Area_24" localSheetId="2">#REF!</definedName>
    <definedName name="______xlnm.Print_Area_24" localSheetId="5">#REF!</definedName>
    <definedName name="______xlnm.Print_Area_24" localSheetId="3">#REF!</definedName>
    <definedName name="______xlnm.Print_Area_24" localSheetId="4">#REF!</definedName>
    <definedName name="______xlnm.Print_Area_24">#REF!</definedName>
    <definedName name="______xlnm.Print_Area_25" localSheetId="2">#REF!</definedName>
    <definedName name="______xlnm.Print_Area_25" localSheetId="5">#REF!</definedName>
    <definedName name="______xlnm.Print_Area_25" localSheetId="3">#REF!</definedName>
    <definedName name="______xlnm.Print_Area_25" localSheetId="4">#REF!</definedName>
    <definedName name="______xlnm.Print_Area_25">#REF!</definedName>
    <definedName name="_____xlnm.Print_Area_24" localSheetId="2">#REF!</definedName>
    <definedName name="_____xlnm.Print_Area_24" localSheetId="5">#REF!</definedName>
    <definedName name="_____xlnm.Print_Area_24" localSheetId="3">#REF!</definedName>
    <definedName name="_____xlnm.Print_Area_24" localSheetId="4">#REF!</definedName>
    <definedName name="_____xlnm.Print_Area_24">#REF!</definedName>
    <definedName name="_____xlnm.Print_Area_25" localSheetId="2">#REF!</definedName>
    <definedName name="_____xlnm.Print_Area_25" localSheetId="5">#REF!</definedName>
    <definedName name="_____xlnm.Print_Area_25" localSheetId="3">#REF!</definedName>
    <definedName name="_____xlnm.Print_Area_25" localSheetId="4">#REF!</definedName>
    <definedName name="_____xlnm.Print_Area_25">#REF!</definedName>
    <definedName name="____xlnm.Print_Area_24" localSheetId="2">#REF!</definedName>
    <definedName name="____xlnm.Print_Area_24" localSheetId="5">#REF!</definedName>
    <definedName name="____xlnm.Print_Area_24" localSheetId="3">#REF!</definedName>
    <definedName name="____xlnm.Print_Area_24" localSheetId="4">#REF!</definedName>
    <definedName name="____xlnm.Print_Area_24">#REF!</definedName>
    <definedName name="____xlnm.Print_Area_25" localSheetId="2">#REF!</definedName>
    <definedName name="____xlnm.Print_Area_25" localSheetId="5">#REF!</definedName>
    <definedName name="____xlnm.Print_Area_25" localSheetId="3">#REF!</definedName>
    <definedName name="____xlnm.Print_Area_25" localSheetId="4">#REF!</definedName>
    <definedName name="____xlnm.Print_Area_25">#REF!</definedName>
    <definedName name="___xlnm.Print_Area_24" localSheetId="2">#REF!</definedName>
    <definedName name="___xlnm.Print_Area_24" localSheetId="5">#REF!</definedName>
    <definedName name="___xlnm.Print_Area_24" localSheetId="3">#REF!</definedName>
    <definedName name="___xlnm.Print_Area_24" localSheetId="4">#REF!</definedName>
    <definedName name="___xlnm.Print_Area_24">#REF!</definedName>
    <definedName name="___xlnm.Print_Area_25" localSheetId="2">#REF!</definedName>
    <definedName name="___xlnm.Print_Area_25" localSheetId="5">#REF!</definedName>
    <definedName name="___xlnm.Print_Area_25" localSheetId="3">#REF!</definedName>
    <definedName name="___xlnm.Print_Area_25" localSheetId="4">#REF!</definedName>
    <definedName name="___xlnm.Print_Area_25">#REF!</definedName>
    <definedName name="__a1" localSheetId="2">'[1]7'!#REF!</definedName>
    <definedName name="__a1" localSheetId="5">'[1]7'!#REF!</definedName>
    <definedName name="__a1" localSheetId="3">'[1]7'!#REF!</definedName>
    <definedName name="__a1" localSheetId="4">'[1]7'!#REF!</definedName>
    <definedName name="__a1">'[1]7'!#REF!</definedName>
    <definedName name="__wes940" localSheetId="2">#REF!</definedName>
    <definedName name="__wes940" localSheetId="5">#REF!</definedName>
    <definedName name="__wes940" localSheetId="3">#REF!</definedName>
    <definedName name="__wes940" localSheetId="4">#REF!</definedName>
    <definedName name="__wes940">#REF!</definedName>
    <definedName name="__xlnm.Print_Area_24" localSheetId="2">#REF!</definedName>
    <definedName name="__xlnm.Print_Area_24" localSheetId="5">#REF!</definedName>
    <definedName name="__xlnm.Print_Area_24" localSheetId="3">#REF!</definedName>
    <definedName name="__xlnm.Print_Area_24" localSheetId="4">#REF!</definedName>
    <definedName name="__xlnm.Print_Area_24">#REF!</definedName>
    <definedName name="__xlnm.Print_Area_25" localSheetId="2">#REF!</definedName>
    <definedName name="__xlnm.Print_Area_25" localSheetId="5">#REF!</definedName>
    <definedName name="__xlnm.Print_Area_25" localSheetId="3">#REF!</definedName>
    <definedName name="__xlnm.Print_Area_25" localSheetId="4">#REF!</definedName>
    <definedName name="__xlnm.Print_Area_25">#REF!</definedName>
    <definedName name="__xlnm.Print_Area_4" localSheetId="2">#REF!</definedName>
    <definedName name="__xlnm.Print_Area_4" localSheetId="5">#REF!</definedName>
    <definedName name="__xlnm.Print_Area_4" localSheetId="3">#REF!</definedName>
    <definedName name="__xlnm.Print_Area_4" localSheetId="4">#REF!</definedName>
    <definedName name="__xlnm.Print_Area_4">#REF!</definedName>
    <definedName name="_a1" localSheetId="2">'[2]7'!#REF!</definedName>
    <definedName name="_a1" localSheetId="5">'[2]7'!#REF!</definedName>
    <definedName name="_a1" localSheetId="3">'[2]7'!#REF!</definedName>
    <definedName name="_a1" localSheetId="4">'[2]7'!#REF!</definedName>
    <definedName name="_a1">'[2]7'!#REF!</definedName>
    <definedName name="_Fill" localSheetId="2" hidden="1">#REF!</definedName>
    <definedName name="_Fill" localSheetId="5" hidden="1">#REF!</definedName>
    <definedName name="_Fill" localSheetId="3" hidden="1">#REF!</definedName>
    <definedName name="_Fill" localSheetId="4" hidden="1">#REF!</definedName>
    <definedName name="_Fill" hidden="1">#REF!</definedName>
    <definedName name="_№" localSheetId="2">#REF!</definedName>
    <definedName name="_№" localSheetId="5">#REF!</definedName>
    <definedName name="_№" localSheetId="3">#REF!</definedName>
    <definedName name="_№" localSheetId="4">#REF!</definedName>
    <definedName name="_№">#REF!</definedName>
    <definedName name="_wes940" localSheetId="2">#REF!</definedName>
    <definedName name="_wes940" localSheetId="5">#REF!</definedName>
    <definedName name="_wes940" localSheetId="3">#REF!</definedName>
    <definedName name="_wes940" localSheetId="4">#REF!</definedName>
    <definedName name="_wes940">#REF!</definedName>
    <definedName name="_xz2" localSheetId="2">#REF!</definedName>
    <definedName name="_xz2" localSheetId="5">#REF!</definedName>
    <definedName name="_xz2" localSheetId="3">#REF!</definedName>
    <definedName name="_xz2" localSheetId="4">#REF!</definedName>
    <definedName name="_xz2">#REF!</definedName>
    <definedName name="a" localSheetId="2">[3]П.2!#REF!</definedName>
    <definedName name="a" localSheetId="5">[3]П.2!#REF!</definedName>
    <definedName name="a" localSheetId="3">[3]П.2!#REF!</definedName>
    <definedName name="a" localSheetId="4">[3]П.2!#REF!</definedName>
    <definedName name="a">[3]П.2!#REF!</definedName>
    <definedName name="aaaaaa" localSheetId="2">#REF!</definedName>
    <definedName name="aaaaaa" localSheetId="5">#REF!</definedName>
    <definedName name="aaaaaa" localSheetId="3">#REF!</definedName>
    <definedName name="aaaaaa" localSheetId="4">#REF!</definedName>
    <definedName name="aaaaaa">#REF!</definedName>
    <definedName name="anara" localSheetId="2">#REF!</definedName>
    <definedName name="anara" localSheetId="5">#REF!</definedName>
    <definedName name="anara" localSheetId="3">#REF!</definedName>
    <definedName name="anara" localSheetId="4">#REF!</definedName>
    <definedName name="anara">#REF!</definedName>
    <definedName name="b" localSheetId="2">#REF!</definedName>
    <definedName name="b" localSheetId="5">#REF!</definedName>
    <definedName name="b" localSheetId="3">#REF!</definedName>
    <definedName name="b" localSheetId="4">#REF!</definedName>
    <definedName name="b">#REF!</definedName>
    <definedName name="BuiltIn_Print_Titles">#N/A</definedName>
    <definedName name="BuiltIn_Print_Titles___0">#N/A</definedName>
    <definedName name="cc" localSheetId="2">#REF!</definedName>
    <definedName name="cc" localSheetId="5">#REF!</definedName>
    <definedName name="cc" localSheetId="3">#REF!</definedName>
    <definedName name="cc" localSheetId="4">#REF!</definedName>
    <definedName name="cc">#REF!</definedName>
    <definedName name="d" localSheetId="2">#REF!</definedName>
    <definedName name="d" localSheetId="5">#REF!</definedName>
    <definedName name="d" localSheetId="3">#REF!</definedName>
    <definedName name="d" localSheetId="4">#REF!</definedName>
    <definedName name="d">#REF!</definedName>
    <definedName name="Database" localSheetId="2">#REF!</definedName>
    <definedName name="Database" localSheetId="5">#REF!</definedName>
    <definedName name="Database" localSheetId="3">#REF!</definedName>
    <definedName name="Database" localSheetId="4">#REF!</definedName>
    <definedName name="Database">#REF!</definedName>
    <definedName name="dauren" localSheetId="2">#REF!</definedName>
    <definedName name="dauren" localSheetId="5">#REF!</definedName>
    <definedName name="dauren" localSheetId="3">#REF!</definedName>
    <definedName name="dauren" localSheetId="4">#REF!</definedName>
    <definedName name="dauren">#REF!</definedName>
    <definedName name="E" localSheetId="2">#REF!</definedName>
    <definedName name="E" localSheetId="5">#REF!</definedName>
    <definedName name="E" localSheetId="3">#REF!</definedName>
    <definedName name="E" localSheetId="4">#REF!</definedName>
    <definedName name="E">#REF!</definedName>
    <definedName name="F" localSheetId="2">#REF!</definedName>
    <definedName name="F" localSheetId="5">#REF!</definedName>
    <definedName name="F" localSheetId="3">#REF!</definedName>
    <definedName name="F" localSheetId="4">#REF!</definedName>
    <definedName name="F">#REF!</definedName>
    <definedName name="fdn">'[4]ремонт 25'!$B$10</definedName>
    <definedName name="H" localSheetId="2">{#N/A,#N/A,FALSE,"Лист15"}</definedName>
    <definedName name="H" localSheetId="5">{#N/A,#N/A,FALSE,"Лист15"}</definedName>
    <definedName name="H" localSheetId="3">{#N/A,#N/A,FALSE,"Лист15"}</definedName>
    <definedName name="H" localSheetId="4">{#N/A,#N/A,FALSE,"Лист15"}</definedName>
    <definedName name="H">{#N/A,#N/A,FALSE,"Лист15"}</definedName>
    <definedName name="hsg">#REF!</definedName>
    <definedName name="I" localSheetId="2">#REF!</definedName>
    <definedName name="I" localSheetId="5">#REF!</definedName>
    <definedName name="I" localSheetId="3">#REF!</definedName>
    <definedName name="I" localSheetId="4">#REF!</definedName>
    <definedName name="I">#REF!</definedName>
    <definedName name="II" localSheetId="2">[5]исп.см.!#REF!</definedName>
    <definedName name="II" localSheetId="5">[5]исп.см.!#REF!</definedName>
    <definedName name="II" localSheetId="3">[5]исп.см.!#REF!</definedName>
    <definedName name="II" localSheetId="4">[5]исп.см.!#REF!</definedName>
    <definedName name="II">[5]исп.см.!#REF!</definedName>
    <definedName name="J" localSheetId="2">#REF!</definedName>
    <definedName name="J" localSheetId="5">#REF!</definedName>
    <definedName name="J" localSheetId="3">#REF!</definedName>
    <definedName name="J" localSheetId="4">#REF!</definedName>
    <definedName name="J">#REF!</definedName>
    <definedName name="K" localSheetId="2">#REF!</definedName>
    <definedName name="K" localSheetId="5">#REF!</definedName>
    <definedName name="K" localSheetId="3">#REF!</definedName>
    <definedName name="K" localSheetId="4">#REF!</definedName>
    <definedName name="K">#REF!</definedName>
    <definedName name="L" localSheetId="2">#REF!</definedName>
    <definedName name="L" localSheetId="5">#REF!</definedName>
    <definedName name="L" localSheetId="3">#REF!</definedName>
    <definedName name="L" localSheetId="4">#REF!</definedName>
    <definedName name="L">#REF!</definedName>
    <definedName name="list" localSheetId="2">#REF!</definedName>
    <definedName name="list" localSheetId="5">#REF!</definedName>
    <definedName name="list" localSheetId="3">#REF!</definedName>
    <definedName name="list" localSheetId="4">#REF!</definedName>
    <definedName name="list">#REF!</definedName>
    <definedName name="ljhjhv" localSheetId="2" hidden="1">{#N/A,#N/A,FALSE,"Лист15"}</definedName>
    <definedName name="ljhjhv" localSheetId="5" hidden="1">{#N/A,#N/A,FALSE,"Лист15"}</definedName>
    <definedName name="ljhjhv" localSheetId="3" hidden="1">{#N/A,#N/A,FALSE,"Лист15"}</definedName>
    <definedName name="ljhjhv" localSheetId="4" hidden="1">{#N/A,#N/A,FALSE,"Лист15"}</definedName>
    <definedName name="ljhjhv" hidden="1">{#N/A,#N/A,FALSE,"Лист15"}</definedName>
    <definedName name="m" localSheetId="2" hidden="1">{#N/A,#N/A,FALSE,"Лист15"}</definedName>
    <definedName name="m" localSheetId="5" hidden="1">{#N/A,#N/A,FALSE,"Лист15"}</definedName>
    <definedName name="m" localSheetId="3" hidden="1">{#N/A,#N/A,FALSE,"Лист15"}</definedName>
    <definedName name="m" localSheetId="4" hidden="1">{#N/A,#N/A,FALSE,"Лист15"}</definedName>
    <definedName name="m" hidden="1">{#N/A,#N/A,FALSE,"Лист15"}</definedName>
    <definedName name="nfn" localSheetId="2">#REF!</definedName>
    <definedName name="nfn" localSheetId="5">#REF!</definedName>
    <definedName name="nfn" localSheetId="3">#REF!</definedName>
    <definedName name="nfn" localSheetId="4">#REF!</definedName>
    <definedName name="nfn">#REF!</definedName>
    <definedName name="Print_Area" localSheetId="5">'выбытие денег '!$A$1:$N$195</definedName>
    <definedName name="Print_Area" localSheetId="4">нак.расх.!$A$1:$L$95</definedName>
    <definedName name="Print_Area" localSheetId="6">ФОТ!$A$1:$L$56</definedName>
    <definedName name="Profit_Loss" localSheetId="2">#REF!</definedName>
    <definedName name="Profit_Loss" localSheetId="5">#REF!</definedName>
    <definedName name="Profit_Loss" localSheetId="3">#REF!</definedName>
    <definedName name="Profit_Loss" localSheetId="4">#REF!</definedName>
    <definedName name="Profit_Loss">#REF!</definedName>
    <definedName name="q" localSheetId="2">#REF!</definedName>
    <definedName name="q" localSheetId="5">#REF!</definedName>
    <definedName name="q" localSheetId="3">#REF!</definedName>
    <definedName name="q" localSheetId="4">#REF!</definedName>
    <definedName name="q">#REF!</definedName>
    <definedName name="Source">[6]Sheet1!$B$2:$B$4</definedName>
    <definedName name="v" localSheetId="2" hidden="1">{#N/A,#N/A,FALSE,"Лист15"}</definedName>
    <definedName name="v" localSheetId="5" hidden="1">{#N/A,#N/A,FALSE,"Лист15"}</definedName>
    <definedName name="v" localSheetId="3" hidden="1">{#N/A,#N/A,FALSE,"Лист15"}</definedName>
    <definedName name="v" localSheetId="4" hidden="1">{#N/A,#N/A,FALSE,"Лист15"}</definedName>
    <definedName name="v" hidden="1">{#N/A,#N/A,FALSE,"Лист15"}</definedName>
    <definedName name="vbnnm" localSheetId="2">[7]П.2!#REF!</definedName>
    <definedName name="vbnnm" localSheetId="5">[7]П.2!#REF!</definedName>
    <definedName name="vbnnm" localSheetId="3">[7]П.2!#REF!</definedName>
    <definedName name="vbnnm" localSheetId="4">[7]П.2!#REF!</definedName>
    <definedName name="vbnnm">[7]П.2!#REF!</definedName>
    <definedName name="wrn.Исполнение._.сметы._.затрат." localSheetId="2" hidden="1">{#N/A,#N/A,FALSE,"Лист15"}</definedName>
    <definedName name="wrn.Исполнение._.сметы._.затрат." localSheetId="5" hidden="1">{#N/A,#N/A,FALSE,"Лист15"}</definedName>
    <definedName name="wrn.Исполнение._.сметы._.затрат." localSheetId="3" hidden="1">{#N/A,#N/A,FALSE,"Лист15"}</definedName>
    <definedName name="wrn.Исполнение._.сметы._.затрат." localSheetId="4" hidden="1">{#N/A,#N/A,FALSE,"Лист15"}</definedName>
    <definedName name="wrn.Исполнение._.сметы._.затрат." hidden="1">{#N/A,#N/A,FALSE,"Лист15"}</definedName>
    <definedName name="wrn.Исполнение._.смкты._.затарат." localSheetId="2" hidden="1">{#N/A,#N/A,FALSE,"Лист15"}</definedName>
    <definedName name="wrn.Исполнение._.смкты._.затарат." localSheetId="5" hidden="1">{#N/A,#N/A,FALSE,"Лист15"}</definedName>
    <definedName name="wrn.Исполнение._.смкты._.затарат." localSheetId="3" hidden="1">{#N/A,#N/A,FALSE,"Лист15"}</definedName>
    <definedName name="wrn.Исполнение._.смкты._.затарат." localSheetId="4" hidden="1">{#N/A,#N/A,FALSE,"Лист15"}</definedName>
    <definedName name="wrn.Исполнение._.смкты._.затарат." hidden="1">{#N/A,#N/A,FALSE,"Лист15"}</definedName>
    <definedName name="x" localSheetId="2">[3]П.2!#REF!</definedName>
    <definedName name="x" localSheetId="5">[3]П.2!#REF!</definedName>
    <definedName name="x" localSheetId="3">[3]П.2!#REF!</definedName>
    <definedName name="x" localSheetId="4">[3]П.2!#REF!</definedName>
    <definedName name="x">[3]П.2!#REF!</definedName>
    <definedName name="xz" localSheetId="2">#REF!</definedName>
    <definedName name="xz" localSheetId="5">#REF!</definedName>
    <definedName name="xz" localSheetId="3">#REF!</definedName>
    <definedName name="xz" localSheetId="4">#REF!</definedName>
    <definedName name="xz">#REF!</definedName>
    <definedName name="z" localSheetId="2" hidden="1">{#N/A,#N/A,FALSE,"Лист15"}</definedName>
    <definedName name="z" localSheetId="5" hidden="1">{#N/A,#N/A,FALSE,"Лист15"}</definedName>
    <definedName name="z" localSheetId="3" hidden="1">{#N/A,#N/A,FALSE,"Лист15"}</definedName>
    <definedName name="z" localSheetId="4" hidden="1">{#N/A,#N/A,FALSE,"Лист15"}</definedName>
    <definedName name="z" hidden="1">{#N/A,#N/A,FALSE,"Лист15"}</definedName>
    <definedName name="Администратор_бюджетных_программ" localSheetId="2">#REF!</definedName>
    <definedName name="Администратор_бюджетных_программ" localSheetId="5">#REF!</definedName>
    <definedName name="Администратор_бюджетных_программ" localSheetId="3">#REF!</definedName>
    <definedName name="Администратор_бюджетных_программ" localSheetId="4">#REF!</definedName>
    <definedName name="Администратор_бюджетных_программ">#REF!</definedName>
    <definedName name="анара" localSheetId="2" hidden="1">{#N/A,#N/A,FALSE,"Лист15"}</definedName>
    <definedName name="анара" localSheetId="5" hidden="1">{#N/A,#N/A,FALSE,"Лист15"}</definedName>
    <definedName name="анара" localSheetId="3" hidden="1">{#N/A,#N/A,FALSE,"Лист15"}</definedName>
    <definedName name="анара" localSheetId="4" hidden="1">{#N/A,#N/A,FALSE,"Лист15"}</definedName>
    <definedName name="анара" hidden="1">{#N/A,#N/A,FALSE,"Лист15"}</definedName>
    <definedName name="АРЫНОВА" localSheetId="2">#REF!</definedName>
    <definedName name="АРЫНОВА" localSheetId="5">#REF!</definedName>
    <definedName name="АРЫНОВА" localSheetId="3">#REF!</definedName>
    <definedName name="АРЫНОВА" localSheetId="4">#REF!</definedName>
    <definedName name="АРЫНОВА">#REF!</definedName>
    <definedName name="асмпил" localSheetId="2" hidden="1">{#N/A,#N/A,FALSE,"Лист15"}</definedName>
    <definedName name="асмпил" localSheetId="5" hidden="1">{#N/A,#N/A,FALSE,"Лист15"}</definedName>
    <definedName name="асмпил" localSheetId="3" hidden="1">{#N/A,#N/A,FALSE,"Лист15"}</definedName>
    <definedName name="асмпил" localSheetId="4" hidden="1">{#N/A,#N/A,FALSE,"Лист15"}</definedName>
    <definedName name="асмпил" hidden="1">{#N/A,#N/A,FALSE,"Лист15"}</definedName>
    <definedName name="аснор" localSheetId="2" hidden="1">{#N/A,#N/A,FALSE,"Лист15"}</definedName>
    <definedName name="аснор" localSheetId="5" hidden="1">{#N/A,#N/A,FALSE,"Лист15"}</definedName>
    <definedName name="аснор" localSheetId="3" hidden="1">{#N/A,#N/A,FALSE,"Лист15"}</definedName>
    <definedName name="аснор" localSheetId="4" hidden="1">{#N/A,#N/A,FALSE,"Лист15"}</definedName>
    <definedName name="аснор" hidden="1">{#N/A,#N/A,FALSE,"Лист15"}</definedName>
    <definedName name="ббб" localSheetId="2">#REF!</definedName>
    <definedName name="ббб" localSheetId="5">#REF!</definedName>
    <definedName name="ббб" localSheetId="3">#REF!</definedName>
    <definedName name="ббб" localSheetId="4">#REF!</definedName>
    <definedName name="ббб">#REF!</definedName>
    <definedName name="Бта" localSheetId="2">#REF!</definedName>
    <definedName name="Бта" localSheetId="5">#REF!</definedName>
    <definedName name="Бта" localSheetId="3">#REF!</definedName>
    <definedName name="Бта" localSheetId="4">#REF!</definedName>
    <definedName name="Бта">#REF!</definedName>
    <definedName name="бташр" localSheetId="2">#REF!</definedName>
    <definedName name="бташр" localSheetId="5">#REF!</definedName>
    <definedName name="бташр" localSheetId="3">#REF!</definedName>
    <definedName name="бташр" localSheetId="4">#REF!</definedName>
    <definedName name="бташр">#REF!</definedName>
    <definedName name="в" localSheetId="2" hidden="1">{#N/A,#N/A,FALSE,"Лист15"}</definedName>
    <definedName name="в" localSheetId="5" hidden="1">{#N/A,#N/A,FALSE,"Лист15"}</definedName>
    <definedName name="в" localSheetId="3" hidden="1">{#N/A,#N/A,FALSE,"Лист15"}</definedName>
    <definedName name="в" localSheetId="4" hidden="1">{#N/A,#N/A,FALSE,"Лист15"}</definedName>
    <definedName name="в" hidden="1">{#N/A,#N/A,FALSE,"Лист15"}</definedName>
    <definedName name="в10" localSheetId="2">#REF!</definedName>
    <definedName name="в10" localSheetId="5">#REF!</definedName>
    <definedName name="в10" localSheetId="3">#REF!</definedName>
    <definedName name="в10" localSheetId="4">#REF!</definedName>
    <definedName name="в10">#REF!</definedName>
    <definedName name="ваб">#REF!</definedName>
    <definedName name="ВидПредмета">'[8]Вид предмета'!$A$1:$A$3</definedName>
    <definedName name="вчасмпить" localSheetId="2" hidden="1">{#N/A,#N/A,FALSE,"Лист15"}</definedName>
    <definedName name="вчасмпить" localSheetId="5" hidden="1">{#N/A,#N/A,FALSE,"Лист15"}</definedName>
    <definedName name="вчасмпить" localSheetId="3" hidden="1">{#N/A,#N/A,FALSE,"Лист15"}</definedName>
    <definedName name="вчасмпить" localSheetId="4" hidden="1">{#N/A,#N/A,FALSE,"Лист15"}</definedName>
    <definedName name="вчасмпить" hidden="1">{#N/A,#N/A,FALSE,"Лист15"}</definedName>
    <definedName name="вчсро" localSheetId="2" hidden="1">{#N/A,#N/A,FALSE,"Лист15"}</definedName>
    <definedName name="вчсро" localSheetId="5" hidden="1">{#N/A,#N/A,FALSE,"Лист15"}</definedName>
    <definedName name="вчсро" localSheetId="3" hidden="1">{#N/A,#N/A,FALSE,"Лист15"}</definedName>
    <definedName name="вчсро" localSheetId="4" hidden="1">{#N/A,#N/A,FALSE,"Лист15"}</definedName>
    <definedName name="вчсро" hidden="1">{#N/A,#N/A,FALSE,"Лист15"}</definedName>
    <definedName name="вы" localSheetId="2">#REF!</definedName>
    <definedName name="вы" localSheetId="5">#REF!</definedName>
    <definedName name="вы" localSheetId="3">#REF!</definedName>
    <definedName name="вы" localSheetId="4">#REF!</definedName>
    <definedName name="вы">#REF!</definedName>
    <definedName name="выаваыв">'[9]Служебный ФКРБ'!$C$2:$C$38</definedName>
    <definedName name="д">'[10]ремонт 25'!$B$10</definedName>
    <definedName name="дз" localSheetId="2">#REF!</definedName>
    <definedName name="дз" localSheetId="5">#REF!</definedName>
    <definedName name="дз" localSheetId="3">#REF!</definedName>
    <definedName name="дз" localSheetId="4">#REF!</definedName>
    <definedName name="дз">#REF!</definedName>
    <definedName name="для" localSheetId="2">#REF!</definedName>
    <definedName name="для" localSheetId="5">#REF!</definedName>
    <definedName name="для" localSheetId="3">#REF!</definedName>
    <definedName name="для" localSheetId="4">#REF!</definedName>
    <definedName name="для">#REF!</definedName>
    <definedName name="доброеутро" localSheetId="2" hidden="1">{#N/A,#N/A,FALSE,"Лист15"}</definedName>
    <definedName name="доброеутро" localSheetId="5" hidden="1">{#N/A,#N/A,FALSE,"Лист15"}</definedName>
    <definedName name="доброеутро" localSheetId="3" hidden="1">{#N/A,#N/A,FALSE,"Лист15"}</definedName>
    <definedName name="доброеутро" localSheetId="4" hidden="1">{#N/A,#N/A,FALSE,"Лист15"}</definedName>
    <definedName name="доброеутро" hidden="1">{#N/A,#N/A,FALSE,"Лист15"}</definedName>
    <definedName name="дом" localSheetId="2" hidden="1">{#N/A,#N/A,FALSE,"Лист15"}</definedName>
    <definedName name="дом" localSheetId="5" hidden="1">{#N/A,#N/A,FALSE,"Лист15"}</definedName>
    <definedName name="дом" localSheetId="3" hidden="1">{#N/A,#N/A,FALSE,"Лист15"}</definedName>
    <definedName name="дом" localSheetId="4" hidden="1">{#N/A,#N/A,FALSE,"Лист15"}</definedName>
    <definedName name="дом" hidden="1">{#N/A,#N/A,FALSE,"Лист15"}</definedName>
    <definedName name="ж" localSheetId="2">[11]П.2!#REF!</definedName>
    <definedName name="ж" localSheetId="5">[11]П.2!#REF!</definedName>
    <definedName name="ж" localSheetId="3">[11]П.2!#REF!</definedName>
    <definedName name="ж" localSheetId="4">[11]П.2!#REF!</definedName>
    <definedName name="ж">[11]П.2!#REF!</definedName>
    <definedName name="жвзь" localSheetId="2">#REF!</definedName>
    <definedName name="жвзь" localSheetId="5">#REF!</definedName>
    <definedName name="жвзь" localSheetId="3">#REF!</definedName>
    <definedName name="жвзь" localSheetId="4">#REF!</definedName>
    <definedName name="жвзь">#REF!</definedName>
    <definedName name="жи" localSheetId="2">#REF!</definedName>
    <definedName name="жи" localSheetId="5">#REF!</definedName>
    <definedName name="жи" localSheetId="3">#REF!</definedName>
    <definedName name="жи" localSheetId="4">#REF!</definedName>
    <definedName name="жи">#REF!</definedName>
    <definedName name="ислам" localSheetId="2">#REF!</definedName>
    <definedName name="ислам" localSheetId="5">#REF!</definedName>
    <definedName name="ислам" localSheetId="3">#REF!</definedName>
    <definedName name="ислам" localSheetId="4">#REF!</definedName>
    <definedName name="ислам">#REF!</definedName>
    <definedName name="йцк">[12]Фонд!$A$1:$A$4</definedName>
    <definedName name="йцу">'[9]Служебный ФКРБ'!$C$2:$C$38</definedName>
    <definedName name="йцукенгшщзхячсмитьбю" localSheetId="2">#REF!</definedName>
    <definedName name="йцукенгшщзхячсмитьбю" localSheetId="5">#REF!</definedName>
    <definedName name="йцукенгшщзхячсмитьбю" localSheetId="3">#REF!</definedName>
    <definedName name="йцукенгшщзхячсмитьбю" localSheetId="4">#REF!</definedName>
    <definedName name="йцукенгшщзхячсмитьбю">#REF!</definedName>
    <definedName name="к" localSheetId="2" hidden="1">{#N/A,#N/A,FALSE,"Лист15"}</definedName>
    <definedName name="к" localSheetId="5" hidden="1">{#N/A,#N/A,FALSE,"Лист15"}</definedName>
    <definedName name="к" localSheetId="3" hidden="1">{#N/A,#N/A,FALSE,"Лист15"}</definedName>
    <definedName name="к" localSheetId="4" hidden="1">{#N/A,#N/A,FALSE,"Лист15"}</definedName>
    <definedName name="к" hidden="1">{#N/A,#N/A,FALSE,"Лист15"}</definedName>
    <definedName name="КАТО" localSheetId="2">[13]КАТО!#REF!</definedName>
    <definedName name="КАТО" localSheetId="5">[13]КАТО!#REF!</definedName>
    <definedName name="КАТО" localSheetId="3">[13]КАТО!#REF!</definedName>
    <definedName name="КАТО" localSheetId="4">[13]КАТО!#REF!</definedName>
    <definedName name="КАТО">[13]КАТО!#REF!</definedName>
    <definedName name="кещзро">#REF!</definedName>
    <definedName name="кйц" localSheetId="2">#REF!</definedName>
    <definedName name="кйц" localSheetId="5">#REF!</definedName>
    <definedName name="кйц" localSheetId="3">#REF!</definedName>
    <definedName name="кйц" localSheetId="4">#REF!</definedName>
    <definedName name="кйц">#REF!</definedName>
    <definedName name="Код" localSheetId="2">#REF!</definedName>
    <definedName name="Код" localSheetId="5">#REF!</definedName>
    <definedName name="Код" localSheetId="3">#REF!</definedName>
    <definedName name="Код" localSheetId="4">#REF!</definedName>
    <definedName name="Код">#REF!</definedName>
    <definedName name="Комплект" localSheetId="2">#REF!</definedName>
    <definedName name="Комплект" localSheetId="5">#REF!</definedName>
    <definedName name="Комплект" localSheetId="3">#REF!</definedName>
    <definedName name="Комплект" localSheetId="4">#REF!</definedName>
    <definedName name="Комплект">#REF!</definedName>
    <definedName name="комплект1" localSheetId="2">#REF!</definedName>
    <definedName name="комплект1" localSheetId="5">#REF!</definedName>
    <definedName name="комплект1" localSheetId="3">#REF!</definedName>
    <definedName name="комплект1" localSheetId="4">#REF!</definedName>
    <definedName name="комплект1">#REF!</definedName>
    <definedName name="КПВЭД" localSheetId="2">#REF!</definedName>
    <definedName name="КПВЭД" localSheetId="5">#REF!</definedName>
    <definedName name="КПВЭД" localSheetId="3">#REF!</definedName>
    <definedName name="КПВЭД" localSheetId="4">#REF!</definedName>
    <definedName name="КПВЭД">#REF!</definedName>
    <definedName name="КППРО" localSheetId="2">#REF!</definedName>
    <definedName name="КППРО" localSheetId="5">#REF!</definedName>
    <definedName name="КППРО" localSheetId="3">#REF!</definedName>
    <definedName name="КППРО" localSheetId="4">#REF!</definedName>
    <definedName name="КППРО">#REF!</definedName>
    <definedName name="ла" localSheetId="2">#REF!</definedName>
    <definedName name="ла" localSheetId="5">#REF!</definedName>
    <definedName name="ла" localSheetId="3">#REF!</definedName>
    <definedName name="ла" localSheetId="4">#REF!</definedName>
    <definedName name="ла">#REF!</definedName>
    <definedName name="лена" localSheetId="2">#REF!</definedName>
    <definedName name="лена" localSheetId="5">#REF!</definedName>
    <definedName name="лена" localSheetId="3">#REF!</definedName>
    <definedName name="лена" localSheetId="4">#REF!</definedName>
    <definedName name="лена">#REF!</definedName>
    <definedName name="лнаморио" localSheetId="2" hidden="1">{#N/A,#N/A,FALSE,"Лист15"}</definedName>
    <definedName name="лнаморио" localSheetId="5" hidden="1">{#N/A,#N/A,FALSE,"Лист15"}</definedName>
    <definedName name="лнаморио" localSheetId="3" hidden="1">{#N/A,#N/A,FALSE,"Лист15"}</definedName>
    <definedName name="лнаморио" localSheetId="4" hidden="1">{#N/A,#N/A,FALSE,"Лист15"}</definedName>
    <definedName name="лнаморио" hidden="1">{#N/A,#N/A,FALSE,"Лист15"}</definedName>
    <definedName name="М" localSheetId="2">{#N/A,#N/A,FALSE,"Лист15"}</definedName>
    <definedName name="М" localSheetId="5">{#N/A,#N/A,FALSE,"Лист15"}</definedName>
    <definedName name="М" localSheetId="3">{#N/A,#N/A,FALSE,"Лист15"}</definedName>
    <definedName name="М" localSheetId="4">{#N/A,#N/A,FALSE,"Лист15"}</definedName>
    <definedName name="М">{#N/A,#N/A,FALSE,"Лист15"}</definedName>
    <definedName name="мама" localSheetId="2" hidden="1">{#N/A,#N/A,FALSE,"Лист15"}</definedName>
    <definedName name="мама" localSheetId="5" hidden="1">{#N/A,#N/A,FALSE,"Лист15"}</definedName>
    <definedName name="мама" localSheetId="3" hidden="1">{#N/A,#N/A,FALSE,"Лист15"}</definedName>
    <definedName name="мама" localSheetId="4" hidden="1">{#N/A,#N/A,FALSE,"Лист15"}</definedName>
    <definedName name="мама" hidden="1">{#N/A,#N/A,FALSE,"Лист15"}</definedName>
    <definedName name="март" localSheetId="2">#REF!</definedName>
    <definedName name="март" localSheetId="5">#REF!</definedName>
    <definedName name="март" localSheetId="3">#REF!</definedName>
    <definedName name="март" localSheetId="4">#REF!</definedName>
    <definedName name="март">#REF!</definedName>
    <definedName name="метод" localSheetId="2">#REF!</definedName>
    <definedName name="метод" localSheetId="5">#REF!</definedName>
    <definedName name="метод" localSheetId="3">#REF!</definedName>
    <definedName name="метод" localSheetId="4">#REF!</definedName>
    <definedName name="метод">#REF!</definedName>
    <definedName name="мм" localSheetId="2">#REF!</definedName>
    <definedName name="мм" localSheetId="5">#REF!</definedName>
    <definedName name="мм" localSheetId="3">#REF!</definedName>
    <definedName name="мм" localSheetId="4">#REF!</definedName>
    <definedName name="мм">#REF!</definedName>
    <definedName name="нн">'[14]Способ закупки'!$A$1:$A$14</definedName>
    <definedName name="нотя" localSheetId="2" hidden="1">{#N/A,#N/A,FALSE,"Лист15"}</definedName>
    <definedName name="нотя" localSheetId="5" hidden="1">{#N/A,#N/A,FALSE,"Лист15"}</definedName>
    <definedName name="нотя" localSheetId="3" hidden="1">{#N/A,#N/A,FALSE,"Лист15"}</definedName>
    <definedName name="нотя" localSheetId="4" hidden="1">{#N/A,#N/A,FALSE,"Лист15"}</definedName>
    <definedName name="нотя" hidden="1">{#N/A,#N/A,FALSE,"Лист15"}</definedName>
    <definedName name="Область_печати_ИМ" localSheetId="2">#REF!</definedName>
    <definedName name="Область_печати_ИМ" localSheetId="5">#REF!</definedName>
    <definedName name="Область_печати_ИМ" localSheetId="3">#REF!</definedName>
    <definedName name="Область_печати_ИМ" localSheetId="4">#REF!</definedName>
    <definedName name="Область_печати_ИМ">#REF!</definedName>
    <definedName name="облюб" localSheetId="2">#REF!</definedName>
    <definedName name="облюб" localSheetId="5">#REF!</definedName>
    <definedName name="облюб" localSheetId="3">#REF!</definedName>
    <definedName name="облюб" localSheetId="4">#REF!</definedName>
    <definedName name="облюб">#REF!</definedName>
    <definedName name="Обоснование">OFFSET([15]ОПГЗ!$A$1,MATCH('[15]План ГЗ'!$P1,[15]ОПГЗ!$A$1:$A$65536,0)-1,1,COUNTIF([15]ОПГЗ!$A$1:$A$65536,'[15]План ГЗ'!$P1),1)</definedName>
    <definedName name="ооо" localSheetId="2">#REF!</definedName>
    <definedName name="ооо" localSheetId="5">#REF!</definedName>
    <definedName name="ооо" localSheetId="3">#REF!</definedName>
    <definedName name="ооо" localSheetId="4">#REF!</definedName>
    <definedName name="ооо">#REF!</definedName>
    <definedName name="оприғүұқ" localSheetId="2">#REF!</definedName>
    <definedName name="оприғүұқ" localSheetId="5">#REF!</definedName>
    <definedName name="оприғүұқ" localSheetId="3">#REF!</definedName>
    <definedName name="оприғүұқ" localSheetId="4">#REF!</definedName>
    <definedName name="оприғүұқ">#REF!</definedName>
    <definedName name="пло" localSheetId="2" hidden="1">{#N/A,#N/A,FALSE,"Лист15"}</definedName>
    <definedName name="пло" localSheetId="5" hidden="1">{#N/A,#N/A,FALSE,"Лист15"}</definedName>
    <definedName name="пло" localSheetId="3" hidden="1">{#N/A,#N/A,FALSE,"Лист15"}</definedName>
    <definedName name="пло" localSheetId="4" hidden="1">{#N/A,#N/A,FALSE,"Лист15"}</definedName>
    <definedName name="пло" hidden="1">{#N/A,#N/A,FALSE,"Лист15"}</definedName>
    <definedName name="пор">'[8]Способ закупки'!$A$1:$A$14</definedName>
    <definedName name="ппп" localSheetId="2">#REF!</definedName>
    <definedName name="ппп" localSheetId="5">#REF!</definedName>
    <definedName name="ппп" localSheetId="3">#REF!</definedName>
    <definedName name="ппп" localSheetId="4">#REF!</definedName>
    <definedName name="ппп">#REF!</definedName>
    <definedName name="пппп" localSheetId="2">#REF!</definedName>
    <definedName name="пппп" localSheetId="5">#REF!</definedName>
    <definedName name="пппп" localSheetId="3">#REF!</definedName>
    <definedName name="пппп" localSheetId="4">#REF!</definedName>
    <definedName name="пппп">#REF!</definedName>
    <definedName name="прейс">#REF!</definedName>
    <definedName name="прейск">#REF!</definedName>
    <definedName name="принтареа2" localSheetId="6">ФОТ!$A$1:$I$55</definedName>
    <definedName name="принтареа3" localSheetId="6">ФОТ!$A$1:$I$56</definedName>
    <definedName name="про" localSheetId="2">#REF!</definedName>
    <definedName name="про" localSheetId="5">#REF!</definedName>
    <definedName name="про" localSheetId="3">#REF!</definedName>
    <definedName name="про" localSheetId="4">#REF!</definedName>
    <definedName name="про">#REF!</definedName>
    <definedName name="прогнозпогоды" localSheetId="2" hidden="1">{#N/A,#N/A,FALSE,"Лист15"}</definedName>
    <definedName name="прогнозпогоды" localSheetId="5" hidden="1">{#N/A,#N/A,FALSE,"Лист15"}</definedName>
    <definedName name="прогнозпогоды" localSheetId="3" hidden="1">{#N/A,#N/A,FALSE,"Лист15"}</definedName>
    <definedName name="прогнозпогоды" localSheetId="4" hidden="1">{#N/A,#N/A,FALSE,"Лист15"}</definedName>
    <definedName name="прогнозпогоды" hidden="1">{#N/A,#N/A,FALSE,"Лист15"}</definedName>
    <definedName name="Программа">'[16]Служебный ФКРБ'!$B$2:$B$122</definedName>
    <definedName name="прод">'[17]Служебный ФКРБ'!$C$2:$C$38</definedName>
    <definedName name="р" localSheetId="2" hidden="1">{#N/A,#N/A,FALSE,"Лист15"}</definedName>
    <definedName name="р" localSheetId="5" hidden="1">{#N/A,#N/A,FALSE,"Лист15"}</definedName>
    <definedName name="р" localSheetId="3" hidden="1">{#N/A,#N/A,FALSE,"Лист15"}</definedName>
    <definedName name="р" localSheetId="4" hidden="1">{#N/A,#N/A,FALSE,"Лист15"}</definedName>
    <definedName name="р" hidden="1">{#N/A,#N/A,FALSE,"Лист15"}</definedName>
    <definedName name="Работа" localSheetId="2">#REF!</definedName>
    <definedName name="Работа" localSheetId="5">#REF!</definedName>
    <definedName name="Работа" localSheetId="3">#REF!</definedName>
    <definedName name="Работа" localSheetId="4">#REF!</definedName>
    <definedName name="Работа">#REF!</definedName>
    <definedName name="С071" localSheetId="2">#REF!</definedName>
    <definedName name="С071" localSheetId="5">#REF!</definedName>
    <definedName name="С071" localSheetId="3">#REF!</definedName>
    <definedName name="С071" localSheetId="4">#REF!</definedName>
    <definedName name="С071">#REF!</definedName>
    <definedName name="свод">#REF!</definedName>
    <definedName name="сводная">'[18]Источник финансирования'!$A$1:$A$6</definedName>
    <definedName name="су" localSheetId="2">[19]П.2!#REF!</definedName>
    <definedName name="су" localSheetId="5">[19]П.2!#REF!</definedName>
    <definedName name="су" localSheetId="3">[19]П.2!#REF!</definedName>
    <definedName name="су" localSheetId="4">[19]П.2!#REF!</definedName>
    <definedName name="су">[19]П.2!#REF!</definedName>
    <definedName name="сумма">#REF!</definedName>
    <definedName name="сумма1">#REF!</definedName>
    <definedName name="сумма2">#REF!</definedName>
    <definedName name="тари" localSheetId="2">#REF!</definedName>
    <definedName name="тари" localSheetId="5">#REF!</definedName>
    <definedName name="тари" localSheetId="3">#REF!</definedName>
    <definedName name="тари" localSheetId="4">#REF!</definedName>
    <definedName name="тари">#REF!</definedName>
    <definedName name="Товар" localSheetId="2">#REF!</definedName>
    <definedName name="Товар" localSheetId="5">#REF!</definedName>
    <definedName name="Товар" localSheetId="3">#REF!</definedName>
    <definedName name="Товар" localSheetId="4">#REF!</definedName>
    <definedName name="Товар">#REF!</definedName>
    <definedName name="только">[17]ЭКРБ!$A$1:$A$65</definedName>
    <definedName name="ттттттттттттттт" localSheetId="2">#REF!</definedName>
    <definedName name="ттттттттттттттт" localSheetId="5">#REF!</definedName>
    <definedName name="ттттттттттттттт" localSheetId="3">#REF!</definedName>
    <definedName name="ттттттттттттттт" localSheetId="4">#REF!</definedName>
    <definedName name="ттттттттттттттт">#REF!</definedName>
    <definedName name="ттттттттттттттттт" localSheetId="2">#REF!</definedName>
    <definedName name="ттттттттттттттттт" localSheetId="5">#REF!</definedName>
    <definedName name="ттттттттттттттттт" localSheetId="3">#REF!</definedName>
    <definedName name="ттттттттттттттттт" localSheetId="4">#REF!</definedName>
    <definedName name="ттттттттттттттттт">#REF!</definedName>
    <definedName name="Услуга" localSheetId="2">#REF!</definedName>
    <definedName name="Услуга" localSheetId="5">#REF!</definedName>
    <definedName name="Услуга" localSheetId="3">#REF!</definedName>
    <definedName name="Услуга" localSheetId="4">#REF!</definedName>
    <definedName name="Услуга">#REF!</definedName>
    <definedName name="ф" localSheetId="2">#REF!</definedName>
    <definedName name="ф" localSheetId="5">#REF!</definedName>
    <definedName name="ф" localSheetId="3">#REF!</definedName>
    <definedName name="ф" localSheetId="4">#REF!</definedName>
    <definedName name="ф">#REF!</definedName>
    <definedName name="ф7895123" localSheetId="2">#REF!</definedName>
    <definedName name="ф7895123" localSheetId="5">#REF!</definedName>
    <definedName name="ф7895123" localSheetId="3">#REF!</definedName>
    <definedName name="ф7895123" localSheetId="4">#REF!</definedName>
    <definedName name="ф7895123">#REF!</definedName>
    <definedName name="фбкхзр" localSheetId="2">#REF!</definedName>
    <definedName name="фбкхзр" localSheetId="5">#REF!</definedName>
    <definedName name="фбкхзр" localSheetId="3">#REF!</definedName>
    <definedName name="фбкхзр" localSheetId="4">#REF!</definedName>
    <definedName name="фбкхзр">#REF!</definedName>
    <definedName name="фйцычвксампиро" localSheetId="2">#REF!</definedName>
    <definedName name="фйцычвксампиро" localSheetId="5">#REF!</definedName>
    <definedName name="фйцычвксампиро" localSheetId="3">#REF!</definedName>
    <definedName name="фйцычвксампиро" localSheetId="4">#REF!</definedName>
    <definedName name="фйцычвксампиро">#REF!</definedName>
    <definedName name="фыва">[18]ЭКРБ!$A$1:$A$65</definedName>
    <definedName name="фывап" localSheetId="2" hidden="1">{#N/A,#N/A,FALSE,"Лист15"}</definedName>
    <definedName name="фывап" localSheetId="5" hidden="1">{#N/A,#N/A,FALSE,"Лист15"}</definedName>
    <definedName name="фывап" localSheetId="3" hidden="1">{#N/A,#N/A,FALSE,"Лист15"}</definedName>
    <definedName name="фывап" localSheetId="4" hidden="1">{#N/A,#N/A,FALSE,"Лист15"}</definedName>
    <definedName name="фывап" hidden="1">{#N/A,#N/A,FALSE,"Лист15"}</definedName>
    <definedName name="хкшрф" localSheetId="2">#REF!</definedName>
    <definedName name="хкшрф" localSheetId="5">#REF!</definedName>
    <definedName name="хкшрф" localSheetId="3">#REF!</definedName>
    <definedName name="хкшрф" localSheetId="4">#REF!</definedName>
    <definedName name="хкшрф">#REF!</definedName>
    <definedName name="хрен_собачий" localSheetId="2">#REF!</definedName>
    <definedName name="хрен_собачий" localSheetId="5">#REF!</definedName>
    <definedName name="хрен_собачий" localSheetId="3">#REF!</definedName>
    <definedName name="хрен_собачий" localSheetId="4">#REF!</definedName>
    <definedName name="хрен_собачий">#REF!</definedName>
    <definedName name="ц" localSheetId="2">#REF!</definedName>
    <definedName name="ц" localSheetId="5">#REF!</definedName>
    <definedName name="ц" localSheetId="3">#REF!</definedName>
    <definedName name="ц" localSheetId="4">#REF!</definedName>
    <definedName name="ц">#REF!</definedName>
    <definedName name="цуцйку">'[20]Тип пункта плана'!$A$1:$A$3</definedName>
    <definedName name="чс" localSheetId="2">#REF!</definedName>
    <definedName name="чс" localSheetId="5">#REF!</definedName>
    <definedName name="чс" localSheetId="3">#REF!</definedName>
    <definedName name="чс" localSheetId="4">#REF!</definedName>
    <definedName name="чс">#REF!</definedName>
    <definedName name="щшдрто" localSheetId="2" hidden="1">{#N/A,#N/A,FALSE,"Лист15"}</definedName>
    <definedName name="щшдрто" localSheetId="5" hidden="1">{#N/A,#N/A,FALSE,"Лист15"}</definedName>
    <definedName name="щшдрто" localSheetId="3" hidden="1">{#N/A,#N/A,FALSE,"Лист15"}</definedName>
    <definedName name="щшдрто" localSheetId="4" hidden="1">{#N/A,#N/A,FALSE,"Лист15"}</definedName>
    <definedName name="щшдрто" hidden="1">{#N/A,#N/A,FALSE,"Лист15"}</definedName>
    <definedName name="щшпт" localSheetId="2">[19]П.2!#REF!</definedName>
    <definedName name="щшпт" localSheetId="5">[19]П.2!#REF!</definedName>
    <definedName name="щшпт" localSheetId="3">[19]П.2!#REF!</definedName>
    <definedName name="щшпт" localSheetId="4">[19]П.2!#REF!</definedName>
    <definedName name="щшпт">[19]П.2!#REF!</definedName>
    <definedName name="ы" localSheetId="2" hidden="1">{#N/A,#N/A,FALSE,"Лист15"}</definedName>
    <definedName name="ы" localSheetId="5" hidden="1">{#N/A,#N/A,FALSE,"Лист15"}</definedName>
    <definedName name="ы" localSheetId="3" hidden="1">{#N/A,#N/A,FALSE,"Лист15"}</definedName>
    <definedName name="ы" localSheetId="4" hidden="1">{#N/A,#N/A,FALSE,"Лист15"}</definedName>
    <definedName name="ы" hidden="1">{#N/A,#N/A,FALSE,"Лист15"}</definedName>
    <definedName name="ычвсмить" localSheetId="2">'[21]77'!#REF!</definedName>
    <definedName name="ычвсмить" localSheetId="5">'[21]77'!#REF!</definedName>
    <definedName name="ычвсмить" localSheetId="3">'[21]77'!#REF!</definedName>
    <definedName name="ычвсмить" localSheetId="4">'[21]77'!#REF!</definedName>
    <definedName name="ычвсмить">'[21]77'!#REF!</definedName>
    <definedName name="ьо" localSheetId="2">#REF!</definedName>
    <definedName name="ьо" localSheetId="5">#REF!</definedName>
    <definedName name="ьо" localSheetId="3">#REF!</definedName>
    <definedName name="ьо" localSheetId="4">#REF!</definedName>
    <definedName name="ьо">#REF!</definedName>
    <definedName name="ьонепр" localSheetId="2">#REF!</definedName>
    <definedName name="ьонепр" localSheetId="5">#REF!</definedName>
    <definedName name="ьонепр" localSheetId="3">#REF!</definedName>
    <definedName name="ьонепр" localSheetId="4">#REF!</definedName>
    <definedName name="ьонепр">#REF!</definedName>
    <definedName name="ьь" localSheetId="2">#REF!</definedName>
    <definedName name="ьь" localSheetId="5">#REF!</definedName>
    <definedName name="ьь" localSheetId="3">#REF!</definedName>
    <definedName name="ьь" localSheetId="4">#REF!</definedName>
    <definedName name="ьь">#REF!</definedName>
    <definedName name="э" localSheetId="2" hidden="1">{#N/A,#N/A,FALSE,"Лист15"}</definedName>
    <definedName name="э" localSheetId="5" hidden="1">{#N/A,#N/A,FALSE,"Лист15"}</definedName>
    <definedName name="э" localSheetId="3" hidden="1">{#N/A,#N/A,FALSE,"Лист15"}</definedName>
    <definedName name="э" localSheetId="4" hidden="1">{#N/A,#N/A,FALSE,"Лист15"}</definedName>
    <definedName name="э" hidden="1">{#N/A,#N/A,FALSE,"Лист15"}</definedName>
    <definedName name="эдд" localSheetId="2">#REF!</definedName>
    <definedName name="эдд" localSheetId="5">#REF!</definedName>
    <definedName name="эдд" localSheetId="3">#REF!</definedName>
    <definedName name="эдд" localSheetId="4">#REF!</definedName>
    <definedName name="эдд">#REF!</definedName>
    <definedName name="я" localSheetId="2">#REF!</definedName>
    <definedName name="я" localSheetId="5">#REF!</definedName>
    <definedName name="я" localSheetId="3">#REF!</definedName>
    <definedName name="я" localSheetId="4">#REF!</definedName>
    <definedName name="я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166" l="1"/>
  <c r="H43" i="166"/>
  <c r="F43" i="166"/>
  <c r="I22" i="166"/>
  <c r="H22" i="166"/>
  <c r="F22" i="166"/>
  <c r="I20" i="166" l="1"/>
  <c r="H20" i="166"/>
  <c r="F20" i="166"/>
  <c r="I23" i="166"/>
  <c r="H23" i="166"/>
  <c r="F23" i="166"/>
  <c r="G35" i="166" l="1"/>
  <c r="E35" i="166"/>
  <c r="D35" i="166"/>
  <c r="G10" i="166" l="1"/>
  <c r="G6" i="166"/>
  <c r="E10" i="166"/>
  <c r="E6" i="166"/>
  <c r="D10" i="166"/>
  <c r="D6" i="166"/>
  <c r="H49" i="166" l="1"/>
  <c r="H48" i="166"/>
  <c r="H45" i="166"/>
  <c r="H44" i="166"/>
  <c r="H40" i="166"/>
  <c r="H39" i="166"/>
  <c r="H36" i="166"/>
  <c r="H35" i="166" s="1"/>
  <c r="H34" i="166"/>
  <c r="H33" i="166"/>
  <c r="H32" i="166"/>
  <c r="H31" i="166"/>
  <c r="H30" i="166"/>
  <c r="H29" i="166"/>
  <c r="H28" i="166"/>
  <c r="H27" i="166"/>
  <c r="H26" i="166"/>
  <c r="H25" i="166"/>
  <c r="H21" i="166"/>
  <c r="H19" i="166"/>
  <c r="H17" i="166"/>
  <c r="H15" i="166"/>
  <c r="H14" i="166"/>
  <c r="H13" i="166"/>
  <c r="H11" i="166"/>
  <c r="H10" i="166" s="1"/>
  <c r="H9" i="166"/>
  <c r="H8" i="166"/>
  <c r="H7" i="166"/>
  <c r="H6" i="166" l="1"/>
  <c r="I49" i="166"/>
  <c r="F49" i="166"/>
  <c r="I21" i="166"/>
  <c r="F21" i="166"/>
  <c r="F33" i="166" l="1"/>
  <c r="I33" i="166"/>
  <c r="I26" i="166" l="1"/>
  <c r="F26" i="166"/>
  <c r="I48" i="166" l="1"/>
  <c r="F48" i="166"/>
  <c r="I45" i="166"/>
  <c r="F45" i="166"/>
  <c r="I44" i="166"/>
  <c r="F44" i="166"/>
  <c r="I40" i="166"/>
  <c r="F40" i="166"/>
  <c r="I39" i="166"/>
  <c r="F39" i="166"/>
  <c r="I36" i="166"/>
  <c r="I35" i="166" s="1"/>
  <c r="F36" i="166"/>
  <c r="F35" i="166" s="1"/>
  <c r="I34" i="166"/>
  <c r="F34" i="166"/>
  <c r="I32" i="166"/>
  <c r="F32" i="166"/>
  <c r="I31" i="166"/>
  <c r="F31" i="166"/>
  <c r="I30" i="166"/>
  <c r="F30" i="166"/>
  <c r="I29" i="166"/>
  <c r="F29" i="166"/>
  <c r="I28" i="166"/>
  <c r="F28" i="166"/>
  <c r="I27" i="166"/>
  <c r="F27" i="166"/>
  <c r="I25" i="166"/>
  <c r="F25" i="166"/>
  <c r="I19" i="166"/>
  <c r="F19" i="166"/>
  <c r="I17" i="166"/>
  <c r="F17" i="166"/>
  <c r="I15" i="166"/>
  <c r="F15" i="166"/>
  <c r="I14" i="166"/>
  <c r="F14" i="166"/>
  <c r="I13" i="166"/>
  <c r="F13" i="166"/>
  <c r="I11" i="166"/>
  <c r="I10" i="166" s="1"/>
  <c r="F11" i="166"/>
  <c r="F10" i="166" s="1"/>
  <c r="I9" i="166"/>
  <c r="F9" i="166"/>
  <c r="I8" i="166"/>
  <c r="F8" i="166"/>
  <c r="I7" i="166"/>
  <c r="F7" i="166"/>
  <c r="F6" i="166" l="1"/>
  <c r="I6" i="166"/>
  <c r="H18" i="166" l="1"/>
  <c r="H47" i="166"/>
  <c r="H24" i="166"/>
  <c r="H12" i="166"/>
  <c r="H38" i="166"/>
  <c r="F12" i="166"/>
  <c r="H52" i="166" l="1"/>
  <c r="F18" i="166"/>
  <c r="F47" i="166"/>
  <c r="F24" i="166"/>
  <c r="F38" i="166"/>
  <c r="E47" i="166"/>
  <c r="D47" i="166"/>
  <c r="E38" i="166"/>
  <c r="D38" i="166"/>
  <c r="E24" i="166"/>
  <c r="D24" i="166"/>
  <c r="E18" i="166"/>
  <c r="D18" i="166"/>
  <c r="E12" i="166"/>
  <c r="D12" i="166"/>
  <c r="B56" i="166" l="1"/>
  <c r="E52" i="166"/>
  <c r="F52" i="166"/>
  <c r="D52" i="166"/>
  <c r="G47" i="166"/>
  <c r="G38" i="166"/>
  <c r="G24" i="166"/>
  <c r="G12" i="166"/>
  <c r="G18" i="166"/>
  <c r="G52" i="166" l="1"/>
  <c r="B55" i="166"/>
  <c r="I47" i="166"/>
  <c r="I38" i="166"/>
  <c r="I12" i="166"/>
  <c r="I18" i="166" l="1"/>
  <c r="I24" i="166"/>
  <c r="I52" i="166" l="1"/>
  <c r="I192" i="73"/>
  <c r="I191" i="73"/>
  <c r="I190" i="73"/>
  <c r="I181" i="73"/>
  <c r="I180" i="73"/>
  <c r="I174" i="73"/>
  <c r="I172" i="73"/>
  <c r="I170" i="73"/>
  <c r="I168" i="73"/>
  <c r="I167" i="73"/>
  <c r="I164" i="73"/>
  <c r="I161" i="73"/>
  <c r="I157" i="73"/>
  <c r="I151" i="73"/>
  <c r="I149" i="73"/>
  <c r="I148" i="73"/>
  <c r="I146" i="73"/>
  <c r="I145" i="73"/>
  <c r="I143" i="73"/>
  <c r="I142" i="73"/>
  <c r="I141" i="73"/>
  <c r="I113" i="73"/>
  <c r="I110" i="73"/>
  <c r="I109" i="73"/>
  <c r="I108" i="73"/>
  <c r="I107" i="73"/>
  <c r="I104" i="73"/>
  <c r="I99" i="73"/>
  <c r="I87" i="73"/>
  <c r="I86" i="73"/>
  <c r="I85" i="73"/>
  <c r="I84" i="73"/>
  <c r="I83" i="73"/>
  <c r="I80" i="73"/>
  <c r="I58" i="73"/>
  <c r="I51" i="73"/>
  <c r="I49" i="73"/>
  <c r="I48" i="73"/>
  <c r="I47" i="73"/>
  <c r="I46" i="73"/>
  <c r="I42" i="73"/>
  <c r="I39" i="73"/>
  <c r="I38" i="73"/>
  <c r="I32" i="73"/>
  <c r="I30" i="73"/>
  <c r="I29" i="73"/>
  <c r="I28" i="73" s="1"/>
  <c r="N28" i="73"/>
  <c r="G77" i="75"/>
  <c r="G73" i="75"/>
  <c r="G72" i="75"/>
  <c r="G71" i="75"/>
  <c r="G70" i="75"/>
  <c r="G69" i="75"/>
  <c r="G65" i="75"/>
  <c r="G63" i="75"/>
  <c r="G62" i="75"/>
  <c r="G60" i="75"/>
  <c r="G57" i="75"/>
  <c r="G53" i="75"/>
  <c r="G52" i="75"/>
  <c r="G49" i="75"/>
  <c r="G48" i="75"/>
  <c r="G46" i="75"/>
  <c r="G45" i="75"/>
  <c r="G38" i="75"/>
  <c r="G34" i="75"/>
  <c r="G32" i="75"/>
  <c r="G31" i="75"/>
  <c r="G29" i="75" s="1"/>
  <c r="L29" i="75"/>
  <c r="H96" i="74"/>
  <c r="H91" i="74"/>
  <c r="H90" i="74"/>
  <c r="H84" i="74"/>
  <c r="H78" i="74"/>
  <c r="H76" i="74" s="1"/>
  <c r="M76" i="74"/>
  <c r="H73" i="74"/>
  <c r="H67" i="74"/>
  <c r="H66" i="74"/>
  <c r="H60" i="74"/>
  <c r="H54" i="74"/>
  <c r="H52" i="74" s="1"/>
  <c r="M52" i="74"/>
  <c r="H49" i="74"/>
  <c r="H48" i="74"/>
  <c r="H43" i="74"/>
  <c r="H42" i="74"/>
  <c r="H36" i="74"/>
  <c r="H30" i="74"/>
  <c r="H28" i="74" s="1"/>
  <c r="M27" i="74"/>
  <c r="J154" i="76"/>
  <c r="I154" i="76"/>
  <c r="J146" i="76"/>
  <c r="J139" i="76"/>
  <c r="J136" i="76"/>
  <c r="J135" i="76"/>
  <c r="J134" i="76"/>
  <c r="J133" i="76"/>
  <c r="J132" i="76"/>
  <c r="I131" i="76"/>
  <c r="J108" i="76"/>
  <c r="J106" i="76"/>
  <c r="J105" i="76"/>
  <c r="I101" i="76"/>
  <c r="J97" i="76"/>
  <c r="J88" i="76"/>
  <c r="J81" i="76"/>
  <c r="J73" i="76"/>
  <c r="J72" i="76"/>
  <c r="J71" i="76"/>
  <c r="J67" i="76"/>
  <c r="J54" i="76"/>
  <c r="J50" i="76"/>
  <c r="J47" i="76"/>
  <c r="J46" i="76"/>
  <c r="J44" i="76"/>
  <c r="J43" i="76"/>
  <c r="J41" i="76"/>
  <c r="J40" i="76"/>
  <c r="J37" i="76"/>
  <c r="J36" i="76"/>
  <c r="I35" i="76"/>
  <c r="J34" i="76"/>
  <c r="J32" i="76"/>
  <c r="J30" i="76" s="1"/>
  <c r="P30" i="76"/>
  <c r="D18" i="80"/>
  <c r="C18" i="80"/>
  <c r="C17" i="80"/>
  <c r="D15" i="80"/>
  <c r="E15" i="80" s="1"/>
  <c r="E7" i="80"/>
  <c r="G6" i="80"/>
  <c r="E6" i="80"/>
  <c r="D6" i="80" s="1"/>
  <c r="E5" i="80"/>
  <c r="D5" i="80" s="1"/>
  <c r="C36" i="78"/>
  <c r="C25" i="78"/>
  <c r="C28" i="78" s="1"/>
  <c r="C15" i="78"/>
  <c r="C8" i="78"/>
  <c r="P31" i="76" l="1"/>
  <c r="P32" i="76" s="1"/>
  <c r="M53" i="74"/>
  <c r="M77" i="74"/>
  <c r="N29" i="73"/>
  <c r="C17" i="78"/>
  <c r="C38" i="78"/>
  <c r="I29" i="76"/>
  <c r="I193" i="73"/>
  <c r="E18" i="80"/>
  <c r="E19" i="80" s="1"/>
  <c r="H27" i="74"/>
  <c r="M28" i="74" s="1"/>
  <c r="H99" i="74"/>
  <c r="D17" i="80"/>
  <c r="E17" i="80" s="1"/>
  <c r="H75" i="74"/>
  <c r="L30" i="75"/>
  <c r="H51" i="74" l="1"/>
  <c r="E21" i="80"/>
</calcChain>
</file>

<file path=xl/sharedStrings.xml><?xml version="1.0" encoding="utf-8"?>
<sst xmlns="http://schemas.openxmlformats.org/spreadsheetml/2006/main" count="1898" uniqueCount="461">
  <si>
    <t>№ п/п</t>
  </si>
  <si>
    <t>Сумма</t>
  </si>
  <si>
    <t>Наименование</t>
  </si>
  <si>
    <t>005 программа</t>
  </si>
  <si>
    <t>Услуги по разработке и внедрению информационных систем</t>
  </si>
  <si>
    <t>Всего</t>
  </si>
  <si>
    <t>053 программа</t>
  </si>
  <si>
    <t>Аудиторские услуги</t>
  </si>
  <si>
    <t>Отчисления на обязательное социальное медицинское страхование</t>
  </si>
  <si>
    <t>земельный налог</t>
  </si>
  <si>
    <t>налог на транспортные средства</t>
  </si>
  <si>
    <t>налог на имущество</t>
  </si>
  <si>
    <t>за эмиссии в окружающую среду</t>
  </si>
  <si>
    <t>гражданско-правовой ответственности владельцев транспортных средств</t>
  </si>
  <si>
    <t>Услуги связи</t>
  </si>
  <si>
    <t>интернет</t>
  </si>
  <si>
    <t>Транспортные услуги</t>
  </si>
  <si>
    <t>Командировочные расходы</t>
  </si>
  <si>
    <t>За эмиссии в окружающую среду</t>
  </si>
  <si>
    <t>Государственная пошлина</t>
  </si>
  <si>
    <t>Обслуживание и ремонт основных средств</t>
  </si>
  <si>
    <t xml:space="preserve">Оплата мероприятий по охране труда и технике безопасности </t>
  </si>
  <si>
    <t>Оплата работ (услуг) произведенных подрядчиками</t>
  </si>
  <si>
    <t>обязательные пенсионные взносы</t>
  </si>
  <si>
    <t>индивидуальный подоходный налог</t>
  </si>
  <si>
    <t>Доход</t>
  </si>
  <si>
    <t>011 программа</t>
  </si>
  <si>
    <t>крови</t>
  </si>
  <si>
    <t>014 программа</t>
  </si>
  <si>
    <t>Доходы от безвозмездно полученных активов</t>
  </si>
  <si>
    <t>Итого доход</t>
  </si>
  <si>
    <t>Расход</t>
  </si>
  <si>
    <t>АУП</t>
  </si>
  <si>
    <t>произ</t>
  </si>
  <si>
    <t>наклад</t>
  </si>
  <si>
    <t>Итого расходы</t>
  </si>
  <si>
    <t>Результаты финансово-хозяйственной деятельности (прибыль или убыток) после налог.</t>
  </si>
  <si>
    <t>постуспление денег</t>
  </si>
  <si>
    <t>Деньги на начало периода</t>
  </si>
  <si>
    <t>остаток на 01.01.2016</t>
  </si>
  <si>
    <t>выбыт.денег</t>
  </si>
  <si>
    <t xml:space="preserve"> платные услугам на 2015 год</t>
  </si>
  <si>
    <t>итого остаток денег на 01.01.2017 год</t>
  </si>
  <si>
    <t xml:space="preserve">Краткосрочные доходы </t>
  </si>
  <si>
    <t/>
  </si>
  <si>
    <t>Раздел «Показатели планируемого года»</t>
  </si>
  <si>
    <t>Глава «Выбытие денег»</t>
  </si>
  <si>
    <t>Уполномоченный орган соответствующей отрасли (исполнительный орган, финансируемый из местного бюджета): Министерства здравоохранения Республики Казахстан</t>
  </si>
  <si>
    <t>Наименование организации : РЕСПУБЛИКАНСКОЕ ГОСУДАРСТВЕННОЕ ПРЕДПРИЯТИЕ НА ПРАВЕ ХОЗЯЙСТВЕННОГО ВЕДЕНИЯ «НАУЧНО-ПРОИЗВОДСТВЕННЫЙ ЦЕНТР ТРАНСФУЗИОЛОГИИ» МИНИСТЕРСТВА ЗДРАВООХРАНЕНИЯ РЕСПУБЛИКИ КАЗАХСТАН</t>
  </si>
  <si>
    <t>Планируемый период: 2012 - 2016 годы. Версия: 3</t>
  </si>
  <si>
    <t>тыс. тенге</t>
  </si>
  <si>
    <t>Наименование показателей</t>
  </si>
  <si>
    <t>год (нарастающим итогом)</t>
  </si>
  <si>
    <t>Выбытие денег, всего</t>
  </si>
  <si>
    <t>Запасы</t>
  </si>
  <si>
    <t>в том числе</t>
  </si>
  <si>
    <t>сырье и материалы</t>
  </si>
  <si>
    <t>ГСМ</t>
  </si>
  <si>
    <t>запасные части</t>
  </si>
  <si>
    <t xml:space="preserve">прочие запасы </t>
  </si>
  <si>
    <t>Расходный материалы доля мед.оборудование</t>
  </si>
  <si>
    <t>Товары для продажи (вещи для передачи в лизинг)</t>
  </si>
  <si>
    <t>Энергия</t>
  </si>
  <si>
    <t>тепловая</t>
  </si>
  <si>
    <t>электрическая</t>
  </si>
  <si>
    <t>Водоснабжение, канализация и иные коммунальные услуги</t>
  </si>
  <si>
    <t>Водоснабжение,канализация</t>
  </si>
  <si>
    <t>Авансы выданные</t>
  </si>
  <si>
    <t>Оплата труда и другие выплаты</t>
  </si>
  <si>
    <t>работников, занятых в производстве продукции</t>
  </si>
  <si>
    <t>административного персонала</t>
  </si>
  <si>
    <t>прочих работников, состоящих в штате</t>
  </si>
  <si>
    <t>работников, не состоящих в штате</t>
  </si>
  <si>
    <t>Отчисления от оплаты труда</t>
  </si>
  <si>
    <t>добровольные пенсионные взносы</t>
  </si>
  <si>
    <t>Приобретение нематериальных активов и основных средств</t>
  </si>
  <si>
    <t>земля</t>
  </si>
  <si>
    <t>здания и сооружения</t>
  </si>
  <si>
    <t>машины и оборудование</t>
  </si>
  <si>
    <t>транспортные средства</t>
  </si>
  <si>
    <t>Приобретение инвестиционной недвижимости</t>
  </si>
  <si>
    <t>Приобретение финансовых активов</t>
  </si>
  <si>
    <t>Акции</t>
  </si>
  <si>
    <t>собственные</t>
  </si>
  <si>
    <t>дочерних организаций</t>
  </si>
  <si>
    <t>Облигации</t>
  </si>
  <si>
    <t>Доли участия</t>
  </si>
  <si>
    <t>Прочие финансовые активы</t>
  </si>
  <si>
    <t>Налоги</t>
  </si>
  <si>
    <t>корпоративный подоходный налог</t>
  </si>
  <si>
    <t>налог на добавленную стоимость</t>
  </si>
  <si>
    <t>социальный налог</t>
  </si>
  <si>
    <t>социальные отчисления</t>
  </si>
  <si>
    <t>акцизы</t>
  </si>
  <si>
    <t>прочие налоги</t>
  </si>
  <si>
    <t>Сборы</t>
  </si>
  <si>
    <t>Налог (от чистого дохода)</t>
  </si>
  <si>
    <t>Платы</t>
  </si>
  <si>
    <t>за пользование земельными участками</t>
  </si>
  <si>
    <t>за пользование водными ресурсами поверхностных источников</t>
  </si>
  <si>
    <t>за размещение наружной (визуальной) рекламы</t>
  </si>
  <si>
    <t>Таможенные платежи</t>
  </si>
  <si>
    <t>Страхование</t>
  </si>
  <si>
    <t>Взнос на обязательное экологтческое страхования</t>
  </si>
  <si>
    <t>Взнос на обязательное  страхования</t>
  </si>
  <si>
    <t>Выплата дивидендов и части чистого дохода</t>
  </si>
  <si>
    <t>в государственный бюджет</t>
  </si>
  <si>
    <t>прочим акционерам и участникам</t>
  </si>
  <si>
    <t>Размещение денег во вклады</t>
  </si>
  <si>
    <t>Выдача займов и оказание временной финансовой помощи</t>
  </si>
  <si>
    <t>займы</t>
  </si>
  <si>
    <t>временная финансовая помощь</t>
  </si>
  <si>
    <t>Погашение финансовых обязательств</t>
  </si>
  <si>
    <t>кредиты</t>
  </si>
  <si>
    <t>лизинговые платежи</t>
  </si>
  <si>
    <t>финансовая аренда</t>
  </si>
  <si>
    <t>Выбытие денег по договору факторинга</t>
  </si>
  <si>
    <t>Выбытие денег по страховой (перестраховочной) деятельности</t>
  </si>
  <si>
    <t>Погашение облигаций</t>
  </si>
  <si>
    <t>Оплата векселей</t>
  </si>
  <si>
    <t>Оплата вознаграждения</t>
  </si>
  <si>
    <t>по кредитам</t>
  </si>
  <si>
    <t>по временной финансовой помощи</t>
  </si>
  <si>
    <t>по облигациям</t>
  </si>
  <si>
    <t>по финансовой аренде</t>
  </si>
  <si>
    <t>по лизингу</t>
  </si>
  <si>
    <t>по договору факторинга</t>
  </si>
  <si>
    <t>Обслуживание и ремонт</t>
  </si>
  <si>
    <t>нематериальных активов</t>
  </si>
  <si>
    <t>основных средств</t>
  </si>
  <si>
    <t>Связь</t>
  </si>
  <si>
    <t>почтовая</t>
  </si>
  <si>
    <t>телефонная</t>
  </si>
  <si>
    <t>междугородняя связь</t>
  </si>
  <si>
    <t>Междунородный связь</t>
  </si>
  <si>
    <t>сотовая связь</t>
  </si>
  <si>
    <t>специальная связь</t>
  </si>
  <si>
    <t>Информационные услуги</t>
  </si>
  <si>
    <t>Сервисное и годовое обслуживание конфигурации 1С-бухгалтерии версии 8.1.</t>
  </si>
  <si>
    <t xml:space="preserve">Интернет </t>
  </si>
  <si>
    <t>Оплата услуг по хранению и погрузке</t>
  </si>
  <si>
    <t>Оплата аудиторских услуг</t>
  </si>
  <si>
    <t xml:space="preserve">Оплата консультационных услуг </t>
  </si>
  <si>
    <t>Оплата за сертификацию продукции</t>
  </si>
  <si>
    <t>Повышение квалификации работников</t>
  </si>
  <si>
    <t>Оплата транспортных услуг</t>
  </si>
  <si>
    <t>автомобильные перевозки</t>
  </si>
  <si>
    <t>железнодорожные перевозки</t>
  </si>
  <si>
    <t>воздушные перевозки</t>
  </si>
  <si>
    <t>Представительские расходы</t>
  </si>
  <si>
    <t>Оплата банковских услуг</t>
  </si>
  <si>
    <t>Оплата типографских услуг</t>
  </si>
  <si>
    <t>Оплата услуг по охране</t>
  </si>
  <si>
    <t>Оплата операционной аренды</t>
  </si>
  <si>
    <t>зданий и сооружений</t>
  </si>
  <si>
    <t xml:space="preserve">транспортные средства </t>
  </si>
  <si>
    <t xml:space="preserve">Оплата мероприятий по противопожарной охране и затрат, связанных с соблюдением специальных требований </t>
  </si>
  <si>
    <t>Оплата мероприятий по социальной программе</t>
  </si>
  <si>
    <t>Прочее выбытие</t>
  </si>
  <si>
    <t>благотворительная и спонсорская помощь</t>
  </si>
  <si>
    <t>содержание Совета директоров (наблюдательного совета)</t>
  </si>
  <si>
    <t>Прочие расходы(гарант.обязательства)</t>
  </si>
  <si>
    <t>материальная помощь</t>
  </si>
  <si>
    <t>прочие выбытие</t>
  </si>
  <si>
    <t xml:space="preserve">Поступление денег на 2015 год </t>
  </si>
  <si>
    <t>Обязательства 2015 года+чистый доход</t>
  </si>
  <si>
    <t>ост.на начало года 2017</t>
  </si>
  <si>
    <t>Глава «Затраты основного производства»</t>
  </si>
  <si>
    <t>Продукт</t>
  </si>
  <si>
    <t>всего</t>
  </si>
  <si>
    <t>прочие запасы</t>
  </si>
  <si>
    <t>Оплата труда работников</t>
  </si>
  <si>
    <t>состоящих в штате</t>
  </si>
  <si>
    <t>не состоящих в штате</t>
  </si>
  <si>
    <t>Работы (услуги), полученные от подрядчиков</t>
  </si>
  <si>
    <t>Налоги и социальные отчисления</t>
  </si>
  <si>
    <t xml:space="preserve">Социальное страхование </t>
  </si>
  <si>
    <t>Прочие затраты, связанные с основным производством</t>
  </si>
  <si>
    <t>выплаты донором</t>
  </si>
  <si>
    <t>Затраты по вспомогательному производству</t>
  </si>
  <si>
    <t>Накладные расходы</t>
  </si>
  <si>
    <t>Платные усулги</t>
  </si>
  <si>
    <t>Глава «Накладные расходы»</t>
  </si>
  <si>
    <t>Планируемый период: 2012 - 2016 годы. Версия: 2</t>
  </si>
  <si>
    <t>Накладные расходы, всего</t>
  </si>
  <si>
    <t>прочие запасные</t>
  </si>
  <si>
    <t>Амортизация</t>
  </si>
  <si>
    <t>Водоснабжение и канализация и иные коммунальные затраты</t>
  </si>
  <si>
    <t>водоснабжение и канализация</t>
  </si>
  <si>
    <t>Консультационные услуги</t>
  </si>
  <si>
    <t>Операционная аренда</t>
  </si>
  <si>
    <t xml:space="preserve">Пожарная безопасность и соблюдение специальных требований </t>
  </si>
  <si>
    <t xml:space="preserve">Охрана труда и техника безопасности </t>
  </si>
  <si>
    <t>Налог на транспорт</t>
  </si>
  <si>
    <t xml:space="preserve">Социальное страхование  </t>
  </si>
  <si>
    <t>Взнос на обязательное экологическое страхование</t>
  </si>
  <si>
    <t xml:space="preserve">Взносы на обязательное страхов. </t>
  </si>
  <si>
    <t>Прочие накладные расходы</t>
  </si>
  <si>
    <t>прочие расходы</t>
  </si>
  <si>
    <t>Руководитель исполнительного органа: БУРКИТБАЕВ ЖАНДОС КОНЫСОВИЧ, Директор</t>
  </si>
  <si>
    <t>М.П.</t>
  </si>
  <si>
    <t>Глава «Административные расходы»</t>
  </si>
  <si>
    <t>Административные расходы, всего</t>
  </si>
  <si>
    <t>Вознаграждения членам Совета директоров (наблюдательного совета)</t>
  </si>
  <si>
    <t>Обслуживание и ремонт основных средств и нематериальных активов</t>
  </si>
  <si>
    <t>Водоснабжение и канализация и иные коммунальные расходы</t>
  </si>
  <si>
    <t>вода и канализация</t>
  </si>
  <si>
    <t>Отчисления на обязательное социальное медицинское страховани</t>
  </si>
  <si>
    <t>транспортных средств</t>
  </si>
  <si>
    <t>почтовая связь</t>
  </si>
  <si>
    <t>телефонная связь</t>
  </si>
  <si>
    <t>междугородная</t>
  </si>
  <si>
    <t>международная</t>
  </si>
  <si>
    <t>абонентская плата</t>
  </si>
  <si>
    <t>электрическая связь</t>
  </si>
  <si>
    <t>сотовая</t>
  </si>
  <si>
    <t>прочие расходы по услугам связи</t>
  </si>
  <si>
    <t>Интернет</t>
  </si>
  <si>
    <t xml:space="preserve">Услуга по обслуживанию 1С бухгалтерий </t>
  </si>
  <si>
    <t>наём жилья</t>
  </si>
  <si>
    <t xml:space="preserve">проезд к месту командирования </t>
  </si>
  <si>
    <t>суточные</t>
  </si>
  <si>
    <t>Услуги охраны</t>
  </si>
  <si>
    <t>Банковские услуги</t>
  </si>
  <si>
    <t>кассовое обслуживание</t>
  </si>
  <si>
    <t>Банковские услуги банковские услуги</t>
  </si>
  <si>
    <t>охрана труда</t>
  </si>
  <si>
    <t>расходы на официальный прием</t>
  </si>
  <si>
    <t>буфетное обслуживание во время переговоров</t>
  </si>
  <si>
    <t>услуги переводчика</t>
  </si>
  <si>
    <t>Расходы по проведению заседаний Совета директоров (наблюдательного совета)</t>
  </si>
  <si>
    <t>командировочные расходы</t>
  </si>
  <si>
    <t xml:space="preserve">по найму жилого помещения </t>
  </si>
  <si>
    <t>по проезду к месту проведения Совета директоров (наблюдательного совета) и обратно к месту постоянной работы (проживания)</t>
  </si>
  <si>
    <t>транспортное обслуживание</t>
  </si>
  <si>
    <t>налог на транспорт</t>
  </si>
  <si>
    <t>Социальное страхование</t>
  </si>
  <si>
    <t>Другие обязательные платежи в бюджет</t>
  </si>
  <si>
    <t>госпошлин</t>
  </si>
  <si>
    <t>Благотворительная и спонсорская помощь</t>
  </si>
  <si>
    <t>Прочие расходы</t>
  </si>
  <si>
    <t>расходы по оплате услуг профессиональных участников рынка ценных бумаг</t>
  </si>
  <si>
    <t>доход по платные услугам на 2018 год</t>
  </si>
  <si>
    <t xml:space="preserve"> по платные услугам на 2018 год</t>
  </si>
  <si>
    <t>Годы</t>
  </si>
  <si>
    <t xml:space="preserve"> Средняя ЗП, тыс.тенге </t>
  </si>
  <si>
    <t>Штатная численность, чел</t>
  </si>
  <si>
    <t>Расходы по оплате труда,тыс.тенге</t>
  </si>
  <si>
    <t xml:space="preserve">годовая </t>
  </si>
  <si>
    <t>месячная</t>
  </si>
  <si>
    <t>EBITDA,тыс.тенге</t>
  </si>
  <si>
    <t>Отчет</t>
  </si>
  <si>
    <t xml:space="preserve">План </t>
  </si>
  <si>
    <t>EBITDA</t>
  </si>
  <si>
    <t xml:space="preserve">2016 год </t>
  </si>
  <si>
    <t>среднесп.</t>
  </si>
  <si>
    <t xml:space="preserve">Производительность труда    </t>
  </si>
  <si>
    <t>2017 год</t>
  </si>
  <si>
    <r>
      <t>расчет производительность труда</t>
    </r>
    <r>
      <rPr>
        <b/>
        <sz val="11"/>
        <color theme="1"/>
        <rFont val="Times New Roman"/>
        <family val="1"/>
        <charset val="204"/>
      </rPr>
      <t xml:space="preserve"> J</t>
    </r>
    <r>
      <rPr>
        <b/>
        <sz val="11"/>
        <color theme="1"/>
        <rFont val="Yu Mincho Light"/>
        <family val="1"/>
        <charset val="204"/>
      </rPr>
      <t xml:space="preserve"> </t>
    </r>
  </si>
  <si>
    <t>К(оп)</t>
  </si>
  <si>
    <t>J(зп)</t>
  </si>
  <si>
    <t>Относительная экономия (перерасход) оплаты труда</t>
  </si>
  <si>
    <t>I</t>
  </si>
  <si>
    <t>№
п/п</t>
  </si>
  <si>
    <t>Должность</t>
  </si>
  <si>
    <t>Кол-во человек</t>
  </si>
  <si>
    <t>VI</t>
  </si>
  <si>
    <t>VII</t>
  </si>
  <si>
    <t>Грейд</t>
  </si>
  <si>
    <t>A</t>
  </si>
  <si>
    <t>B</t>
  </si>
  <si>
    <t>D</t>
  </si>
  <si>
    <t>C</t>
  </si>
  <si>
    <t>ШТАТНОЕ РАСПИСАНИЕ</t>
  </si>
  <si>
    <t>A-1</t>
  </si>
  <si>
    <t>Группа Коммуникация и креатив</t>
  </si>
  <si>
    <r>
      <t xml:space="preserve">Директор / </t>
    </r>
    <r>
      <rPr>
        <b/>
        <sz val="11"/>
        <rFont val="Times New Roman"/>
        <family val="1"/>
      </rPr>
      <t>Доскалиева</t>
    </r>
  </si>
  <si>
    <r>
      <t xml:space="preserve">Главный исполнительный директор Фонда  / </t>
    </r>
    <r>
      <rPr>
        <b/>
        <sz val="11"/>
        <color rgb="FF000000"/>
        <rFont val="Times New Roman"/>
        <family val="1"/>
      </rPr>
      <t>Қаражан</t>
    </r>
  </si>
  <si>
    <r>
      <t xml:space="preserve">Заместитель Главного исполнительного директора Фонда / </t>
    </r>
    <r>
      <rPr>
        <b/>
        <sz val="11"/>
        <color rgb="FF000000"/>
        <rFont val="Times New Roman"/>
        <family val="1"/>
      </rPr>
      <t>Темирбеков</t>
    </r>
  </si>
  <si>
    <t>Департамент социологических исследований и аналитики</t>
  </si>
  <si>
    <t>Департамент проектного управления и региональной координации</t>
  </si>
  <si>
    <t>Департамент цифрового развития</t>
  </si>
  <si>
    <t>II</t>
  </si>
  <si>
    <t>IV</t>
  </si>
  <si>
    <t>V</t>
  </si>
  <si>
    <r>
      <t>Ведущий специалист/менеджер по блогерам/</t>
    </r>
    <r>
      <rPr>
        <b/>
        <sz val="11"/>
        <rFont val="Times New Roman"/>
        <family val="1"/>
      </rPr>
      <t>Дутбаева</t>
    </r>
  </si>
  <si>
    <r>
      <t>Главный специалист/социолог/</t>
    </r>
    <r>
      <rPr>
        <b/>
        <sz val="11"/>
        <rFont val="Times New Roman"/>
        <family val="1"/>
      </rPr>
      <t>Тленчиева</t>
    </r>
  </si>
  <si>
    <r>
      <t>Ведущий специалист/аналитик/</t>
    </r>
    <r>
      <rPr>
        <b/>
        <sz val="11"/>
        <rFont val="Times New Roman"/>
        <family val="1"/>
      </rPr>
      <t>Мукашев</t>
    </r>
  </si>
  <si>
    <r>
      <t xml:space="preserve">Руководитель / </t>
    </r>
    <r>
      <rPr>
        <b/>
        <sz val="11"/>
        <rFont val="Times New Roman"/>
        <family val="1"/>
      </rPr>
      <t>Юнусов</t>
    </r>
  </si>
  <si>
    <r>
      <t xml:space="preserve">Ведущий специалист / </t>
    </r>
    <r>
      <rPr>
        <b/>
        <sz val="11"/>
        <rFont val="Times New Roman"/>
        <family val="1"/>
      </rPr>
      <t>Бекжанова</t>
    </r>
  </si>
  <si>
    <t>Годовой ФОТ (оклад × 12 мес.), тыс. тенге</t>
  </si>
  <si>
    <t>Обновленный годовой ФОТ (оклад × 12 мес.), тыс. тенге</t>
  </si>
  <si>
    <r>
      <t xml:space="preserve">Зам.дир. / </t>
    </r>
    <r>
      <rPr>
        <b/>
        <sz val="11"/>
        <rFont val="Times New Roman"/>
        <family val="1"/>
      </rPr>
      <t>МЭПР</t>
    </r>
    <r>
      <rPr>
        <sz val="11"/>
        <rFont val="Times New Roman"/>
        <family val="1"/>
        <charset val="204"/>
      </rPr>
      <t xml:space="preserve"> (ЦГО, регионы)</t>
    </r>
  </si>
  <si>
    <r>
      <t xml:space="preserve">Эксперт-эколог / </t>
    </r>
    <r>
      <rPr>
        <b/>
        <sz val="11"/>
        <rFont val="Times New Roman"/>
        <family val="1"/>
        <charset val="204"/>
      </rPr>
      <t>Загирова</t>
    </r>
    <r>
      <rPr>
        <sz val="11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>Анастасия</t>
    </r>
  </si>
  <si>
    <t xml:space="preserve"> Финансовый директор </t>
  </si>
  <si>
    <t>Бухгалтер</t>
  </si>
  <si>
    <r>
      <t xml:space="preserve">Эксперт по отходам/воде/воздуху </t>
    </r>
    <r>
      <rPr>
        <b/>
        <sz val="11"/>
        <rFont val="Times New Roman"/>
        <family val="1"/>
        <charset val="204"/>
      </rPr>
      <t>/вакансия</t>
    </r>
  </si>
  <si>
    <t>Юрист (МФЦА) / аутсорс</t>
  </si>
  <si>
    <t>Администратор (сис.админ) / аутсорс</t>
  </si>
  <si>
    <t>проект на 01.10.2026</t>
  </si>
  <si>
    <t>I-а</t>
  </si>
  <si>
    <t>Руководство Фонда</t>
  </si>
  <si>
    <t>Желаемый Должностной оклад, тенге</t>
  </si>
  <si>
    <t>Проектного офиса "ТК" при Центрально-Азиатском климатическом фонде с 20.10.2026 года</t>
  </si>
  <si>
    <t>Руководство проектного офиса ТК</t>
  </si>
  <si>
    <t xml:space="preserve">ИТОГО </t>
  </si>
  <si>
    <t>Административный персонал</t>
  </si>
  <si>
    <t>Главный специалист /режиссер/видеограф-монтажер / аутсорс</t>
  </si>
  <si>
    <t>Ведущий специалист/копирайтер / аутсорс</t>
  </si>
  <si>
    <t>Ведущий специалист/менеджер по креаторам и креативным проектам / аутсорс</t>
  </si>
  <si>
    <t>Разработчик (ИИ, ГИС), платформа / аутсорс</t>
  </si>
  <si>
    <t>*аутсорс выделены желтым</t>
  </si>
  <si>
    <t>На руки после удержания налогов, тенге/мес</t>
  </si>
  <si>
    <t>Обновленный должностной оклад, тенге/мес</t>
  </si>
  <si>
    <t>Форма занятости</t>
  </si>
  <si>
    <t>Выход на работу</t>
  </si>
  <si>
    <t>Краткий функционал</t>
  </si>
  <si>
    <t>аутсорс</t>
  </si>
  <si>
    <t>21.10.2026</t>
  </si>
  <si>
    <t>ИТ-инфраструктура и техника; делопроизводство, хоз. администрирование, ассистирование</t>
  </si>
  <si>
    <t>Договоры и соглашения, право МФЦА, корпоративные документы</t>
  </si>
  <si>
    <t>штат</t>
  </si>
  <si>
    <t>Бухгалтерский учёт, расчёт заработной платы, налоги и платежи</t>
  </si>
  <si>
    <t>работает</t>
  </si>
  <si>
    <t>Бюджет и финансирование, отчётность перед источниками, контроль расходов</t>
  </si>
  <si>
    <t>01.11.2026</t>
  </si>
  <si>
    <t>Креативные и upcycling-проекты, конкурсы, работа с креаторами</t>
  </si>
  <si>
    <t>Работа с блогерами и амбассадорами, челлендж «Менің таза әдетім»</t>
  </si>
  <si>
    <t>Фото и reels, съёмка мероприятий в регионах</t>
  </si>
  <si>
    <t>Визуалы, инфографика, макеты, фирменный стиль</t>
  </si>
  <si>
    <t>Тексты для соцсетей, сайта и СМИ на казахском и русском языках</t>
  </si>
  <si>
    <t>Съёмка и монтаж роликов и документальных фильмов, YouTube-проект «Құндылық елшісі»</t>
  </si>
  <si>
    <t>Коммуникационная стратегия, медиаплан, единый образ Tazabek, работа с амбассадорами</t>
  </si>
  <si>
    <t>Разработка и сопровождение платформы TAZA.KZ, AI- и GIS-инструменты</t>
  </si>
  <si>
    <t>02.2027</t>
  </si>
  <si>
    <t>Сопровождение проектов и регионов, сбор данных и фото/видео фиксация мероприятий</t>
  </si>
  <si>
    <t>Сопровождение проектов и закреплённых регионов, мониторинг мероприятий, отчётность</t>
  </si>
  <si>
    <t>Взаимодействие с МЭПР, ЦГО и акиматами, поручения и протоколы, контроль исполнения</t>
  </si>
  <si>
    <t>Портфель проектов, региональная координация, сверка планов с акиматами 20 регионов</t>
  </si>
  <si>
    <t>Обращение с отходами («Қалдықсыз Қазақстан»), качество воды и воздуха</t>
  </si>
  <si>
    <t>Экологическая экспертиза, данные о состоянии окружающей среды, методические материалы</t>
  </si>
  <si>
    <t>Экспертиза проектов и методик, Национальный стандарт чистоты, международные методики</t>
  </si>
  <si>
    <t>Подготовка данных, мониторинг соцсетей и обращений граждан (TazaQazBot)</t>
  </si>
  <si>
    <t>Большие данные, дашборды, расчёт KPI и «Тазалық индексі»</t>
  </si>
  <si>
    <t>Опросы, фокус-группы, анкеты, полевые работы в регионах</t>
  </si>
  <si>
    <t>Программа исследований, методология измерения поведения, ежегодный доклад об экологической культуре</t>
  </si>
  <si>
    <t>Руководство проектным офисом, координация с МЭПР и госорганами, планы и отчётность по инициативе</t>
  </si>
  <si>
    <t>Административно-хозяйственные вопросы, закупки, кадры, договоры; курирует юриста и сис.администратора</t>
  </si>
  <si>
    <t>Общее руководство Фондом и проектом, представительство, утверждение планов, бюджета и отчётов</t>
  </si>
  <si>
    <t>Обоснование ставок: сравнение с рынком труда Астаны (проект 2026-10-12)</t>
  </si>
  <si>
    <t>1. Ставки – должностные оклады до удержаний (гросс) из бюджета; «на руки» – после ОПВ 10%, ВОСМС 2% и ИПН 10% с вычетом 30 МРП (столбец H листа «ФОТ»). Аутсорс – стоимость договора в месяц без НДС, налоги платит исполнитель.</t>
  </si>
  <si>
    <t>2. Средняя начисленная зарплата в Астане – 609 725 ₸ (I квартал 2026, Бюро национальной статистики). Ставки специалистов 0,7–1,0 млн ₸ – в 1,1–1,6 раза выше среднего по городу, руководителей департаментов 1,3 млн ₸ – около 2,1 раза: это уровень опытных специалистов и руководителей, а не средний работник.</t>
  </si>
  <si>
    <t>3. Почему ставки на уровне верхней части рынка: опыт 3–6 лет и более, работа с государственными органами и 20 регионами, выезды, работа на казахском, русском и английском языках, быстрый набор команды к запуску (21.10.2026) и конкуренция за кадры с нацкомпаниями, финансовым и IT-сектором (средняя в «Информации и связи» – 851 076 ₸, в финансах – 1 107 576 ₸, II кв. 2026).</t>
  </si>
  <si>
    <t>4. Выше рыночных ориентиров – часть аутсорса (режиссёр-видеограф, сис.администратор, копирайтер, дизайнер): ставка покрывает полный цикл работ и совмещение функций; размер уточняется при заключении договоров.</t>
  </si>
  <si>
    <t>5. Оговорки: по должностям официальной статистики нет; рыночные ориентиры – вилки из вакансий hh.kz и отраслевых опросов, часть объявлений указывает сумму «на руки», выборки по Астане небольшие.</t>
  </si>
  <si>
    <t>Должности</t>
  </si>
  <si>
    <t>Наш оклад, ₸/мес (гросс)</t>
  </si>
  <si>
    <t>На руки, ₸/мес</t>
  </si>
  <si>
    <t>Рынок Астаны, ориентир, ₸/мес</t>
  </si>
  <si>
    <t>Источник</t>
  </si>
  <si>
    <t>Вывод</t>
  </si>
  <si>
    <t>ГИД, заместители ГИД, национальный координатор, финансовый директор</t>
  </si>
  <si>
    <t>1 400 000 – 1 600 000</t>
  </si>
  <si>
    <t>1 121 775 – 1 280 175</t>
  </si>
  <si>
    <t>финансовый директор 800 000 – 1 200 000 (опыт 3–6 лет); финансовая отрасль – в среднем 1 107 576</t>
  </si>
  <si>
    <t>hh.kz (вакансии CFO, Астана); БНС, II кв. 2026</t>
  </si>
  <si>
    <t>на уровне рынка для руководителей с опытом 6+ лет; ГИД, замы и финдир – действующие ставки</t>
  </si>
  <si>
    <t>1 300 000</t>
  </si>
  <si>
    <t>1 042 575</t>
  </si>
  <si>
    <t>руководители коммуникаций/медиа – медиана 900 000; разработчики – средняя 1,22 млн (медиана 960 000)</t>
  </si>
  <si>
    <t>Kolesa Group и АПР, май 2026; Kolesa Group, 2025</t>
  </si>
  <si>
    <t>в пределах рынка для руководителя направления</t>
  </si>
  <si>
    <t>1 100 000 – 1 200 000</t>
  </si>
  <si>
    <t>884 175 – 963 375</t>
  </si>
  <si>
    <t>прямых данных нет; ориентир – между руководителем и главным специалистом</t>
  </si>
  <si>
    <t>–</t>
  </si>
  <si>
    <t>оценка; требования: работа с МЭПР/ЦГО, английский язык, гранты</t>
  </si>
  <si>
    <t>Главные специалисты (социолог, аналитик, ПУ, PR, фотограф)</t>
  </si>
  <si>
    <t>1 000 000</t>
  </si>
  <si>
    <t>804 975</t>
  </si>
  <si>
    <t>информация и связь – в среднем 851 076; senior SMM 500 000 – 700 000; middle Python 650 000 – 700 000</t>
  </si>
  <si>
    <t>БНС, II кв. 2026; hh.kz</t>
  </si>
  <si>
    <t>немного выше среднего: опыт 3–6+ лет, регионы, госпроекты</t>
  </si>
  <si>
    <t>Эксперты (эколог; отходы, вода, воздух), ведущий специалист по молодёжи</t>
  </si>
  <si>
    <t>800 000</t>
  </si>
  <si>
    <t>646 575</t>
  </si>
  <si>
    <t>профессиональная, научная и техническая деятельность – более 600 000</t>
  </si>
  <si>
    <t>БНС через Zakon.kz, II кв. 2026</t>
  </si>
  <si>
    <t>на уровне рынка</t>
  </si>
  <si>
    <t>Ведущие специалисты, бухгалтер</t>
  </si>
  <si>
    <t>700 000</t>
  </si>
  <si>
    <t>567 375</t>
  </si>
  <si>
    <t>бухгалтер 700 000 – 900 000 (опыт 3–6 лет); SMM 342 000 в среднем, senior 500 000 – 700 000</t>
  </si>
  <si>
    <t>hh.kz; ГородРабот.kz</t>
  </si>
  <si>
    <t>в рынке; около 1,15 средней по Астане</t>
  </si>
  <si>
    <t>Аутсорс: разработчик (ИИ, ГИС)</t>
  </si>
  <si>
    <t>договор, без НДС</t>
  </si>
  <si>
    <t>middle 400 000 – 800 000; senior 800 000 – 1 500 000; Python middle 650 000 – 700 000</t>
  </si>
  <si>
    <t>Astana Hub, 2026; hh.kz</t>
  </si>
  <si>
    <t>в рынке (уровень senior)</t>
  </si>
  <si>
    <t>Аутсорс: юрист (МФЦА)</t>
  </si>
  <si>
    <t>открытых данных по Астане не найдено</t>
  </si>
  <si>
    <t>уточнить по коммерческим предложениям юрфирм</t>
  </si>
  <si>
    <t>Аутсорс: режиссёр, видеограф-монтажёр</t>
  </si>
  <si>
    <t>видеограф 100 000 – 400 000</t>
  </si>
  <si>
    <t>ГородРабот.kz</t>
  </si>
  <si>
    <t>выше рынка: полный цикл (режиссура, съёмка, монтаж, своё ПО) – уточнить при договоре</t>
  </si>
  <si>
    <t>Аутсорс: сис.администратор</t>
  </si>
  <si>
    <t>в среднем 438 000 – 450 000</t>
  </si>
  <si>
    <t>ГородРабот.kz; WorkBench.kz, 08.2026</t>
  </si>
  <si>
    <t>выше рынка: совмещает делопроизводство, хоз. администрирование, ассистирование</t>
  </si>
  <si>
    <t>Аутсорс: копирайтер, дизайнер</t>
  </si>
  <si>
    <t>копирайтер – данные разрознены; SMM/дизайн/копирайт – от 400 000 (Алматы)</t>
  </si>
  <si>
    <t>ГородРабот.kz; Qyzmet.kz</t>
  </si>
  <si>
    <t>выше рынка – уточнить объём работ при договоре</t>
  </si>
  <si>
    <t>Аутсорс: менеджер по креаторам и креативным проектам</t>
  </si>
  <si>
    <t>senior SMM 500 000 – 700 000</t>
  </si>
  <si>
    <t>hh.kz</t>
  </si>
  <si>
    <t>в рынке</t>
  </si>
  <si>
    <t>Источники:</t>
  </si>
  <si>
    <t>Бюро национальной статистики – средняя зарплата по Астане, I кв. 2026: https://stat.gov.kz/ru/region/astana/</t>
  </si>
  <si>
    <t>Zakon.kz, 02.09.2026 – средняя зарплата по Казахстану и отраслям, II кв. 2026: https://www.zakon.kz/finansy/6530217-nazvana-srednyaya-zarplata-v-kazakhstane-v-kakikh-otraslyakh-platyat-bolshe.html</t>
  </si>
  <si>
    <t>Kolesa Group и Ассоциация профессионалов PR и Media, 08.05.2026 – зарплаты PR-специалистов: https://kolesa.group/media/posts/issledovaniya/skolko-zarabatyvayut-pr-specialisty-v-kazahstane</t>
  </si>
  <si>
    <t>Digital Business, 07.02.2025 – опрос Kolesa Group: средняя зарплата разработчиков: https://digitalbusiness.kz/2025-02-07/bolshe-1-mln-tenge-stala-izvestna-srednyaya-zarplata-razrabotchikov-v-kazahstane/</t>
  </si>
  <si>
    <t>Astana Hub – IT в Казахстане в 2026 году, тренды и зарплаты: https://astanahub.com/ru/blog/chto-budet-s-it-v-kazakhstane-v-2026-godu-trendy-i-zarplaty</t>
  </si>
  <si>
    <t>hh.kz – вакансии: финансовый директор, бухгалтер, SMM-менеджер, программист Python (Астана, 10.2026): https://hh.kz/vacancies/finansovyy_direktor</t>
  </si>
  <si>
    <t>ГородРабот.kz – SMM (Астана), системный администратор, копирайтер: https://astana.gorodrabot.kz/smm_%D0%BF%D1%80%D0%BE%D0%B4%D0%B2%D0%B8%D0%B6%D0%B5%D0%BD%D0%B8%D0%B5</t>
  </si>
  <si>
    <t>poiskraboty.kz – индекс зарплат в вакансиях, Астана 370 000 ₸: https://poiskraboty.kz/zarplaty</t>
  </si>
  <si>
    <t>Менеджер проектов</t>
  </si>
  <si>
    <t>Проекты и международные партнёры Проектного офиса для Центральной Азии, гранты, заявки и переписка на английском языке</t>
  </si>
  <si>
    <t>Стратегия и портфель проектов, международные партнёры, Проектный офис для Центральной Азии; курирует проектное управление</t>
  </si>
  <si>
    <t>Руководители департаментов и групп, руководитель Проектного офиса для Центральной Азии, директор ПУ</t>
  </si>
  <si>
    <t>Заместитель директора ПУ, менеджер проектов</t>
  </si>
  <si>
    <t>Ведение проектов и закреплённых регионов, молодёжные проекты, мониторинг мероприятий</t>
  </si>
  <si>
    <t>Координация регионов, взаимодействие с госорганами и общественными организациями</t>
  </si>
  <si>
    <t>Ведение проектов календаря, планы и отчёты, взаимодействие с акиматами</t>
  </si>
  <si>
    <t>Цифровая платформа TAZA.KZ, информационная безопасность, интеграция TazaQazBot и госсистем, AI/GIS-мониторинг</t>
  </si>
  <si>
    <t>Работа со СМИ, пресс-релизы и пресс-мероприятия, тексты для соцсетей</t>
  </si>
  <si>
    <r>
      <t xml:space="preserve">Руководитель Проектного офиса / </t>
    </r>
    <r>
      <rPr>
        <b/>
        <sz val="11"/>
        <color rgb="FF000000"/>
        <rFont val="Times New Roman"/>
        <family val="1"/>
        <charset val="204"/>
      </rPr>
      <t>Серикжанова Айгерим</t>
    </r>
  </si>
  <si>
    <r>
      <t xml:space="preserve">Заместитель Главного исполнительного директора Фонда по стратегии и проектам / </t>
    </r>
    <r>
      <rPr>
        <b/>
        <sz val="11"/>
        <color rgb="FF000000"/>
        <rFont val="Times New Roman"/>
        <family val="1"/>
        <charset val="204"/>
      </rPr>
      <t>Кононец</t>
    </r>
  </si>
  <si>
    <r>
      <t xml:space="preserve">Главный специалист / PR-менеджер, пресс-секретарь / </t>
    </r>
    <r>
      <rPr>
        <b/>
        <sz val="11"/>
        <rFont val="Times New Roman"/>
        <family val="1"/>
        <charset val="204"/>
      </rPr>
      <t>Талғат Айман</t>
    </r>
  </si>
  <si>
    <r>
      <t xml:space="preserve">Руководитель (IT-специалист) / </t>
    </r>
    <r>
      <rPr>
        <b/>
        <sz val="11"/>
        <rFont val="Times New Roman"/>
        <family val="1"/>
        <charset val="204"/>
      </rPr>
      <t>Тастан Нұрбол</t>
    </r>
  </si>
  <si>
    <r>
      <t xml:space="preserve">Главный специалист (проектный менеджер) / </t>
    </r>
    <r>
      <rPr>
        <b/>
        <sz val="11"/>
        <rFont val="Times New Roman"/>
        <family val="1"/>
        <charset val="204"/>
      </rPr>
      <t>Жандилдаев Бакдаулет</t>
    </r>
  </si>
  <si>
    <r>
      <t xml:space="preserve">Ведущий специалист (проектный менеджер) / </t>
    </r>
    <r>
      <rPr>
        <b/>
        <sz val="11"/>
        <rFont val="Times New Roman"/>
        <family val="1"/>
        <charset val="204"/>
      </rPr>
      <t>Шербаева Бибинур</t>
    </r>
  </si>
  <si>
    <r>
      <t xml:space="preserve">Главный специалист (проектный менеджер) / </t>
    </r>
    <r>
      <rPr>
        <b/>
        <sz val="11"/>
        <rFont val="Times New Roman"/>
        <family val="1"/>
        <charset val="204"/>
      </rPr>
      <t>Қуандық Жасұлан</t>
    </r>
  </si>
  <si>
    <t>Проектный офис для Центральной Азии по изменению климата и зеленой энергетике (Экспертный совет)</t>
  </si>
  <si>
    <t>Руководитель / Өміртай А.</t>
  </si>
  <si>
    <t>Главный специалист / аналитик / Абенов Алибек</t>
  </si>
  <si>
    <t>Социолог / аутсорс / Нурканат А.</t>
  </si>
  <si>
    <t>Опросы, полевые работы, обработка данных</t>
  </si>
  <si>
    <t>Эксперт / Абулхан А.</t>
  </si>
  <si>
    <t>Молодёжь, волонтёры, НПО, школы и вузы; экспертиза молодёжных и общественных проектов</t>
  </si>
  <si>
    <t>Главный специалист / Арманов Р.</t>
  </si>
  <si>
    <t>12.2026</t>
  </si>
  <si>
    <t>Ведущий специалист / Тулесова А.</t>
  </si>
  <si>
    <t>Ведущий специалист / Мирам А.</t>
  </si>
  <si>
    <t>Ведущий специалист / Нуржау М.</t>
  </si>
  <si>
    <t>Руководитель / Сағынұлы С.</t>
  </si>
  <si>
    <t>Ведущий специалист/фотограф-рилсмейкер/Жумабай Б.</t>
  </si>
  <si>
    <t>Ведущий специалист / дизайнер / Найла</t>
  </si>
  <si>
    <t>*приход с 12.2026 и в 2027 году выделен сиреневым (с 12.2026 – Арманов, Мирам; остальные – с 02.2027)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</si>
</sst>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-;\-* #,##0.00_-;_-* &quot;-&quot;??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_-* #,##0_р_._-;\-* #,##0_р_._-;_-* &quot;-&quot;??_р_._-;_-@_-"/>
    <numFmt numFmtId="168" formatCode="0.0"/>
    <numFmt numFmtId="169" formatCode="#,##0.000"/>
    <numFmt numFmtId="170" formatCode="#,##0.00_р_."/>
    <numFmt numFmtId="171" formatCode="#,##0.0_р_."/>
    <numFmt numFmtId="172" formatCode="0.000"/>
    <numFmt numFmtId="173" formatCode="#,##0.0"/>
    <numFmt numFmtId="174" formatCode="_-* #,##0.0_р_._-;\-* #,##0.0_р_._-;_-* &quot;-&quot;??_р_._-;_-@_-"/>
    <numFmt numFmtId="175" formatCode="00"/>
    <numFmt numFmtId="176" formatCode="000"/>
    <numFmt numFmtId="177" formatCode="_(&quot;$&quot;* #,##0.00_);_(&quot;$&quot;* \(#,##0.00\);_(&quot;$&quot;* &quot;-&quot;??_);_(@_)"/>
    <numFmt numFmtId="178" formatCode="#,##0.0000"/>
    <numFmt numFmtId="179" formatCode="#,##0.000_р_."/>
    <numFmt numFmtId="180" formatCode="#,##0.00\ _₽"/>
    <numFmt numFmtId="181" formatCode="#,##0\ _₽"/>
    <numFmt numFmtId="182" formatCode="_(* #,##0.00_);_(* \(#,##0.00\);_(* &quot;-&quot;??_);_(@_)"/>
  </numFmts>
  <fonts count="8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9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Helv"/>
    </font>
    <font>
      <sz val="10"/>
      <name val="Helv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2"/>
      <name val="KZ Times New Roman"/>
      <family val="1"/>
      <charset val="204"/>
    </font>
    <font>
      <b/>
      <sz val="11"/>
      <color indexed="9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b/>
      <i/>
      <sz val="12"/>
      <name val="KZ Times New Roman"/>
      <family val="1"/>
      <charset val="204"/>
    </font>
    <font>
      <b/>
      <sz val="12"/>
      <name val="KZ Times New Roman"/>
      <family val="1"/>
      <charset val="204"/>
    </font>
    <font>
      <sz val="10"/>
      <name val="KZ Times New Roman"/>
      <family val="1"/>
      <charset val="204"/>
    </font>
    <font>
      <sz val="11"/>
      <color indexed="60"/>
      <name val="Calibri"/>
      <family val="2"/>
      <charset val="204"/>
    </font>
    <font>
      <sz val="10"/>
      <name val="MS Sans Serif"/>
      <family val="2"/>
    </font>
    <font>
      <sz val="11"/>
      <color theme="1"/>
      <name val="Calibri"/>
      <family val="2"/>
      <charset val="204"/>
    </font>
    <font>
      <sz val="10"/>
      <name val="MS Sans Serif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4"/>
      <name val="KZ Times New Roman"/>
      <family val="1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2"/>
      <color indexed="9"/>
      <name val="KZ Times New Roman"/>
      <family val="1"/>
      <charset val="204"/>
    </font>
    <font>
      <sz val="12"/>
      <name val="Arial Cyr"/>
      <charset val="204"/>
    </font>
    <font>
      <sz val="8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color indexed="8"/>
      <name val="Arial Cyr"/>
    </font>
    <font>
      <b/>
      <sz val="11"/>
      <color theme="1"/>
      <name val="Yu Mincho Light"/>
      <family val="1"/>
      <charset val="204"/>
    </font>
    <font>
      <sz val="8"/>
      <name val="Arial"/>
      <family val="2"/>
    </font>
    <font>
      <sz val="10"/>
      <color rgb="FF000000"/>
      <name val="Arial"/>
      <family val="2"/>
      <charset val="204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Arial"/>
      <family val="2"/>
      <charset val="204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1"/>
      <color theme="1" tint="0.499984740745262"/>
      <name val="Times New Roman"/>
      <family val="1"/>
      <charset val="204"/>
    </font>
    <font>
      <sz val="11"/>
      <color theme="1" tint="0.499984740745262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b/>
      <sz val="11"/>
      <color rgb="FF000000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DE9D9"/>
        <bgColor rgb="FFFDE9D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rgb="FFFDE9D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E6DF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7DFF3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86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7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10" fillId="0" borderId="0"/>
    <xf numFmtId="0" fontId="11" fillId="0" borderId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2" borderId="0" applyNumberFormat="0" applyBorder="0" applyAlignment="0" applyProtection="0"/>
    <xf numFmtId="0" fontId="14" fillId="6" borderId="0" applyNumberFormat="0" applyBorder="0" applyAlignment="0" applyProtection="0"/>
    <xf numFmtId="0" fontId="15" fillId="23" borderId="5" applyNumberFormat="0" applyAlignment="0" applyProtection="0"/>
    <xf numFmtId="1" fontId="16" fillId="0" borderId="0">
      <alignment horizontal="center" vertical="top" wrapText="1"/>
    </xf>
    <xf numFmtId="175" fontId="16" fillId="0" borderId="4">
      <alignment horizontal="center" vertical="top" wrapText="1"/>
    </xf>
    <xf numFmtId="176" fontId="16" fillId="0" borderId="4">
      <alignment horizontal="center" vertical="top" wrapText="1"/>
    </xf>
    <xf numFmtId="176" fontId="16" fillId="0" borderId="4">
      <alignment horizontal="center" vertical="top" wrapText="1"/>
    </xf>
    <xf numFmtId="176" fontId="16" fillId="0" borderId="4">
      <alignment horizontal="center" vertical="top" wrapText="1"/>
    </xf>
    <xf numFmtId="0" fontId="17" fillId="24" borderId="6" applyNumberFormat="0" applyAlignment="0" applyProtection="0"/>
    <xf numFmtId="1" fontId="16" fillId="0" borderId="0">
      <alignment horizontal="center" vertical="top" wrapText="1"/>
    </xf>
    <xf numFmtId="175" fontId="16" fillId="0" borderId="0">
      <alignment horizontal="center" vertical="top" wrapText="1"/>
    </xf>
    <xf numFmtId="176" fontId="16" fillId="0" borderId="0">
      <alignment horizontal="center" vertical="top" wrapText="1"/>
    </xf>
    <xf numFmtId="176" fontId="16" fillId="0" borderId="0">
      <alignment horizontal="center" vertical="top" wrapText="1"/>
    </xf>
    <xf numFmtId="176" fontId="16" fillId="0" borderId="0">
      <alignment horizontal="center" vertical="top" wrapText="1"/>
    </xf>
    <xf numFmtId="0" fontId="16" fillId="0" borderId="0">
      <alignment horizontal="left" vertical="top" wrapText="1"/>
    </xf>
    <xf numFmtId="0" fontId="16" fillId="0" borderId="0">
      <alignment horizontal="left" vertical="top" wrapText="1"/>
    </xf>
    <xf numFmtId="0" fontId="18" fillId="0" borderId="0" applyNumberFormat="0" applyFill="0" applyBorder="0" applyAlignment="0" applyProtection="0"/>
    <xf numFmtId="0" fontId="19" fillId="7" borderId="0" applyNumberFormat="0" applyBorder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6" fillId="0" borderId="4">
      <alignment horizontal="left" vertical="top"/>
    </xf>
    <xf numFmtId="0" fontId="16" fillId="0" borderId="10">
      <alignment horizontal="center" vertical="top" wrapText="1"/>
    </xf>
    <xf numFmtId="0" fontId="16" fillId="0" borderId="0">
      <alignment horizontal="left" vertical="top"/>
    </xf>
    <xf numFmtId="0" fontId="16" fillId="0" borderId="2">
      <alignment horizontal="left" vertical="top"/>
    </xf>
    <xf numFmtId="0" fontId="23" fillId="10" borderId="5" applyNumberFormat="0" applyAlignment="0" applyProtection="0"/>
    <xf numFmtId="0" fontId="24" fillId="0" borderId="11" applyNumberFormat="0" applyFill="0" applyAlignment="0" applyProtection="0"/>
    <xf numFmtId="0" fontId="25" fillId="25" borderId="4">
      <alignment horizontal="left" vertical="top" wrapText="1"/>
    </xf>
    <xf numFmtId="0" fontId="25" fillId="25" borderId="4">
      <alignment horizontal="left" vertical="top" wrapText="1"/>
    </xf>
    <xf numFmtId="0" fontId="26" fillId="0" borderId="4">
      <alignment horizontal="left" vertical="top" wrapText="1"/>
    </xf>
    <xf numFmtId="0" fontId="16" fillId="0" borderId="4">
      <alignment horizontal="left" vertical="top" wrapText="1"/>
    </xf>
    <xf numFmtId="0" fontId="27" fillId="0" borderId="4">
      <alignment horizontal="left" vertical="top" wrapText="1"/>
    </xf>
    <xf numFmtId="0" fontId="28" fillId="26" borderId="0" applyNumberFormat="0" applyBorder="0" applyAlignment="0" applyProtection="0"/>
    <xf numFmtId="0" fontId="29" fillId="0" borderId="0"/>
    <xf numFmtId="0" fontId="30" fillId="0" borderId="0"/>
    <xf numFmtId="0" fontId="31" fillId="0" borderId="0"/>
    <xf numFmtId="0" fontId="6" fillId="27" borderId="12" applyNumberFormat="0" applyFont="0" applyAlignment="0" applyProtection="0"/>
    <xf numFmtId="0" fontId="32" fillId="23" borderId="13" applyNumberFormat="0" applyAlignment="0" applyProtection="0"/>
    <xf numFmtId="0" fontId="33" fillId="0" borderId="0" applyNumberFormat="0" applyFill="0" applyBorder="0" applyAlignment="0" applyProtection="0"/>
    <xf numFmtId="0" fontId="34" fillId="0" borderId="0">
      <alignment horizontal="center" vertical="top"/>
    </xf>
    <xf numFmtId="0" fontId="16" fillId="0" borderId="14">
      <alignment horizontal="center" textRotation="90" wrapText="1"/>
    </xf>
    <xf numFmtId="0" fontId="16" fillId="0" borderId="14">
      <alignment horizontal="center" textRotation="90" wrapText="1"/>
    </xf>
    <xf numFmtId="0" fontId="16" fillId="0" borderId="14">
      <alignment horizontal="center" textRotation="90" wrapText="1"/>
    </xf>
    <xf numFmtId="0" fontId="16" fillId="0" borderId="14">
      <alignment horizontal="center" textRotation="90" wrapText="1"/>
    </xf>
    <xf numFmtId="0" fontId="16" fillId="0" borderId="14">
      <alignment horizontal="center" vertical="center" wrapText="1"/>
    </xf>
    <xf numFmtId="0" fontId="16" fillId="0" borderId="14">
      <alignment horizontal="center" vertical="center" wrapText="1"/>
    </xf>
    <xf numFmtId="0" fontId="16" fillId="0" borderId="14">
      <alignment horizontal="center" vertical="center" wrapText="1"/>
    </xf>
    <xf numFmtId="0" fontId="16" fillId="0" borderId="14">
      <alignment horizontal="center" vertical="center" wrapText="1"/>
    </xf>
    <xf numFmtId="0" fontId="35" fillId="0" borderId="15" applyNumberFormat="0" applyFill="0" applyAlignment="0" applyProtection="0"/>
    <xf numFmtId="0" fontId="36" fillId="0" borderId="0" applyNumberFormat="0" applyFill="0" applyBorder="0" applyAlignment="0" applyProtection="0"/>
    <xf numFmtId="1" fontId="37" fillId="0" borderId="0">
      <alignment horizontal="center" vertical="top" wrapText="1"/>
    </xf>
    <xf numFmtId="175" fontId="37" fillId="0" borderId="4">
      <alignment horizontal="center" vertical="top" wrapText="1"/>
    </xf>
    <xf numFmtId="176" fontId="37" fillId="0" borderId="4">
      <alignment horizontal="center" vertical="top" wrapText="1"/>
    </xf>
    <xf numFmtId="176" fontId="37" fillId="0" borderId="4">
      <alignment horizontal="center" vertical="top" wrapText="1"/>
    </xf>
    <xf numFmtId="176" fontId="37" fillId="0" borderId="4">
      <alignment horizontal="center" vertical="top" wrapText="1"/>
    </xf>
    <xf numFmtId="177" fontId="7" fillId="0" borderId="0" applyFont="0" applyFill="0" applyBorder="0" applyAlignment="0" applyProtection="0"/>
    <xf numFmtId="0" fontId="7" fillId="0" borderId="0"/>
    <xf numFmtId="0" fontId="1" fillId="0" borderId="0"/>
    <xf numFmtId="0" fontId="7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" fillId="0" borderId="0"/>
    <xf numFmtId="0" fontId="7" fillId="0" borderId="0"/>
    <xf numFmtId="0" fontId="30" fillId="0" borderId="0"/>
    <xf numFmtId="0" fontId="12" fillId="0" borderId="0"/>
    <xf numFmtId="0" fontId="38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>
      <alignment horizontal="left"/>
    </xf>
    <xf numFmtId="0" fontId="38" fillId="0" borderId="0"/>
    <xf numFmtId="0" fontId="1" fillId="0" borderId="0"/>
    <xf numFmtId="0" fontId="7" fillId="0" borderId="0"/>
    <xf numFmtId="0" fontId="38" fillId="0" borderId="0"/>
    <xf numFmtId="0" fontId="38" fillId="0" borderId="0"/>
    <xf numFmtId="0" fontId="38" fillId="0" borderId="0"/>
    <xf numFmtId="0" fontId="6" fillId="0" borderId="0"/>
    <xf numFmtId="0" fontId="38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39" fillId="0" borderId="0">
      <alignment horizontal="left"/>
    </xf>
    <xf numFmtId="0" fontId="1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" fillId="0" borderId="0"/>
    <xf numFmtId="0" fontId="6" fillId="0" borderId="0"/>
    <xf numFmtId="0" fontId="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7" fillId="0" borderId="0"/>
    <xf numFmtId="0" fontId="38" fillId="0" borderId="0"/>
    <xf numFmtId="0" fontId="6" fillId="0" borderId="0"/>
    <xf numFmtId="0" fontId="38" fillId="0" borderId="0"/>
    <xf numFmtId="0" fontId="12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0" fontId="6" fillId="0" borderId="0">
      <alignment horizontal="center"/>
    </xf>
    <xf numFmtId="0" fontId="7" fillId="0" borderId="0"/>
    <xf numFmtId="166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0" borderId="18">
      <alignment horizontal="center" textRotation="90" wrapText="1"/>
    </xf>
    <xf numFmtId="0" fontId="15" fillId="23" borderId="19" applyNumberFormat="0" applyAlignment="0" applyProtection="0"/>
    <xf numFmtId="0" fontId="16" fillId="0" borderId="18">
      <alignment horizontal="center" vertical="center" wrapText="1"/>
    </xf>
    <xf numFmtId="0" fontId="35" fillId="0" borderId="22" applyNumberFormat="0" applyFill="0" applyAlignment="0" applyProtection="0"/>
    <xf numFmtId="0" fontId="32" fillId="23" borderId="21" applyNumberFormat="0" applyAlignment="0" applyProtection="0"/>
    <xf numFmtId="0" fontId="6" fillId="27" borderId="20" applyNumberFormat="0" applyFont="0" applyAlignment="0" applyProtection="0"/>
    <xf numFmtId="0" fontId="23" fillId="10" borderId="19" applyNumberFormat="0" applyAlignment="0" applyProtection="0"/>
    <xf numFmtId="0" fontId="16" fillId="0" borderId="18">
      <alignment horizontal="center" textRotation="90" wrapText="1"/>
    </xf>
    <xf numFmtId="0" fontId="16" fillId="0" borderId="18">
      <alignment horizontal="center" vertical="center" wrapText="1"/>
    </xf>
    <xf numFmtId="0" fontId="16" fillId="0" borderId="18">
      <alignment horizontal="center" vertical="center" wrapText="1"/>
    </xf>
    <xf numFmtId="0" fontId="16" fillId="0" borderId="18">
      <alignment horizontal="center" textRotation="90" wrapText="1"/>
    </xf>
    <xf numFmtId="0" fontId="16" fillId="0" borderId="23">
      <alignment horizontal="center" textRotation="90" wrapText="1"/>
    </xf>
    <xf numFmtId="0" fontId="16" fillId="0" borderId="23">
      <alignment horizontal="center" vertical="center" wrapText="1"/>
    </xf>
    <xf numFmtId="0" fontId="16" fillId="0" borderId="23">
      <alignment horizontal="center" vertical="center" wrapText="1"/>
    </xf>
    <xf numFmtId="0" fontId="16" fillId="0" borderId="23">
      <alignment horizontal="center" textRotation="90" wrapText="1"/>
    </xf>
    <xf numFmtId="0" fontId="50" fillId="0" borderId="0"/>
    <xf numFmtId="0" fontId="7" fillId="0" borderId="0" applyFont="0" applyFill="0" applyBorder="0" applyAlignment="0" applyProtection="0"/>
    <xf numFmtId="0" fontId="7" fillId="0" borderId="0"/>
    <xf numFmtId="0" fontId="11" fillId="0" borderId="0"/>
    <xf numFmtId="0" fontId="7" fillId="0" borderId="0"/>
    <xf numFmtId="0" fontId="51" fillId="0" borderId="0"/>
    <xf numFmtId="0" fontId="11" fillId="0" borderId="0"/>
    <xf numFmtId="0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0" fontId="52" fillId="0" borderId="0"/>
    <xf numFmtId="0" fontId="53" fillId="0" borderId="0" applyNumberFormat="0" applyFill="0" applyBorder="0" applyAlignment="0" applyProtection="0"/>
    <xf numFmtId="0" fontId="54" fillId="0" borderId="46" applyNumberFormat="0" applyFill="0" applyAlignment="0" applyProtection="0"/>
    <xf numFmtId="0" fontId="55" fillId="0" borderId="47" applyNumberFormat="0" applyFill="0" applyAlignment="0" applyProtection="0"/>
    <xf numFmtId="0" fontId="56" fillId="0" borderId="48" applyNumberFormat="0" applyFill="0" applyAlignment="0" applyProtection="0"/>
    <xf numFmtId="0" fontId="56" fillId="0" borderId="0" applyNumberFormat="0" applyFill="0" applyBorder="0" applyAlignment="0" applyProtection="0"/>
    <xf numFmtId="0" fontId="57" fillId="30" borderId="0" applyNumberFormat="0" applyBorder="0" applyAlignment="0" applyProtection="0"/>
    <xf numFmtId="0" fontId="58" fillId="31" borderId="0" applyNumberFormat="0" applyBorder="0" applyAlignment="0" applyProtection="0"/>
    <xf numFmtId="0" fontId="59" fillId="32" borderId="0" applyNumberFormat="0" applyBorder="0" applyAlignment="0" applyProtection="0"/>
    <xf numFmtId="0" fontId="60" fillId="33" borderId="49" applyNumberFormat="0" applyAlignment="0" applyProtection="0"/>
    <xf numFmtId="0" fontId="61" fillId="34" borderId="50" applyNumberFormat="0" applyAlignment="0" applyProtection="0"/>
    <xf numFmtId="0" fontId="62" fillId="34" borderId="49" applyNumberFormat="0" applyAlignment="0" applyProtection="0"/>
    <xf numFmtId="0" fontId="63" fillId="0" borderId="51" applyNumberFormat="0" applyFill="0" applyAlignment="0" applyProtection="0"/>
    <xf numFmtId="0" fontId="64" fillId="35" borderId="52" applyNumberFormat="0" applyAlignment="0" applyProtection="0"/>
    <xf numFmtId="0" fontId="65" fillId="0" borderId="0" applyNumberFormat="0" applyFill="0" applyBorder="0" applyAlignment="0" applyProtection="0"/>
    <xf numFmtId="0" fontId="1" fillId="36" borderId="53" applyNumberFormat="0" applyFont="0" applyAlignment="0" applyProtection="0"/>
    <xf numFmtId="0" fontId="66" fillId="0" borderId="0" applyNumberFormat="0" applyFill="0" applyBorder="0" applyAlignment="0" applyProtection="0"/>
    <xf numFmtId="0" fontId="41" fillId="0" borderId="54" applyNumberFormat="0" applyFill="0" applyAlignment="0" applyProtection="0"/>
    <xf numFmtId="0" fontId="67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67" fillId="40" borderId="0" applyNumberFormat="0" applyBorder="0" applyAlignment="0" applyProtection="0"/>
    <xf numFmtId="0" fontId="67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67" fillId="44" borderId="0" applyNumberFormat="0" applyBorder="0" applyAlignment="0" applyProtection="0"/>
    <xf numFmtId="0" fontId="67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67" fillId="48" borderId="0" applyNumberFormat="0" applyBorder="0" applyAlignment="0" applyProtection="0"/>
    <xf numFmtId="0" fontId="67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67" fillId="52" borderId="0" applyNumberFormat="0" applyBorder="0" applyAlignment="0" applyProtection="0"/>
    <xf numFmtId="0" fontId="67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67" fillId="56" borderId="0" applyNumberFormat="0" applyBorder="0" applyAlignment="0" applyProtection="0"/>
    <xf numFmtId="0" fontId="67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67" fillId="60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182" fontId="7" fillId="0" borderId="0" applyFont="0" applyFill="0" applyBorder="0" applyAlignment="0" applyProtection="0"/>
    <xf numFmtId="0" fontId="7" fillId="0" borderId="0"/>
    <xf numFmtId="164" fontId="52" fillId="0" borderId="0" applyFont="0" applyFill="0" applyBorder="0" applyAlignment="0" applyProtection="0"/>
    <xf numFmtId="0" fontId="52" fillId="0" borderId="0"/>
    <xf numFmtId="0" fontId="68" fillId="0" borderId="0"/>
    <xf numFmtId="0" fontId="52" fillId="0" borderId="0"/>
    <xf numFmtId="44" fontId="52" fillId="0" borderId="0" applyFont="0" applyFill="0" applyBorder="0" applyAlignment="0" applyProtection="0"/>
    <xf numFmtId="0" fontId="52" fillId="0" borderId="0"/>
    <xf numFmtId="166" fontId="52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0" fontId="6" fillId="0" borderId="0"/>
    <xf numFmtId="43" fontId="7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69" fillId="0" borderId="0"/>
    <xf numFmtId="0" fontId="52" fillId="0" borderId="0"/>
    <xf numFmtId="0" fontId="1" fillId="0" borderId="0"/>
    <xf numFmtId="0" fontId="52" fillId="0" borderId="0"/>
  </cellStyleXfs>
  <cellXfs count="473">
    <xf numFmtId="0" fontId="0" fillId="0" borderId="0" xfId="0"/>
    <xf numFmtId="0" fontId="2" fillId="0" borderId="0" xfId="0" applyFont="1"/>
    <xf numFmtId="166" fontId="2" fillId="0" borderId="0" xfId="0" applyNumberFormat="1" applyFont="1"/>
    <xf numFmtId="4" fontId="2" fillId="0" borderId="0" xfId="0" applyNumberFormat="1" applyFont="1"/>
    <xf numFmtId="169" fontId="2" fillId="0" borderId="0" xfId="0" applyNumberFormat="1" applyFont="1"/>
    <xf numFmtId="0" fontId="2" fillId="0" borderId="0" xfId="0" applyFont="1" applyAlignment="1">
      <alignment horizontal="right"/>
    </xf>
    <xf numFmtId="170" fontId="3" fillId="0" borderId="0" xfId="0" applyNumberFormat="1" applyFont="1"/>
    <xf numFmtId="0" fontId="2" fillId="0" borderId="0" xfId="0" applyFont="1" applyAlignment="1">
      <alignment horizontal="center"/>
    </xf>
    <xf numFmtId="179" fontId="3" fillId="0" borderId="0" xfId="0" applyNumberFormat="1" applyFont="1"/>
    <xf numFmtId="171" fontId="2" fillId="0" borderId="0" xfId="0" applyNumberFormat="1" applyFont="1"/>
    <xf numFmtId="0" fontId="46" fillId="3" borderId="0" xfId="0" applyFont="1" applyFill="1" applyAlignment="1">
      <alignment horizontal="left" vertical="center" wrapText="1"/>
    </xf>
    <xf numFmtId="0" fontId="47" fillId="3" borderId="0" xfId="0" applyFont="1" applyFill="1" applyAlignment="1">
      <alignment horizontal="left" wrapText="1"/>
    </xf>
    <xf numFmtId="0" fontId="48" fillId="3" borderId="0" xfId="0" applyFont="1" applyFill="1" applyAlignment="1">
      <alignment horizontal="left" wrapText="1"/>
    </xf>
    <xf numFmtId="0" fontId="46" fillId="3" borderId="2" xfId="0" applyFont="1" applyFill="1" applyBorder="1" applyAlignment="1">
      <alignment horizontal="center" vertical="top" wrapText="1"/>
    </xf>
    <xf numFmtId="0" fontId="47" fillId="3" borderId="0" xfId="0" applyFont="1" applyFill="1" applyAlignment="1">
      <alignment horizontal="center" wrapText="1"/>
    </xf>
    <xf numFmtId="0" fontId="46" fillId="3" borderId="24" xfId="0" applyFont="1" applyFill="1" applyBorder="1" applyAlignment="1">
      <alignment horizontal="left" vertical="center" wrapText="1"/>
    </xf>
    <xf numFmtId="166" fontId="47" fillId="3" borderId="0" xfId="0" applyNumberFormat="1" applyFont="1" applyFill="1" applyAlignment="1">
      <alignment horizontal="left" wrapText="1"/>
    </xf>
    <xf numFmtId="0" fontId="46" fillId="3" borderId="30" xfId="0" applyFont="1" applyFill="1" applyBorder="1" applyAlignment="1">
      <alignment horizontal="left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46" fillId="3" borderId="1" xfId="0" applyFont="1" applyFill="1" applyBorder="1" applyAlignment="1">
      <alignment horizontal="center" vertical="center" wrapText="1"/>
    </xf>
    <xf numFmtId="4" fontId="46" fillId="3" borderId="24" xfId="0" applyNumberFormat="1" applyFont="1" applyFill="1" applyBorder="1" applyAlignment="1">
      <alignment horizontal="center" vertical="center" wrapText="1"/>
    </xf>
    <xf numFmtId="0" fontId="46" fillId="3" borderId="24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46" fillId="3" borderId="25" xfId="0" applyFont="1" applyFill="1" applyBorder="1" applyAlignment="1">
      <alignment horizontal="left" vertical="center" wrapText="1"/>
    </xf>
    <xf numFmtId="0" fontId="46" fillId="3" borderId="3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46" fillId="3" borderId="1" xfId="0" applyFont="1" applyFill="1" applyBorder="1" applyAlignment="1">
      <alignment horizontal="left" vertical="center" wrapText="1"/>
    </xf>
    <xf numFmtId="0" fontId="9" fillId="2" borderId="24" xfId="0" applyFont="1" applyFill="1" applyBorder="1" applyAlignment="1">
      <alignment wrapText="1"/>
    </xf>
    <xf numFmtId="169" fontId="46" fillId="3" borderId="24" xfId="0" applyNumberFormat="1" applyFont="1" applyFill="1" applyBorder="1" applyAlignment="1">
      <alignment horizontal="center" vertical="center" wrapText="1"/>
    </xf>
    <xf numFmtId="169" fontId="47" fillId="3" borderId="0" xfId="0" applyNumberFormat="1" applyFont="1" applyFill="1" applyAlignment="1">
      <alignment horizontal="center" wrapText="1"/>
    </xf>
    <xf numFmtId="173" fontId="46" fillId="2" borderId="24" xfId="0" applyNumberFormat="1" applyFont="1" applyFill="1" applyBorder="1" applyAlignment="1">
      <alignment horizontal="center" vertical="center" wrapText="1"/>
    </xf>
    <xf numFmtId="4" fontId="47" fillId="3" borderId="0" xfId="0" applyNumberFormat="1" applyFont="1" applyFill="1" applyAlignment="1">
      <alignment horizontal="left" wrapText="1"/>
    </xf>
    <xf numFmtId="169" fontId="46" fillId="2" borderId="2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16" xfId="0" applyFont="1" applyFill="1" applyBorder="1" applyAlignment="1">
      <alignment horizontal="left" vertical="center" wrapText="1"/>
    </xf>
    <xf numFmtId="169" fontId="47" fillId="3" borderId="24" xfId="0" applyNumberFormat="1" applyFont="1" applyFill="1" applyBorder="1" applyAlignment="1">
      <alignment horizontal="center" wrapText="1"/>
    </xf>
    <xf numFmtId="169" fontId="46" fillId="3" borderId="24" xfId="0" applyNumberFormat="1" applyFont="1" applyFill="1" applyBorder="1" applyAlignment="1">
      <alignment horizontal="center" vertical="top" wrapText="1"/>
    </xf>
    <xf numFmtId="169" fontId="47" fillId="3" borderId="0" xfId="0" applyNumberFormat="1" applyFont="1" applyFill="1" applyAlignment="1">
      <alignment horizontal="left" wrapText="1"/>
    </xf>
    <xf numFmtId="169" fontId="46" fillId="4" borderId="24" xfId="0" applyNumberFormat="1" applyFont="1" applyFill="1" applyBorder="1" applyAlignment="1">
      <alignment horizontal="center" vertical="center" wrapText="1"/>
    </xf>
    <xf numFmtId="0" fontId="46" fillId="3" borderId="25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left" vertical="center" wrapText="1"/>
    </xf>
    <xf numFmtId="0" fontId="47" fillId="3" borderId="24" xfId="0" applyFont="1" applyFill="1" applyBorder="1" applyAlignment="1">
      <alignment horizontal="left" wrapText="1"/>
    </xf>
    <xf numFmtId="169" fontId="8" fillId="2" borderId="24" xfId="0" applyNumberFormat="1" applyFont="1" applyFill="1" applyBorder="1" applyAlignment="1">
      <alignment horizontal="center" vertical="center" wrapText="1"/>
    </xf>
    <xf numFmtId="4" fontId="8" fillId="3" borderId="24" xfId="0" applyNumberFormat="1" applyFont="1" applyFill="1" applyBorder="1" applyAlignment="1">
      <alignment horizontal="center" vertical="center" wrapText="1"/>
    </xf>
    <xf numFmtId="4" fontId="47" fillId="3" borderId="0" xfId="0" applyNumberFormat="1" applyFont="1" applyFill="1" applyAlignment="1">
      <alignment horizontal="center" wrapText="1"/>
    </xf>
    <xf numFmtId="0" fontId="46" fillId="3" borderId="0" xfId="177" applyFont="1" applyFill="1" applyAlignment="1">
      <alignment horizontal="left" vertical="center" wrapText="1"/>
    </xf>
    <xf numFmtId="0" fontId="47" fillId="3" borderId="0" xfId="177" applyFont="1" applyFill="1" applyAlignment="1">
      <alignment horizontal="left" wrapText="1"/>
    </xf>
    <xf numFmtId="0" fontId="48" fillId="3" borderId="0" xfId="177" applyFont="1" applyFill="1" applyAlignment="1">
      <alignment horizontal="left" wrapText="1"/>
    </xf>
    <xf numFmtId="0" fontId="8" fillId="3" borderId="0" xfId="177" applyFont="1" applyFill="1" applyAlignment="1">
      <alignment horizontal="left" vertical="center" wrapText="1"/>
    </xf>
    <xf numFmtId="4" fontId="47" fillId="3" borderId="0" xfId="177" applyNumberFormat="1" applyFont="1" applyFill="1" applyAlignment="1">
      <alignment horizontal="left" wrapText="1"/>
    </xf>
    <xf numFmtId="0" fontId="46" fillId="3" borderId="24" xfId="177" applyFont="1" applyFill="1" applyBorder="1" applyAlignment="1">
      <alignment horizontal="left" vertical="center" wrapText="1"/>
    </xf>
    <xf numFmtId="0" fontId="8" fillId="3" borderId="36" xfId="177" applyFont="1" applyFill="1" applyBorder="1" applyAlignment="1">
      <alignment horizontal="center" vertical="center" wrapText="1"/>
    </xf>
    <xf numFmtId="0" fontId="46" fillId="3" borderId="32" xfId="177" applyFont="1" applyFill="1" applyBorder="1" applyAlignment="1">
      <alignment horizontal="left" vertical="center" wrapText="1"/>
    </xf>
    <xf numFmtId="0" fontId="8" fillId="3" borderId="32" xfId="177" applyFont="1" applyFill="1" applyBorder="1" applyAlignment="1">
      <alignment horizontal="center" vertical="center" wrapText="1"/>
    </xf>
    <xf numFmtId="0" fontId="46" fillId="3" borderId="32" xfId="177" applyFont="1" applyFill="1" applyBorder="1" applyAlignment="1">
      <alignment horizontal="center" vertical="center" wrapText="1"/>
    </xf>
    <xf numFmtId="0" fontId="8" fillId="3" borderId="32" xfId="177" applyFont="1" applyFill="1" applyBorder="1" applyAlignment="1">
      <alignment horizontal="left" vertical="center" wrapText="1"/>
    </xf>
    <xf numFmtId="49" fontId="46" fillId="3" borderId="32" xfId="177" applyNumberFormat="1" applyFont="1" applyFill="1" applyBorder="1" applyAlignment="1">
      <alignment horizontal="left" vertical="center" wrapText="1"/>
    </xf>
    <xf numFmtId="0" fontId="8" fillId="3" borderId="37" xfId="177" applyFont="1" applyFill="1" applyBorder="1" applyAlignment="1">
      <alignment horizontal="left" vertical="top" wrapText="1"/>
    </xf>
    <xf numFmtId="0" fontId="8" fillId="3" borderId="38" xfId="177" applyFont="1" applyFill="1" applyBorder="1" applyAlignment="1">
      <alignment horizontal="left" vertical="top" wrapText="1"/>
    </xf>
    <xf numFmtId="4" fontId="46" fillId="4" borderId="32" xfId="177" applyNumberFormat="1" applyFont="1" applyFill="1" applyBorder="1" applyAlignment="1">
      <alignment horizontal="right" vertical="center" wrapText="1"/>
    </xf>
    <xf numFmtId="178" fontId="46" fillId="3" borderId="32" xfId="177" applyNumberFormat="1" applyFont="1" applyFill="1" applyBorder="1" applyAlignment="1">
      <alignment horizontal="right" vertical="center" wrapText="1"/>
    </xf>
    <xf numFmtId="3" fontId="47" fillId="3" borderId="0" xfId="177" applyNumberFormat="1" applyFont="1" applyFill="1" applyAlignment="1">
      <alignment horizontal="left" wrapText="1"/>
    </xf>
    <xf numFmtId="0" fontId="46" fillId="3" borderId="39" xfId="177" applyFont="1" applyFill="1" applyBorder="1" applyAlignment="1">
      <alignment horizontal="left" vertical="center" wrapText="1"/>
    </xf>
    <xf numFmtId="0" fontId="46" fillId="3" borderId="3" xfId="177" applyFont="1" applyFill="1" applyBorder="1" applyAlignment="1">
      <alignment horizontal="left" vertical="center" wrapText="1"/>
    </xf>
    <xf numFmtId="0" fontId="8" fillId="3" borderId="10" xfId="177" applyFont="1" applyFill="1" applyBorder="1" applyAlignment="1">
      <alignment horizontal="left" vertical="center" wrapText="1"/>
    </xf>
    <xf numFmtId="0" fontId="8" fillId="3" borderId="17" xfId="177" applyFont="1" applyFill="1" applyBorder="1" applyAlignment="1">
      <alignment horizontal="left" vertical="center" wrapText="1"/>
    </xf>
    <xf numFmtId="0" fontId="46" fillId="3" borderId="1" xfId="177" applyFont="1" applyFill="1" applyBorder="1" applyAlignment="1">
      <alignment horizontal="left" vertical="center" wrapText="1"/>
    </xf>
    <xf numFmtId="0" fontId="46" fillId="3" borderId="2" xfId="177" applyFont="1" applyFill="1" applyBorder="1" applyAlignment="1">
      <alignment horizontal="right" vertical="top" wrapText="1"/>
    </xf>
    <xf numFmtId="4" fontId="46" fillId="3" borderId="32" xfId="177" applyNumberFormat="1" applyFont="1" applyFill="1" applyBorder="1" applyAlignment="1">
      <alignment horizontal="right" vertical="center" wrapText="1"/>
    </xf>
    <xf numFmtId="0" fontId="8" fillId="3" borderId="39" xfId="177" applyFont="1" applyFill="1" applyBorder="1" applyAlignment="1">
      <alignment horizontal="left" vertical="center" wrapText="1"/>
    </xf>
    <xf numFmtId="169" fontId="46" fillId="3" borderId="32" xfId="177" applyNumberFormat="1" applyFont="1" applyFill="1" applyBorder="1" applyAlignment="1">
      <alignment horizontal="right" vertical="center" wrapText="1"/>
    </xf>
    <xf numFmtId="0" fontId="8" fillId="3" borderId="3" xfId="177" applyFont="1" applyFill="1" applyBorder="1" applyAlignment="1">
      <alignment horizontal="left" vertical="center" wrapText="1"/>
    </xf>
    <xf numFmtId="169" fontId="47" fillId="3" borderId="0" xfId="177" applyNumberFormat="1" applyFont="1" applyFill="1" applyAlignment="1">
      <alignment horizontal="left" wrapText="1"/>
    </xf>
    <xf numFmtId="0" fontId="8" fillId="3" borderId="1" xfId="177" applyFont="1" applyFill="1" applyBorder="1" applyAlignment="1">
      <alignment horizontal="left" vertical="center" wrapText="1"/>
    </xf>
    <xf numFmtId="0" fontId="9" fillId="2" borderId="32" xfId="0" applyFont="1" applyFill="1" applyBorder="1" applyAlignment="1">
      <alignment wrapText="1"/>
    </xf>
    <xf numFmtId="0" fontId="9" fillId="2" borderId="37" xfId="0" applyFont="1" applyFill="1" applyBorder="1" applyAlignment="1">
      <alignment wrapText="1"/>
    </xf>
    <xf numFmtId="49" fontId="46" fillId="3" borderId="2" xfId="177" applyNumberFormat="1" applyFont="1" applyFill="1" applyBorder="1" applyAlignment="1">
      <alignment vertical="center" wrapText="1"/>
    </xf>
    <xf numFmtId="169" fontId="46" fillId="2" borderId="32" xfId="177" applyNumberFormat="1" applyFont="1" applyFill="1" applyBorder="1" applyAlignment="1">
      <alignment horizontal="right" vertical="center" wrapText="1"/>
    </xf>
    <xf numFmtId="0" fontId="42" fillId="3" borderId="0" xfId="177" applyFont="1" applyFill="1" applyAlignment="1">
      <alignment horizontal="left" vertical="center" wrapText="1"/>
    </xf>
    <xf numFmtId="0" fontId="46" fillId="3" borderId="0" xfId="177" applyFont="1" applyFill="1" applyAlignment="1">
      <alignment horizontal="left" wrapText="1"/>
    </xf>
    <xf numFmtId="0" fontId="42" fillId="3" borderId="0" xfId="177" applyFont="1" applyFill="1" applyAlignment="1">
      <alignment horizontal="left" wrapText="1"/>
    </xf>
    <xf numFmtId="0" fontId="44" fillId="3" borderId="0" xfId="177" applyFont="1" applyFill="1" applyAlignment="1">
      <alignment horizontal="center" vertical="center" wrapText="1"/>
    </xf>
    <xf numFmtId="0" fontId="8" fillId="3" borderId="0" xfId="177" applyFont="1" applyFill="1" applyAlignment="1">
      <alignment horizontal="left" wrapText="1"/>
    </xf>
    <xf numFmtId="0" fontId="46" fillId="3" borderId="0" xfId="177" applyFont="1" applyFill="1" applyAlignment="1">
      <alignment horizontal="center" vertical="center" wrapText="1"/>
    </xf>
    <xf numFmtId="0" fontId="44" fillId="3" borderId="0" xfId="177" applyFont="1" applyFill="1" applyAlignment="1">
      <alignment horizontal="center" wrapText="1"/>
    </xf>
    <xf numFmtId="0" fontId="44" fillId="3" borderId="0" xfId="177" applyFont="1" applyFill="1" applyAlignment="1">
      <alignment horizontal="left" vertical="center" wrapText="1"/>
    </xf>
    <xf numFmtId="0" fontId="46" fillId="3" borderId="0" xfId="177" applyFont="1" applyFill="1" applyAlignment="1">
      <alignment horizontal="left" vertical="top" wrapText="1"/>
    </xf>
    <xf numFmtId="0" fontId="46" fillId="3" borderId="2" xfId="177" applyFont="1" applyFill="1" applyBorder="1" applyAlignment="1">
      <alignment horizontal="left" vertical="top" wrapText="1"/>
    </xf>
    <xf numFmtId="0" fontId="46" fillId="3" borderId="0" xfId="177" applyFont="1" applyFill="1" applyAlignment="1">
      <alignment horizontal="right" vertical="top" wrapText="1"/>
    </xf>
    <xf numFmtId="0" fontId="8" fillId="3" borderId="37" xfId="177" applyFont="1" applyFill="1" applyBorder="1" applyAlignment="1">
      <alignment horizontal="center" vertical="center" wrapText="1"/>
    </xf>
    <xf numFmtId="0" fontId="8" fillId="3" borderId="0" xfId="177" applyFont="1" applyFill="1" applyAlignment="1">
      <alignment horizontal="center" vertical="center" wrapText="1"/>
    </xf>
    <xf numFmtId="0" fontId="8" fillId="3" borderId="33" xfId="177" applyFont="1" applyFill="1" applyBorder="1" applyAlignment="1">
      <alignment horizontal="center" vertical="center" wrapText="1"/>
    </xf>
    <xf numFmtId="0" fontId="8" fillId="3" borderId="1" xfId="177" applyFont="1" applyFill="1" applyBorder="1" applyAlignment="1">
      <alignment horizontal="center" vertical="center" wrapText="1"/>
    </xf>
    <xf numFmtId="4" fontId="8" fillId="3" borderId="32" xfId="177" applyNumberFormat="1" applyFont="1" applyFill="1" applyBorder="1" applyAlignment="1">
      <alignment horizontal="right" vertical="center" wrapText="1"/>
    </xf>
    <xf numFmtId="4" fontId="46" fillId="3" borderId="0" xfId="177" applyNumberFormat="1" applyFont="1" applyFill="1" applyAlignment="1">
      <alignment horizontal="right" vertical="center" wrapText="1"/>
    </xf>
    <xf numFmtId="4" fontId="8" fillId="2" borderId="32" xfId="177" applyNumberFormat="1" applyFont="1" applyFill="1" applyBorder="1" applyAlignment="1">
      <alignment horizontal="right" vertical="center" wrapText="1"/>
    </xf>
    <xf numFmtId="4" fontId="46" fillId="2" borderId="32" xfId="177" applyNumberFormat="1" applyFont="1" applyFill="1" applyBorder="1" applyAlignment="1">
      <alignment horizontal="right" vertical="center" wrapText="1"/>
    </xf>
    <xf numFmtId="4" fontId="8" fillId="4" borderId="32" xfId="177" applyNumberFormat="1" applyFont="1" applyFill="1" applyBorder="1" applyAlignment="1">
      <alignment horizontal="right" vertical="center" wrapText="1"/>
    </xf>
    <xf numFmtId="169" fontId="8" fillId="2" borderId="32" xfId="177" applyNumberFormat="1" applyFont="1" applyFill="1" applyBorder="1" applyAlignment="1">
      <alignment horizontal="right" vertical="center" wrapText="1"/>
    </xf>
    <xf numFmtId="0" fontId="46" fillId="3" borderId="39" xfId="177" applyFont="1" applyFill="1" applyBorder="1" applyAlignment="1">
      <alignment horizontal="left" vertical="top" wrapText="1"/>
    </xf>
    <xf numFmtId="4" fontId="46" fillId="3" borderId="38" xfId="177" applyNumberFormat="1" applyFont="1" applyFill="1" applyBorder="1" applyAlignment="1">
      <alignment horizontal="right" vertical="center" wrapText="1"/>
    </xf>
    <xf numFmtId="0" fontId="8" fillId="3" borderId="1" xfId="177" applyFont="1" applyFill="1" applyBorder="1" applyAlignment="1">
      <alignment horizontal="left" vertical="top" wrapText="1"/>
    </xf>
    <xf numFmtId="0" fontId="46" fillId="3" borderId="1" xfId="177" applyFont="1" applyFill="1" applyBorder="1" applyAlignment="1">
      <alignment horizontal="left" vertical="top" wrapText="1"/>
    </xf>
    <xf numFmtId="0" fontId="46" fillId="3" borderId="3" xfId="177" applyFont="1" applyFill="1" applyBorder="1" applyAlignment="1">
      <alignment horizontal="left" vertical="top" wrapText="1"/>
    </xf>
    <xf numFmtId="0" fontId="46" fillId="3" borderId="37" xfId="177" applyFont="1" applyFill="1" applyBorder="1" applyAlignment="1">
      <alignment horizontal="left" vertical="center" wrapText="1"/>
    </xf>
    <xf numFmtId="4" fontId="46" fillId="3" borderId="37" xfId="177" applyNumberFormat="1" applyFont="1" applyFill="1" applyBorder="1" applyAlignment="1">
      <alignment horizontal="right" vertical="center" wrapText="1"/>
    </xf>
    <xf numFmtId="4" fontId="8" fillId="3" borderId="37" xfId="177" applyNumberFormat="1" applyFont="1" applyFill="1" applyBorder="1" applyAlignment="1">
      <alignment horizontal="right" vertical="center" wrapText="1"/>
    </xf>
    <xf numFmtId="4" fontId="8" fillId="4" borderId="37" xfId="177" applyNumberFormat="1" applyFont="1" applyFill="1" applyBorder="1" applyAlignment="1">
      <alignment horizontal="right" vertical="center" wrapText="1"/>
    </xf>
    <xf numFmtId="169" fontId="46" fillId="2" borderId="38" xfId="177" applyNumberFormat="1" applyFont="1" applyFill="1" applyBorder="1" applyAlignment="1">
      <alignment horizontal="right" vertical="center" wrapText="1"/>
    </xf>
    <xf numFmtId="0" fontId="47" fillId="3" borderId="32" xfId="177" applyFont="1" applyFill="1" applyBorder="1" applyAlignment="1">
      <alignment horizontal="left" wrapText="1"/>
    </xf>
    <xf numFmtId="0" fontId="46" fillId="3" borderId="1" xfId="177" applyFont="1" applyFill="1" applyBorder="1" applyAlignment="1">
      <alignment horizontal="center" vertical="center" wrapText="1"/>
    </xf>
    <xf numFmtId="4" fontId="46" fillId="3" borderId="1" xfId="177" applyNumberFormat="1" applyFont="1" applyFill="1" applyBorder="1" applyAlignment="1">
      <alignment horizontal="right" vertical="center" wrapText="1"/>
    </xf>
    <xf numFmtId="169" fontId="46" fillId="2" borderId="1" xfId="177" applyNumberFormat="1" applyFont="1" applyFill="1" applyBorder="1" applyAlignment="1">
      <alignment horizontal="right" vertical="center" wrapText="1"/>
    </xf>
    <xf numFmtId="4" fontId="8" fillId="3" borderId="39" xfId="177" applyNumberFormat="1" applyFont="1" applyFill="1" applyBorder="1" applyAlignment="1">
      <alignment horizontal="right" vertical="center" wrapText="1"/>
    </xf>
    <xf numFmtId="169" fontId="8" fillId="2" borderId="39" xfId="177" applyNumberFormat="1" applyFont="1" applyFill="1" applyBorder="1" applyAlignment="1">
      <alignment horizontal="right" vertical="center" wrapText="1"/>
    </xf>
    <xf numFmtId="4" fontId="46" fillId="4" borderId="10" xfId="177" applyNumberFormat="1" applyFont="1" applyFill="1" applyBorder="1" applyAlignment="1">
      <alignment horizontal="right" vertical="center" wrapText="1"/>
    </xf>
    <xf numFmtId="4" fontId="46" fillId="4" borderId="37" xfId="177" applyNumberFormat="1" applyFont="1" applyFill="1" applyBorder="1" applyAlignment="1">
      <alignment horizontal="right" vertical="center" wrapText="1"/>
    </xf>
    <xf numFmtId="0" fontId="46" fillId="3" borderId="39" xfId="177" applyFont="1" applyFill="1" applyBorder="1" applyAlignment="1">
      <alignment horizontal="center" vertical="center" wrapText="1"/>
    </xf>
    <xf numFmtId="4" fontId="46" fillId="3" borderId="39" xfId="177" applyNumberFormat="1" applyFont="1" applyFill="1" applyBorder="1" applyAlignment="1">
      <alignment horizontal="right" vertical="center" wrapText="1"/>
    </xf>
    <xf numFmtId="4" fontId="46" fillId="3" borderId="33" xfId="177" applyNumberFormat="1" applyFont="1" applyFill="1" applyBorder="1" applyAlignment="1">
      <alignment horizontal="right" vertical="center" wrapText="1"/>
    </xf>
    <xf numFmtId="0" fontId="47" fillId="3" borderId="37" xfId="177" applyFont="1" applyFill="1" applyBorder="1" applyAlignment="1">
      <alignment horizontal="left" wrapText="1"/>
    </xf>
    <xf numFmtId="4" fontId="47" fillId="3" borderId="0" xfId="177" applyNumberFormat="1" applyFont="1" applyFill="1" applyAlignment="1">
      <alignment horizontal="center" wrapText="1"/>
    </xf>
    <xf numFmtId="2" fontId="47" fillId="3" borderId="0" xfId="177" applyNumberFormat="1" applyFont="1" applyFill="1" applyAlignment="1">
      <alignment horizontal="left" wrapText="1"/>
    </xf>
    <xf numFmtId="4" fontId="46" fillId="2" borderId="24" xfId="0" applyNumberFormat="1" applyFont="1" applyFill="1" applyBorder="1" applyAlignment="1">
      <alignment horizontal="center" vertical="center" wrapText="1"/>
    </xf>
    <xf numFmtId="178" fontId="47" fillId="3" borderId="0" xfId="177" applyNumberFormat="1" applyFont="1" applyFill="1" applyAlignment="1">
      <alignment horizontal="left" wrapText="1"/>
    </xf>
    <xf numFmtId="0" fontId="9" fillId="0" borderId="0" xfId="0" applyFont="1"/>
    <xf numFmtId="170" fontId="3" fillId="0" borderId="45" xfId="0" applyNumberFormat="1" applyFont="1" applyBorder="1"/>
    <xf numFmtId="171" fontId="3" fillId="0" borderId="45" xfId="0" applyNumberFormat="1" applyFont="1" applyBorder="1"/>
    <xf numFmtId="0" fontId="2" fillId="0" borderId="45" xfId="0" applyFont="1" applyBorder="1" applyAlignment="1">
      <alignment horizontal="center"/>
    </xf>
    <xf numFmtId="171" fontId="2" fillId="0" borderId="41" xfId="0" applyNumberFormat="1" applyFont="1" applyBorder="1"/>
    <xf numFmtId="170" fontId="2" fillId="0" borderId="41" xfId="0" applyNumberFormat="1" applyFont="1" applyBorder="1"/>
    <xf numFmtId="170" fontId="2" fillId="28" borderId="41" xfId="0" applyNumberFormat="1" applyFont="1" applyFill="1" applyBorder="1"/>
    <xf numFmtId="170" fontId="2" fillId="0" borderId="45" xfId="0" applyNumberFormat="1" applyFont="1" applyBorder="1"/>
    <xf numFmtId="170" fontId="45" fillId="0" borderId="45" xfId="0" applyNumberFormat="1" applyFont="1" applyBorder="1"/>
    <xf numFmtId="179" fontId="2" fillId="0" borderId="41" xfId="0" applyNumberFormat="1" applyFont="1" applyBorder="1"/>
    <xf numFmtId="0" fontId="2" fillId="0" borderId="42" xfId="0" applyFont="1" applyBorder="1" applyAlignment="1">
      <alignment horizontal="right"/>
    </xf>
    <xf numFmtId="0" fontId="2" fillId="0" borderId="43" xfId="0" applyFont="1" applyBorder="1" applyAlignment="1">
      <alignment horizontal="right"/>
    </xf>
    <xf numFmtId="170" fontId="3" fillId="0" borderId="35" xfId="0" applyNumberFormat="1" applyFont="1" applyBorder="1"/>
    <xf numFmtId="0" fontId="2" fillId="0" borderId="44" xfId="0" applyFont="1" applyBorder="1" applyAlignment="1">
      <alignment horizontal="right"/>
    </xf>
    <xf numFmtId="170" fontId="2" fillId="0" borderId="45" xfId="0" applyNumberFormat="1" applyFont="1" applyBorder="1" applyAlignment="1">
      <alignment horizontal="center"/>
    </xf>
    <xf numFmtId="170" fontId="3" fillId="0" borderId="45" xfId="0" applyNumberFormat="1" applyFont="1" applyBorder="1" applyAlignment="1">
      <alignment horizontal="center"/>
    </xf>
    <xf numFmtId="171" fontId="45" fillId="0" borderId="45" xfId="0" applyNumberFormat="1" applyFont="1" applyBorder="1"/>
    <xf numFmtId="0" fontId="43" fillId="0" borderId="45" xfId="0" applyFont="1" applyBorder="1" applyAlignment="1">
      <alignment horizontal="center" vertical="center" wrapText="1"/>
    </xf>
    <xf numFmtId="180" fontId="2" fillId="0" borderId="45" xfId="0" applyNumberFormat="1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2" fillId="0" borderId="45" xfId="0" applyFont="1" applyBorder="1" applyAlignment="1">
      <alignment wrapText="1"/>
    </xf>
    <xf numFmtId="0" fontId="3" fillId="0" borderId="45" xfId="0" applyFont="1" applyBorder="1"/>
    <xf numFmtId="4" fontId="2" fillId="0" borderId="45" xfId="0" applyNumberFormat="1" applyFont="1" applyBorder="1" applyAlignment="1">
      <alignment horizontal="center"/>
    </xf>
    <xf numFmtId="2" fontId="3" fillId="29" borderId="45" xfId="0" applyNumberFormat="1" applyFont="1" applyFill="1" applyBorder="1" applyAlignment="1">
      <alignment horizontal="center"/>
    </xf>
    <xf numFmtId="174" fontId="47" fillId="3" borderId="0" xfId="0" applyNumberFormat="1" applyFont="1" applyFill="1" applyAlignment="1">
      <alignment horizontal="left" wrapText="1"/>
    </xf>
    <xf numFmtId="167" fontId="47" fillId="3" borderId="0" xfId="0" applyNumberFormat="1" applyFont="1" applyFill="1" applyAlignment="1">
      <alignment horizontal="left" wrapText="1"/>
    </xf>
    <xf numFmtId="172" fontId="47" fillId="3" borderId="0" xfId="177" applyNumberFormat="1" applyFont="1" applyFill="1" applyAlignment="1">
      <alignment horizontal="left" wrapText="1"/>
    </xf>
    <xf numFmtId="0" fontId="0" fillId="0" borderId="45" xfId="0" applyBorder="1"/>
    <xf numFmtId="0" fontId="2" fillId="29" borderId="1" xfId="0" applyFont="1" applyFill="1" applyBorder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2" borderId="0" xfId="0" applyFill="1"/>
    <xf numFmtId="181" fontId="2" fillId="0" borderId="45" xfId="0" applyNumberFormat="1" applyFont="1" applyBorder="1" applyAlignment="1">
      <alignment horizontal="center"/>
    </xf>
    <xf numFmtId="2" fontId="41" fillId="0" borderId="45" xfId="0" applyNumberFormat="1" applyFont="1" applyBorder="1" applyAlignment="1">
      <alignment horizontal="center"/>
    </xf>
    <xf numFmtId="0" fontId="2" fillId="29" borderId="45" xfId="0" applyFont="1" applyFill="1" applyBorder="1" applyAlignment="1">
      <alignment horizontal="center" wrapText="1"/>
    </xf>
    <xf numFmtId="168" fontId="41" fillId="0" borderId="45" xfId="0" applyNumberFormat="1" applyFont="1" applyBorder="1" applyAlignment="1">
      <alignment horizontal="center"/>
    </xf>
    <xf numFmtId="3" fontId="2" fillId="0" borderId="0" xfId="0" applyNumberFormat="1" applyFont="1"/>
    <xf numFmtId="0" fontId="70" fillId="0" borderId="0" xfId="0" applyFont="1"/>
    <xf numFmtId="3" fontId="3" fillId="61" borderId="56" xfId="0" applyNumberFormat="1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/>
    </xf>
    <xf numFmtId="0" fontId="2" fillId="0" borderId="56" xfId="0" applyFont="1" applyBorder="1" applyAlignment="1">
      <alignment vertical="center" wrapText="1"/>
    </xf>
    <xf numFmtId="3" fontId="2" fillId="0" borderId="56" xfId="0" applyNumberFormat="1" applyFont="1" applyBorder="1" applyAlignment="1">
      <alignment horizontal="center" vertical="center"/>
    </xf>
    <xf numFmtId="0" fontId="3" fillId="61" borderId="56" xfId="0" applyFont="1" applyFill="1" applyBorder="1" applyAlignment="1">
      <alignment horizontal="center" vertical="center"/>
    </xf>
    <xf numFmtId="0" fontId="3" fillId="61" borderId="56" xfId="0" applyFont="1" applyFill="1" applyBorder="1" applyAlignment="1">
      <alignment vertical="center" wrapText="1"/>
    </xf>
    <xf numFmtId="3" fontId="3" fillId="61" borderId="56" xfId="0" applyNumberFormat="1" applyFont="1" applyFill="1" applyBorder="1" applyAlignment="1">
      <alignment horizontal="center" vertical="center"/>
    </xf>
    <xf numFmtId="3" fontId="3" fillId="62" borderId="56" xfId="0" applyNumberFormat="1" applyFont="1" applyFill="1" applyBorder="1" applyAlignment="1">
      <alignment horizontal="center"/>
    </xf>
    <xf numFmtId="3" fontId="71" fillId="0" borderId="0" xfId="0" applyNumberFormat="1" applyFont="1" applyAlignment="1">
      <alignment horizontal="center"/>
    </xf>
    <xf numFmtId="0" fontId="4" fillId="0" borderId="56" xfId="0" applyFont="1" applyBorder="1" applyAlignment="1">
      <alignment vertical="center" wrapText="1"/>
    </xf>
    <xf numFmtId="3" fontId="4" fillId="0" borderId="56" xfId="0" applyNumberFormat="1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 wrapText="1"/>
    </xf>
    <xf numFmtId="0" fontId="5" fillId="61" borderId="56" xfId="0" applyFont="1" applyFill="1" applyBorder="1" applyAlignment="1">
      <alignment horizontal="center" vertical="center" wrapText="1"/>
    </xf>
    <xf numFmtId="0" fontId="5" fillId="61" borderId="56" xfId="0" applyFont="1" applyFill="1" applyBorder="1" applyAlignment="1">
      <alignment horizontal="left" vertical="center" wrapText="1"/>
    </xf>
    <xf numFmtId="3" fontId="5" fillId="61" borderId="56" xfId="0" applyNumberFormat="1" applyFont="1" applyFill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vertical="center"/>
    </xf>
    <xf numFmtId="0" fontId="40" fillId="0" borderId="0" xfId="0" applyFont="1"/>
    <xf numFmtId="0" fontId="5" fillId="63" borderId="56" xfId="0" applyFont="1" applyFill="1" applyBorder="1" applyAlignment="1">
      <alignment horizontal="left" vertical="center" wrapText="1"/>
    </xf>
    <xf numFmtId="3" fontId="5" fillId="63" borderId="5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63" borderId="56" xfId="0" applyFont="1" applyFill="1" applyBorder="1" applyAlignment="1">
      <alignment horizontal="center" vertical="center" wrapText="1"/>
    </xf>
    <xf numFmtId="0" fontId="3" fillId="61" borderId="56" xfId="0" applyFont="1" applyFill="1" applyBorder="1" applyAlignment="1">
      <alignment horizontal="center" vertical="center" wrapText="1"/>
    </xf>
    <xf numFmtId="0" fontId="3" fillId="62" borderId="5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5" borderId="56" xfId="0" applyFont="1" applyFill="1" applyBorder="1" applyAlignment="1">
      <alignment horizontal="center" vertical="center"/>
    </xf>
    <xf numFmtId="0" fontId="2" fillId="65" borderId="58" xfId="0" applyFont="1" applyFill="1" applyBorder="1" applyAlignment="1">
      <alignment horizontal="center" vertical="center" wrapText="1"/>
    </xf>
    <xf numFmtId="0" fontId="4" fillId="29" borderId="56" xfId="0" applyFont="1" applyFill="1" applyBorder="1" applyAlignment="1">
      <alignment horizontal="center" vertical="center"/>
    </xf>
    <xf numFmtId="0" fontId="4" fillId="64" borderId="56" xfId="0" applyFont="1" applyFill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3" fillId="62" borderId="61" xfId="0" applyFont="1" applyFill="1" applyBorder="1" applyAlignment="1">
      <alignment horizontal="center" vertical="center"/>
    </xf>
    <xf numFmtId="0" fontId="3" fillId="62" borderId="61" xfId="0" applyFont="1" applyFill="1" applyBorder="1" applyAlignment="1">
      <alignment vertical="center" wrapText="1"/>
    </xf>
    <xf numFmtId="3" fontId="4" fillId="0" borderId="59" xfId="0" applyNumberFormat="1" applyFont="1" applyBorder="1" applyAlignment="1">
      <alignment horizontal="center" vertical="center"/>
    </xf>
    <xf numFmtId="0" fontId="5" fillId="61" borderId="60" xfId="0" applyFont="1" applyFill="1" applyBorder="1" applyAlignment="1">
      <alignment horizontal="center" vertical="center" wrapText="1"/>
    </xf>
    <xf numFmtId="0" fontId="5" fillId="61" borderId="60" xfId="0" applyFont="1" applyFill="1" applyBorder="1" applyAlignment="1">
      <alignment horizontal="left" vertical="center" wrapText="1"/>
    </xf>
    <xf numFmtId="0" fontId="5" fillId="61" borderId="61" xfId="0" applyFont="1" applyFill="1" applyBorder="1" applyAlignment="1">
      <alignment horizontal="center" vertical="center"/>
    </xf>
    <xf numFmtId="0" fontId="5" fillId="61" borderId="61" xfId="0" applyFont="1" applyFill="1" applyBorder="1" applyAlignment="1">
      <alignment horizontal="left" vertical="center" wrapText="1"/>
    </xf>
    <xf numFmtId="0" fontId="5" fillId="61" borderId="61" xfId="0" applyFont="1" applyFill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/>
    </xf>
    <xf numFmtId="0" fontId="75" fillId="0" borderId="57" xfId="0" applyFont="1" applyBorder="1" applyAlignment="1">
      <alignment horizontal="left" vertical="top" wrapText="1" readingOrder="1"/>
    </xf>
    <xf numFmtId="0" fontId="2" fillId="66" borderId="5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56" xfId="0" applyFont="1" applyFill="1" applyBorder="1" applyAlignment="1">
      <alignment vertical="center" wrapText="1"/>
    </xf>
    <xf numFmtId="0" fontId="4" fillId="0" borderId="57" xfId="0" applyFont="1" applyFill="1" applyBorder="1" applyAlignment="1">
      <alignment vertical="center" wrapText="1"/>
    </xf>
    <xf numFmtId="0" fontId="0" fillId="67" borderId="0" xfId="0" applyFill="1"/>
    <xf numFmtId="0" fontId="4" fillId="0" borderId="56" xfId="0" applyFont="1" applyFill="1" applyBorder="1" applyAlignment="1">
      <alignment horizontal="center" vertical="center"/>
    </xf>
    <xf numFmtId="0" fontId="0" fillId="0" borderId="0" xfId="0" applyFill="1"/>
    <xf numFmtId="0" fontId="4" fillId="0" borderId="0" xfId="0" applyFont="1" applyFill="1" applyBorder="1" applyAlignment="1">
      <alignment vertical="center" wrapText="1"/>
    </xf>
    <xf numFmtId="0" fontId="79" fillId="0" borderId="0" xfId="0" applyFont="1" applyAlignment="1">
      <alignment wrapText="1"/>
    </xf>
    <xf numFmtId="0" fontId="78" fillId="0" borderId="0" xfId="0" applyFont="1" applyAlignment="1">
      <alignment wrapText="1"/>
    </xf>
    <xf numFmtId="0" fontId="5" fillId="0" borderId="64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3" fontId="5" fillId="61" borderId="67" xfId="0" applyNumberFormat="1" applyFont="1" applyFill="1" applyBorder="1" applyAlignment="1">
      <alignment horizontal="center" vertical="center" wrapText="1"/>
    </xf>
    <xf numFmtId="3" fontId="5" fillId="61" borderId="68" xfId="0" applyNumberFormat="1" applyFont="1" applyFill="1" applyBorder="1" applyAlignment="1">
      <alignment horizontal="center" vertical="center" wrapText="1"/>
    </xf>
    <xf numFmtId="3" fontId="4" fillId="0" borderId="67" xfId="0" applyNumberFormat="1" applyFont="1" applyBorder="1" applyAlignment="1">
      <alignment horizontal="center" vertical="center"/>
    </xf>
    <xf numFmtId="3" fontId="4" fillId="0" borderId="68" xfId="0" applyNumberFormat="1" applyFont="1" applyBorder="1" applyAlignment="1">
      <alignment horizontal="center" vertical="center"/>
    </xf>
    <xf numFmtId="3" fontId="5" fillId="63" borderId="67" xfId="0" applyNumberFormat="1" applyFont="1" applyFill="1" applyBorder="1" applyAlignment="1">
      <alignment horizontal="center" vertical="center" wrapText="1"/>
    </xf>
    <xf numFmtId="3" fontId="5" fillId="63" borderId="68" xfId="0" applyNumberFormat="1" applyFont="1" applyFill="1" applyBorder="1" applyAlignment="1">
      <alignment horizontal="center" vertical="center" wrapText="1"/>
    </xf>
    <xf numFmtId="3" fontId="3" fillId="61" borderId="67" xfId="0" applyNumberFormat="1" applyFont="1" applyFill="1" applyBorder="1" applyAlignment="1">
      <alignment horizontal="center" vertical="center"/>
    </xf>
    <xf numFmtId="3" fontId="3" fillId="61" borderId="68" xfId="0" applyNumberFormat="1" applyFont="1" applyFill="1" applyBorder="1" applyAlignment="1">
      <alignment horizontal="center" vertical="center"/>
    </xf>
    <xf numFmtId="3" fontId="2" fillId="0" borderId="67" xfId="0" applyNumberFormat="1" applyFont="1" applyBorder="1" applyAlignment="1">
      <alignment horizontal="center" vertical="center"/>
    </xf>
    <xf numFmtId="3" fontId="2" fillId="0" borderId="68" xfId="0" applyNumberFormat="1" applyFont="1" applyBorder="1" applyAlignment="1">
      <alignment horizontal="center" vertical="center"/>
    </xf>
    <xf numFmtId="3" fontId="3" fillId="61" borderId="67" xfId="0" applyNumberFormat="1" applyFont="1" applyFill="1" applyBorder="1" applyAlignment="1">
      <alignment horizontal="center" vertical="center" wrapText="1"/>
    </xf>
    <xf numFmtId="3" fontId="3" fillId="61" borderId="68" xfId="0" applyNumberFormat="1" applyFont="1" applyFill="1" applyBorder="1" applyAlignment="1">
      <alignment horizontal="center" vertical="center" wrapText="1"/>
    </xf>
    <xf numFmtId="3" fontId="3" fillId="62" borderId="69" xfId="0" applyNumberFormat="1" applyFont="1" applyFill="1" applyBorder="1" applyAlignment="1">
      <alignment horizontal="center"/>
    </xf>
    <xf numFmtId="3" fontId="3" fillId="62" borderId="70" xfId="0" applyNumberFormat="1" applyFont="1" applyFill="1" applyBorder="1" applyAlignment="1">
      <alignment horizontal="center"/>
    </xf>
    <xf numFmtId="3" fontId="3" fillId="62" borderId="71" xfId="0" applyNumberFormat="1" applyFont="1" applyFill="1" applyBorder="1" applyAlignment="1">
      <alignment horizontal="center"/>
    </xf>
    <xf numFmtId="0" fontId="80" fillId="0" borderId="56" xfId="0" applyFont="1" applyBorder="1" applyAlignment="1">
      <alignment horizontal="center" vertical="center" wrapText="1"/>
    </xf>
    <xf numFmtId="0" fontId="80" fillId="0" borderId="62" xfId="0" applyFont="1" applyBorder="1" applyAlignment="1">
      <alignment horizontal="center" vertical="center" wrapText="1"/>
    </xf>
    <xf numFmtId="3" fontId="80" fillId="61" borderId="56" xfId="0" applyNumberFormat="1" applyFont="1" applyFill="1" applyBorder="1" applyAlignment="1">
      <alignment horizontal="center" vertical="center" wrapText="1"/>
    </xf>
    <xf numFmtId="3" fontId="80" fillId="61" borderId="63" xfId="0" applyNumberFormat="1" applyFont="1" applyFill="1" applyBorder="1" applyAlignment="1">
      <alignment horizontal="center" vertical="center" wrapText="1"/>
    </xf>
    <xf numFmtId="3" fontId="81" fillId="0" borderId="56" xfId="0" applyNumberFormat="1" applyFont="1" applyBorder="1" applyAlignment="1">
      <alignment horizontal="center" vertical="center"/>
    </xf>
    <xf numFmtId="3" fontId="81" fillId="0" borderId="63" xfId="0" applyNumberFormat="1" applyFont="1" applyBorder="1" applyAlignment="1">
      <alignment horizontal="center" vertical="center"/>
    </xf>
    <xf numFmtId="3" fontId="81" fillId="0" borderId="56" xfId="0" applyNumberFormat="1" applyFont="1" applyFill="1" applyBorder="1" applyAlignment="1">
      <alignment horizontal="center" vertical="center"/>
    </xf>
    <xf numFmtId="3" fontId="80" fillId="63" borderId="56" xfId="0" applyNumberFormat="1" applyFont="1" applyFill="1" applyBorder="1" applyAlignment="1">
      <alignment horizontal="center" vertical="center" wrapText="1"/>
    </xf>
    <xf numFmtId="3" fontId="80" fillId="63" borderId="63" xfId="0" applyNumberFormat="1" applyFont="1" applyFill="1" applyBorder="1" applyAlignment="1">
      <alignment horizontal="center" vertical="center" wrapText="1"/>
    </xf>
    <xf numFmtId="3" fontId="80" fillId="61" borderId="56" xfId="0" applyNumberFormat="1" applyFont="1" applyFill="1" applyBorder="1" applyAlignment="1">
      <alignment horizontal="center" vertical="center"/>
    </xf>
    <xf numFmtId="3" fontId="80" fillId="61" borderId="63" xfId="0" applyNumberFormat="1" applyFont="1" applyFill="1" applyBorder="1" applyAlignment="1">
      <alignment horizontal="center" vertical="center"/>
    </xf>
    <xf numFmtId="3" fontId="80" fillId="62" borderId="56" xfId="0" applyNumberFormat="1" applyFont="1" applyFill="1" applyBorder="1" applyAlignment="1">
      <alignment horizontal="center"/>
    </xf>
    <xf numFmtId="3" fontId="80" fillId="62" borderId="6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72" fillId="0" borderId="55" xfId="0" applyFont="1" applyBorder="1" applyAlignment="1">
      <alignment horizontal="center" vertical="center" wrapText="1"/>
    </xf>
    <xf numFmtId="0" fontId="74" fillId="0" borderId="55" xfId="0" applyFont="1" applyBorder="1"/>
    <xf numFmtId="0" fontId="74" fillId="0" borderId="0" xfId="0" applyFont="1" applyBorder="1"/>
    <xf numFmtId="0" fontId="74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73" fillId="0" borderId="0" xfId="0" applyFont="1" applyAlignment="1">
      <alignment horizontal="left"/>
    </xf>
    <xf numFmtId="0" fontId="4" fillId="68" borderId="56" xfId="0" applyFont="1" applyFill="1" applyBorder="1" applyAlignment="1">
      <alignment horizontal="center" vertical="center"/>
    </xf>
    <xf numFmtId="0" fontId="4" fillId="68" borderId="56" xfId="0" applyFont="1" applyFill="1" applyBorder="1" applyAlignment="1">
      <alignment vertical="center" wrapText="1"/>
    </xf>
    <xf numFmtId="3" fontId="4" fillId="68" borderId="56" xfId="0" applyNumberFormat="1" applyFont="1" applyFill="1" applyBorder="1" applyAlignment="1">
      <alignment horizontal="center" vertical="center"/>
    </xf>
    <xf numFmtId="3" fontId="81" fillId="68" borderId="56" xfId="0" applyNumberFormat="1" applyFont="1" applyFill="1" applyBorder="1" applyAlignment="1">
      <alignment horizontal="center" vertical="center"/>
    </xf>
    <xf numFmtId="3" fontId="81" fillId="68" borderId="63" xfId="0" applyNumberFormat="1" applyFont="1" applyFill="1" applyBorder="1" applyAlignment="1">
      <alignment horizontal="center" vertical="center"/>
    </xf>
    <xf numFmtId="3" fontId="4" fillId="68" borderId="67" xfId="0" applyNumberFormat="1" applyFont="1" applyFill="1" applyBorder="1" applyAlignment="1">
      <alignment horizontal="center" vertical="center"/>
    </xf>
    <xf numFmtId="3" fontId="4" fillId="68" borderId="68" xfId="0" applyNumberFormat="1" applyFont="1" applyFill="1" applyBorder="1" applyAlignment="1">
      <alignment horizontal="center" vertical="center"/>
    </xf>
    <xf numFmtId="0" fontId="4" fillId="68" borderId="56" xfId="0" applyFont="1" applyFill="1" applyBorder="1" applyAlignment="1">
      <alignment vertical="center"/>
    </xf>
    <xf numFmtId="0" fontId="4" fillId="69" borderId="56" xfId="0" applyFont="1" applyFill="1" applyBorder="1" applyAlignment="1">
      <alignment horizontal="center" vertical="center"/>
    </xf>
    <xf numFmtId="0" fontId="4" fillId="69" borderId="56" xfId="0" applyFont="1" applyFill="1" applyBorder="1" applyAlignment="1">
      <alignment vertical="center"/>
    </xf>
    <xf numFmtId="3" fontId="4" fillId="69" borderId="56" xfId="0" applyNumberFormat="1" applyFont="1" applyFill="1" applyBorder="1" applyAlignment="1">
      <alignment horizontal="center" vertical="center"/>
    </xf>
    <xf numFmtId="3" fontId="81" fillId="69" borderId="56" xfId="0" applyNumberFormat="1" applyFont="1" applyFill="1" applyBorder="1" applyAlignment="1">
      <alignment horizontal="center" vertical="center"/>
    </xf>
    <xf numFmtId="3" fontId="81" fillId="69" borderId="63" xfId="0" applyNumberFormat="1" applyFont="1" applyFill="1" applyBorder="1" applyAlignment="1">
      <alignment horizontal="center" vertical="center"/>
    </xf>
    <xf numFmtId="3" fontId="4" fillId="69" borderId="67" xfId="0" applyNumberFormat="1" applyFont="1" applyFill="1" applyBorder="1" applyAlignment="1">
      <alignment horizontal="center" vertical="center"/>
    </xf>
    <xf numFmtId="3" fontId="4" fillId="69" borderId="68" xfId="0" applyNumberFormat="1" applyFont="1" applyFill="1" applyBorder="1" applyAlignment="1">
      <alignment horizontal="center" vertical="center"/>
    </xf>
    <xf numFmtId="0" fontId="2" fillId="69" borderId="56" xfId="0" applyFont="1" applyFill="1" applyBorder="1" applyAlignment="1">
      <alignment horizontal="center" vertical="center"/>
    </xf>
    <xf numFmtId="0" fontId="4" fillId="69" borderId="56" xfId="0" applyFont="1" applyFill="1" applyBorder="1" applyAlignment="1">
      <alignment vertical="center" wrapText="1"/>
    </xf>
    <xf numFmtId="3" fontId="2" fillId="69" borderId="56" xfId="0" applyNumberFormat="1" applyFont="1" applyFill="1" applyBorder="1" applyAlignment="1">
      <alignment horizontal="center" vertical="center"/>
    </xf>
    <xf numFmtId="3" fontId="2" fillId="69" borderId="67" xfId="0" applyNumberFormat="1" applyFont="1" applyFill="1" applyBorder="1" applyAlignment="1">
      <alignment horizontal="center" vertical="center"/>
    </xf>
    <xf numFmtId="3" fontId="2" fillId="69" borderId="68" xfId="0" applyNumberFormat="1" applyFont="1" applyFill="1" applyBorder="1" applyAlignment="1">
      <alignment horizontal="center" vertical="center"/>
    </xf>
    <xf numFmtId="0" fontId="2" fillId="69" borderId="57" xfId="0" applyFont="1" applyFill="1" applyBorder="1" applyAlignment="1">
      <alignment horizontal="center" vertical="center"/>
    </xf>
    <xf numFmtId="0" fontId="4" fillId="69" borderId="57" xfId="0" applyFont="1" applyFill="1" applyBorder="1" applyAlignment="1">
      <alignment vertical="center" wrapText="1"/>
    </xf>
    <xf numFmtId="0" fontId="82" fillId="0" borderId="0" xfId="0" applyFont="1" applyAlignment="1">
      <alignment wrapText="1"/>
    </xf>
    <xf numFmtId="49" fontId="2" fillId="69" borderId="56" xfId="0" applyNumberFormat="1" applyFont="1" applyFill="1" applyBorder="1" applyAlignment="1">
      <alignment horizontal="center" vertical="center"/>
    </xf>
    <xf numFmtId="49" fontId="4" fillId="69" borderId="56" xfId="0" applyNumberFormat="1" applyFont="1" applyFill="1" applyBorder="1" applyAlignment="1">
      <alignment horizontal="center" vertical="center"/>
    </xf>
    <xf numFmtId="49" fontId="4" fillId="0" borderId="56" xfId="0" applyNumberFormat="1" applyFont="1" applyBorder="1" applyAlignment="1">
      <alignment horizontal="center" vertical="center"/>
    </xf>
    <xf numFmtId="49" fontId="2" fillId="0" borderId="56" xfId="0" applyNumberFormat="1" applyFont="1" applyBorder="1" applyAlignment="1">
      <alignment horizontal="center" vertical="center"/>
    </xf>
    <xf numFmtId="49" fontId="4" fillId="68" borderId="56" xfId="0" applyNumberFormat="1" applyFont="1" applyFill="1" applyBorder="1" applyAlignment="1">
      <alignment horizontal="center" vertical="center"/>
    </xf>
    <xf numFmtId="3" fontId="5" fillId="61" borderId="56" xfId="0" applyNumberFormat="1" applyFont="1" applyFill="1" applyBorder="1" applyAlignment="1">
      <alignment horizontal="left" vertical="center" wrapText="1"/>
    </xf>
    <xf numFmtId="3" fontId="5" fillId="63" borderId="56" xfId="0" applyNumberFormat="1" applyFont="1" applyFill="1" applyBorder="1" applyAlignment="1">
      <alignment horizontal="left" vertical="center" wrapText="1"/>
    </xf>
    <xf numFmtId="3" fontId="3" fillId="61" borderId="56" xfId="0" applyNumberFormat="1" applyFont="1" applyFill="1" applyBorder="1" applyAlignment="1">
      <alignment horizontal="left" vertical="center" wrapText="1"/>
    </xf>
    <xf numFmtId="3" fontId="4" fillId="0" borderId="56" xfId="0" applyNumberFormat="1" applyFont="1" applyBorder="1" applyAlignment="1">
      <alignment horizontal="left" vertical="center" wrapText="1"/>
    </xf>
    <xf numFmtId="3" fontId="4" fillId="68" borderId="56" xfId="0" applyNumberFormat="1" applyFont="1" applyFill="1" applyBorder="1" applyAlignment="1">
      <alignment horizontal="left" vertical="center" wrapText="1"/>
    </xf>
    <xf numFmtId="3" fontId="4" fillId="69" borderId="56" xfId="0" applyNumberFormat="1" applyFont="1" applyFill="1" applyBorder="1" applyAlignment="1">
      <alignment horizontal="left" vertical="center" wrapText="1"/>
    </xf>
    <xf numFmtId="3" fontId="2" fillId="0" borderId="56" xfId="0" applyNumberFormat="1" applyFont="1" applyBorder="1" applyAlignment="1">
      <alignment horizontal="left" vertical="center" wrapText="1"/>
    </xf>
    <xf numFmtId="3" fontId="2" fillId="69" borderId="56" xfId="0" applyNumberFormat="1" applyFont="1" applyFill="1" applyBorder="1" applyAlignment="1">
      <alignment horizontal="left" vertical="center" wrapText="1"/>
    </xf>
    <xf numFmtId="0" fontId="83" fillId="0" borderId="0" xfId="0" applyFont="1"/>
    <xf numFmtId="0" fontId="84" fillId="0" borderId="0" xfId="0" applyFont="1"/>
    <xf numFmtId="0" fontId="85" fillId="0" borderId="0" xfId="0" applyFont="1"/>
    <xf numFmtId="0" fontId="83" fillId="0" borderId="72" xfId="0" applyFont="1" applyBorder="1" applyAlignment="1">
      <alignment vertical="top" wrapText="1"/>
    </xf>
    <xf numFmtId="0" fontId="84" fillId="70" borderId="72" xfId="0" applyFont="1" applyFill="1" applyBorder="1" applyAlignment="1">
      <alignment vertical="top" wrapText="1"/>
    </xf>
    <xf numFmtId="0" fontId="83" fillId="0" borderId="72" xfId="0" applyFont="1" applyBorder="1" applyAlignment="1">
      <alignment horizontal="right" vertical="top" wrapText="1"/>
    </xf>
    <xf numFmtId="0" fontId="2" fillId="0" borderId="45" xfId="0" applyFont="1" applyBorder="1" applyAlignment="1">
      <alignment horizontal="right"/>
    </xf>
    <xf numFmtId="0" fontId="2" fillId="0" borderId="42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45" fillId="0" borderId="42" xfId="0" applyFont="1" applyBorder="1" applyAlignment="1">
      <alignment horizontal="right"/>
    </xf>
    <xf numFmtId="0" fontId="45" fillId="0" borderId="43" xfId="0" applyFont="1" applyBorder="1" applyAlignment="1">
      <alignment horizontal="right"/>
    </xf>
    <xf numFmtId="0" fontId="3" fillId="0" borderId="42" xfId="0" applyFont="1" applyBorder="1" applyAlignment="1">
      <alignment horizontal="right"/>
    </xf>
    <xf numFmtId="0" fontId="3" fillId="0" borderId="43" xfId="0" applyFont="1" applyBorder="1" applyAlignment="1">
      <alignment horizontal="right"/>
    </xf>
    <xf numFmtId="0" fontId="45" fillId="0" borderId="42" xfId="0" applyFont="1" applyBorder="1" applyAlignment="1">
      <alignment horizontal="left" wrapText="1"/>
    </xf>
    <xf numFmtId="0" fontId="45" fillId="0" borderId="43" xfId="0" applyFont="1" applyBorder="1" applyAlignment="1">
      <alignment horizontal="left" wrapText="1"/>
    </xf>
    <xf numFmtId="0" fontId="2" fillId="0" borderId="45" xfId="0" applyFont="1" applyBorder="1" applyAlignment="1">
      <alignment horizontal="center"/>
    </xf>
    <xf numFmtId="0" fontId="3" fillId="0" borderId="42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42" xfId="0" applyFont="1" applyBorder="1" applyAlignment="1">
      <alignment horizontal="right"/>
    </xf>
    <xf numFmtId="0" fontId="2" fillId="0" borderId="44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43" fillId="0" borderId="4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49" fontId="46" fillId="3" borderId="37" xfId="177" applyNumberFormat="1" applyFont="1" applyFill="1" applyBorder="1" applyAlignment="1">
      <alignment horizontal="left" vertical="center" wrapText="1"/>
    </xf>
    <xf numFmtId="49" fontId="46" fillId="3" borderId="38" xfId="177" applyNumberFormat="1" applyFont="1" applyFill="1" applyBorder="1" applyAlignment="1">
      <alignment horizontal="left" vertical="center" wrapText="1"/>
    </xf>
    <xf numFmtId="49" fontId="46" fillId="3" borderId="36" xfId="177" applyNumberFormat="1" applyFont="1" applyFill="1" applyBorder="1" applyAlignment="1">
      <alignment horizontal="left" vertical="center" wrapText="1"/>
    </xf>
    <xf numFmtId="0" fontId="8" fillId="3" borderId="32" xfId="177" applyFont="1" applyFill="1" applyBorder="1" applyAlignment="1">
      <alignment horizontal="left" vertical="top" wrapText="1"/>
    </xf>
    <xf numFmtId="0" fontId="8" fillId="3" borderId="37" xfId="177" applyFont="1" applyFill="1" applyBorder="1" applyAlignment="1">
      <alignment horizontal="left" vertical="center" wrapText="1"/>
    </xf>
    <xf numFmtId="0" fontId="8" fillId="3" borderId="38" xfId="177" applyFont="1" applyFill="1" applyBorder="1" applyAlignment="1">
      <alignment horizontal="left" vertical="center" wrapText="1"/>
    </xf>
    <xf numFmtId="0" fontId="8" fillId="3" borderId="36" xfId="177" applyFont="1" applyFill="1" applyBorder="1" applyAlignment="1">
      <alignment horizontal="left" vertical="center" wrapText="1"/>
    </xf>
    <xf numFmtId="0" fontId="46" fillId="3" borderId="33" xfId="177" applyFont="1" applyFill="1" applyBorder="1" applyAlignment="1">
      <alignment horizontal="left" vertical="center" wrapText="1"/>
    </xf>
    <xf numFmtId="0" fontId="46" fillId="3" borderId="34" xfId="177" applyFont="1" applyFill="1" applyBorder="1" applyAlignment="1">
      <alignment horizontal="left" vertical="center" wrapText="1"/>
    </xf>
    <xf numFmtId="0" fontId="46" fillId="3" borderId="35" xfId="177" applyFont="1" applyFill="1" applyBorder="1" applyAlignment="1">
      <alignment horizontal="left" vertical="center" wrapText="1"/>
    </xf>
    <xf numFmtId="49" fontId="46" fillId="3" borderId="32" xfId="177" applyNumberFormat="1" applyFont="1" applyFill="1" applyBorder="1" applyAlignment="1">
      <alignment horizontal="left" vertical="center" wrapText="1"/>
    </xf>
    <xf numFmtId="0" fontId="46" fillId="3" borderId="39" xfId="177" applyFont="1" applyFill="1" applyBorder="1" applyAlignment="1">
      <alignment horizontal="left" vertical="center" wrapText="1"/>
    </xf>
    <xf numFmtId="0" fontId="46" fillId="3" borderId="1" xfId="177" applyFont="1" applyFill="1" applyBorder="1" applyAlignment="1">
      <alignment horizontal="left" vertical="center" wrapText="1"/>
    </xf>
    <xf numFmtId="0" fontId="8" fillId="3" borderId="39" xfId="177" applyFont="1" applyFill="1" applyBorder="1" applyAlignment="1">
      <alignment horizontal="left" vertical="top" wrapText="1"/>
    </xf>
    <xf numFmtId="0" fontId="8" fillId="3" borderId="3" xfId="177" applyFont="1" applyFill="1" applyBorder="1" applyAlignment="1">
      <alignment horizontal="left" vertical="top" wrapText="1"/>
    </xf>
    <xf numFmtId="0" fontId="46" fillId="3" borderId="37" xfId="177" applyFont="1" applyFill="1" applyBorder="1" applyAlignment="1">
      <alignment horizontal="center" vertical="center" wrapText="1"/>
    </xf>
    <xf numFmtId="0" fontId="46" fillId="3" borderId="38" xfId="177" applyFont="1" applyFill="1" applyBorder="1" applyAlignment="1">
      <alignment horizontal="center" vertical="center" wrapText="1"/>
    </xf>
    <xf numFmtId="0" fontId="46" fillId="3" borderId="37" xfId="177" applyFont="1" applyFill="1" applyBorder="1" applyAlignment="1">
      <alignment horizontal="left" vertical="center" wrapText="1"/>
    </xf>
    <xf numFmtId="0" fontId="46" fillId="3" borderId="38" xfId="177" applyFont="1" applyFill="1" applyBorder="1" applyAlignment="1">
      <alignment horizontal="left" vertical="center" wrapText="1"/>
    </xf>
    <xf numFmtId="0" fontId="46" fillId="3" borderId="36" xfId="177" applyFont="1" applyFill="1" applyBorder="1" applyAlignment="1">
      <alignment horizontal="left" vertical="center" wrapText="1"/>
    </xf>
    <xf numFmtId="49" fontId="46" fillId="3" borderId="10" xfId="177" applyNumberFormat="1" applyFont="1" applyFill="1" applyBorder="1" applyAlignment="1">
      <alignment horizontal="left" vertical="center" wrapText="1"/>
    </xf>
    <xf numFmtId="49" fontId="46" fillId="3" borderId="2" xfId="177" applyNumberFormat="1" applyFont="1" applyFill="1" applyBorder="1" applyAlignment="1">
      <alignment horizontal="left" vertical="center" wrapText="1"/>
    </xf>
    <xf numFmtId="49" fontId="46" fillId="3" borderId="17" xfId="177" applyNumberFormat="1" applyFont="1" applyFill="1" applyBorder="1" applyAlignment="1">
      <alignment horizontal="left" vertical="center" wrapText="1"/>
    </xf>
    <xf numFmtId="0" fontId="46" fillId="3" borderId="39" xfId="177" applyFont="1" applyFill="1" applyBorder="1" applyAlignment="1">
      <alignment horizontal="left" vertical="top" wrapText="1"/>
    </xf>
    <xf numFmtId="0" fontId="46" fillId="3" borderId="3" xfId="177" applyFont="1" applyFill="1" applyBorder="1" applyAlignment="1">
      <alignment horizontal="left" vertical="top" wrapText="1"/>
    </xf>
    <xf numFmtId="49" fontId="46" fillId="3" borderId="39" xfId="177" applyNumberFormat="1" applyFont="1" applyFill="1" applyBorder="1" applyAlignment="1">
      <alignment horizontal="left" vertical="top" wrapText="1"/>
    </xf>
    <xf numFmtId="49" fontId="46" fillId="3" borderId="3" xfId="177" applyNumberFormat="1" applyFont="1" applyFill="1" applyBorder="1" applyAlignment="1">
      <alignment horizontal="left" vertical="top" wrapText="1"/>
    </xf>
    <xf numFmtId="49" fontId="46" fillId="3" borderId="37" xfId="0" applyNumberFormat="1" applyFont="1" applyFill="1" applyBorder="1" applyAlignment="1">
      <alignment horizontal="left" vertical="center" wrapText="1"/>
    </xf>
    <xf numFmtId="49" fontId="46" fillId="3" borderId="38" xfId="0" applyNumberFormat="1" applyFont="1" applyFill="1" applyBorder="1" applyAlignment="1">
      <alignment horizontal="left" vertical="center" wrapText="1"/>
    </xf>
    <xf numFmtId="49" fontId="46" fillId="3" borderId="36" xfId="0" applyNumberFormat="1" applyFont="1" applyFill="1" applyBorder="1" applyAlignment="1">
      <alignment horizontal="left" vertical="center" wrapText="1"/>
    </xf>
    <xf numFmtId="0" fontId="8" fillId="3" borderId="1" xfId="177" applyFont="1" applyFill="1" applyBorder="1" applyAlignment="1">
      <alignment horizontal="left" vertical="top" wrapText="1"/>
    </xf>
    <xf numFmtId="0" fontId="46" fillId="3" borderId="1" xfId="177" applyFont="1" applyFill="1" applyBorder="1" applyAlignment="1">
      <alignment horizontal="left" vertical="top" wrapText="1"/>
    </xf>
    <xf numFmtId="0" fontId="46" fillId="3" borderId="10" xfId="177" applyFont="1" applyFill="1" applyBorder="1" applyAlignment="1">
      <alignment horizontal="left" vertical="top" wrapText="1"/>
    </xf>
    <xf numFmtId="49" fontId="46" fillId="3" borderId="33" xfId="177" applyNumberFormat="1" applyFont="1" applyFill="1" applyBorder="1" applyAlignment="1">
      <alignment horizontal="left" vertical="center" wrapText="1"/>
    </xf>
    <xf numFmtId="49" fontId="46" fillId="3" borderId="34" xfId="177" applyNumberFormat="1" applyFont="1" applyFill="1" applyBorder="1" applyAlignment="1">
      <alignment horizontal="left" vertical="center" wrapText="1"/>
    </xf>
    <xf numFmtId="49" fontId="46" fillId="3" borderId="35" xfId="177" applyNumberFormat="1" applyFont="1" applyFill="1" applyBorder="1" applyAlignment="1">
      <alignment horizontal="left" vertical="center" wrapText="1"/>
    </xf>
    <xf numFmtId="0" fontId="8" fillId="3" borderId="2" xfId="177" applyFont="1" applyFill="1" applyBorder="1" applyAlignment="1">
      <alignment horizontal="left" vertical="center" wrapText="1"/>
    </xf>
    <xf numFmtId="0" fontId="8" fillId="3" borderId="17" xfId="177" applyFont="1" applyFill="1" applyBorder="1" applyAlignment="1">
      <alignment horizontal="left" vertical="center" wrapText="1"/>
    </xf>
    <xf numFmtId="0" fontId="44" fillId="3" borderId="0" xfId="177" applyFont="1" applyFill="1" applyAlignment="1">
      <alignment horizontal="center" vertical="center" wrapText="1"/>
    </xf>
    <xf numFmtId="0" fontId="44" fillId="3" borderId="0" xfId="177" applyFont="1" applyFill="1" applyAlignment="1">
      <alignment horizontal="center" wrapText="1"/>
    </xf>
    <xf numFmtId="0" fontId="44" fillId="3" borderId="0" xfId="177" applyFont="1" applyFill="1" applyAlignment="1">
      <alignment horizontal="left" vertical="center" wrapText="1"/>
    </xf>
    <xf numFmtId="0" fontId="46" fillId="3" borderId="0" xfId="177" applyFont="1" applyFill="1" applyAlignment="1">
      <alignment horizontal="left" vertical="top" wrapText="1"/>
    </xf>
    <xf numFmtId="0" fontId="46" fillId="3" borderId="2" xfId="177" applyFont="1" applyFill="1" applyBorder="1" applyAlignment="1">
      <alignment horizontal="left" vertical="top" wrapText="1"/>
    </xf>
    <xf numFmtId="0" fontId="8" fillId="3" borderId="39" xfId="177" applyFont="1" applyFill="1" applyBorder="1" applyAlignment="1">
      <alignment horizontal="center" vertical="center" wrapText="1"/>
    </xf>
    <xf numFmtId="0" fontId="8" fillId="3" borderId="3" xfId="177" applyFont="1" applyFill="1" applyBorder="1" applyAlignment="1">
      <alignment horizontal="center" vertical="center" wrapText="1"/>
    </xf>
    <xf numFmtId="0" fontId="8" fillId="3" borderId="1" xfId="177" applyFont="1" applyFill="1" applyBorder="1" applyAlignment="1">
      <alignment horizontal="center" vertical="center" wrapText="1"/>
    </xf>
    <xf numFmtId="0" fontId="8" fillId="3" borderId="33" xfId="177" applyFont="1" applyFill="1" applyBorder="1" applyAlignment="1">
      <alignment horizontal="center" vertical="center" wrapText="1"/>
    </xf>
    <xf numFmtId="0" fontId="8" fillId="3" borderId="34" xfId="177" applyFont="1" applyFill="1" applyBorder="1" applyAlignment="1">
      <alignment horizontal="center" vertical="center" wrapText="1"/>
    </xf>
    <xf numFmtId="0" fontId="8" fillId="3" borderId="35" xfId="177" applyFont="1" applyFill="1" applyBorder="1" applyAlignment="1">
      <alignment horizontal="center" vertical="center" wrapText="1"/>
    </xf>
    <xf numFmtId="0" fontId="8" fillId="3" borderId="4" xfId="177" applyFont="1" applyFill="1" applyBorder="1" applyAlignment="1">
      <alignment horizontal="center" vertical="center" wrapText="1"/>
    </xf>
    <xf numFmtId="0" fontId="8" fillId="3" borderId="0" xfId="177" applyFont="1" applyFill="1" applyAlignment="1">
      <alignment horizontal="center" vertical="center" wrapText="1"/>
    </xf>
    <xf numFmtId="0" fontId="8" fillId="3" borderId="16" xfId="177" applyFont="1" applyFill="1" applyBorder="1" applyAlignment="1">
      <alignment horizontal="center" vertical="center" wrapText="1"/>
    </xf>
    <xf numFmtId="0" fontId="8" fillId="3" borderId="10" xfId="177" applyFont="1" applyFill="1" applyBorder="1" applyAlignment="1">
      <alignment horizontal="center" vertical="center" wrapText="1"/>
    </xf>
    <xf numFmtId="0" fontId="8" fillId="3" borderId="2" xfId="177" applyFont="1" applyFill="1" applyBorder="1" applyAlignment="1">
      <alignment horizontal="center" vertical="center" wrapText="1"/>
    </xf>
    <xf numFmtId="0" fontId="8" fillId="3" borderId="17" xfId="177" applyFont="1" applyFill="1" applyBorder="1" applyAlignment="1">
      <alignment horizontal="center" vertical="center" wrapText="1"/>
    </xf>
    <xf numFmtId="0" fontId="8" fillId="3" borderId="33" xfId="177" applyFont="1" applyFill="1" applyBorder="1" applyAlignment="1">
      <alignment horizontal="left" vertical="top" wrapText="1"/>
    </xf>
    <xf numFmtId="0" fontId="8" fillId="3" borderId="35" xfId="177" applyFont="1" applyFill="1" applyBorder="1" applyAlignment="1">
      <alignment horizontal="left" vertical="top" wrapText="1"/>
    </xf>
    <xf numFmtId="0" fontId="8" fillId="3" borderId="4" xfId="177" applyFont="1" applyFill="1" applyBorder="1" applyAlignment="1">
      <alignment horizontal="left" vertical="top" wrapText="1"/>
    </xf>
    <xf numFmtId="0" fontId="8" fillId="3" borderId="16" xfId="177" applyFont="1" applyFill="1" applyBorder="1" applyAlignment="1">
      <alignment horizontal="left" vertical="top" wrapText="1"/>
    </xf>
    <xf numFmtId="0" fontId="46" fillId="3" borderId="37" xfId="177" applyFont="1" applyFill="1" applyBorder="1" applyAlignment="1">
      <alignment horizontal="center" wrapText="1"/>
    </xf>
    <xf numFmtId="0" fontId="46" fillId="3" borderId="36" xfId="177" applyFont="1" applyFill="1" applyBorder="1" applyAlignment="1">
      <alignment horizontal="center" wrapText="1"/>
    </xf>
    <xf numFmtId="0" fontId="8" fillId="3" borderId="10" xfId="177" applyFont="1" applyFill="1" applyBorder="1" applyAlignment="1">
      <alignment horizontal="left" vertical="top" wrapText="1"/>
    </xf>
    <xf numFmtId="0" fontId="8" fillId="3" borderId="17" xfId="177" applyFont="1" applyFill="1" applyBorder="1" applyAlignment="1">
      <alignment horizontal="left" vertical="top" wrapText="1"/>
    </xf>
    <xf numFmtId="0" fontId="8" fillId="3" borderId="25" xfId="177" applyFont="1" applyFill="1" applyBorder="1" applyAlignment="1">
      <alignment horizontal="center" vertical="center" wrapText="1"/>
    </xf>
    <xf numFmtId="0" fontId="8" fillId="3" borderId="37" xfId="177" applyFont="1" applyFill="1" applyBorder="1" applyAlignment="1">
      <alignment horizontal="center" vertical="center" wrapText="1"/>
    </xf>
    <xf numFmtId="0" fontId="8" fillId="3" borderId="36" xfId="177" applyFont="1" applyFill="1" applyBorder="1" applyAlignment="1">
      <alignment horizontal="center" vertical="center" wrapText="1"/>
    </xf>
    <xf numFmtId="0" fontId="46" fillId="3" borderId="0" xfId="177" applyFont="1" applyFill="1" applyAlignment="1">
      <alignment horizontal="left" wrapText="1"/>
    </xf>
    <xf numFmtId="0" fontId="46" fillId="3" borderId="38" xfId="177" applyFont="1" applyFill="1" applyBorder="1" applyAlignment="1">
      <alignment horizontal="center" wrapText="1"/>
    </xf>
    <xf numFmtId="49" fontId="46" fillId="3" borderId="37" xfId="177" applyNumberFormat="1" applyFont="1" applyFill="1" applyBorder="1" applyAlignment="1">
      <alignment horizontal="center" vertical="center" wrapText="1"/>
    </xf>
    <xf numFmtId="49" fontId="46" fillId="3" borderId="36" xfId="177" applyNumberFormat="1" applyFont="1" applyFill="1" applyBorder="1" applyAlignment="1">
      <alignment horizontal="center" vertical="center" wrapText="1"/>
    </xf>
    <xf numFmtId="49" fontId="46" fillId="2" borderId="37" xfId="177" applyNumberFormat="1" applyFont="1" applyFill="1" applyBorder="1" applyAlignment="1">
      <alignment horizontal="left" vertical="center" wrapText="1"/>
    </xf>
    <xf numFmtId="49" fontId="46" fillId="2" borderId="38" xfId="177" applyNumberFormat="1" applyFont="1" applyFill="1" applyBorder="1" applyAlignment="1">
      <alignment horizontal="left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left" vertical="center" wrapText="1"/>
    </xf>
    <xf numFmtId="0" fontId="8" fillId="3" borderId="31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46" fillId="3" borderId="30" xfId="0" applyFont="1" applyFill="1" applyBorder="1" applyAlignment="1">
      <alignment horizontal="left" vertical="center" wrapText="1"/>
    </xf>
    <xf numFmtId="0" fontId="46" fillId="3" borderId="31" xfId="0" applyFont="1" applyFill="1" applyBorder="1" applyAlignment="1">
      <alignment horizontal="left" vertical="center" wrapText="1"/>
    </xf>
    <xf numFmtId="0" fontId="46" fillId="3" borderId="29" xfId="0" applyFont="1" applyFill="1" applyBorder="1" applyAlignment="1">
      <alignment horizontal="left" vertical="center" wrapText="1"/>
    </xf>
    <xf numFmtId="0" fontId="44" fillId="3" borderId="0" xfId="0" applyFont="1" applyFill="1" applyAlignment="1">
      <alignment horizontal="center" vertical="center" wrapText="1"/>
    </xf>
    <xf numFmtId="0" fontId="44" fillId="3" borderId="0" xfId="0" applyFont="1" applyFill="1" applyAlignment="1">
      <alignment horizontal="center" wrapText="1"/>
    </xf>
    <xf numFmtId="0" fontId="46" fillId="3" borderId="0" xfId="0" applyFont="1" applyFill="1" applyAlignment="1">
      <alignment horizontal="left" vertical="top" wrapText="1"/>
    </xf>
    <xf numFmtId="0" fontId="46" fillId="3" borderId="2" xfId="0" applyFont="1" applyFill="1" applyBorder="1" applyAlignment="1">
      <alignment horizontal="left" vertical="top" wrapText="1"/>
    </xf>
    <xf numFmtId="0" fontId="8" fillId="3" borderId="25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49" fontId="46" fillId="3" borderId="30" xfId="0" applyNumberFormat="1" applyFont="1" applyFill="1" applyBorder="1" applyAlignment="1">
      <alignment horizontal="left" vertical="center" wrapText="1"/>
    </xf>
    <xf numFmtId="49" fontId="46" fillId="3" borderId="31" xfId="0" applyNumberFormat="1" applyFont="1" applyFill="1" applyBorder="1" applyAlignment="1">
      <alignment horizontal="left" vertical="center" wrapText="1"/>
    </xf>
    <xf numFmtId="49" fontId="46" fillId="3" borderId="29" xfId="0" applyNumberFormat="1" applyFont="1" applyFill="1" applyBorder="1" applyAlignment="1">
      <alignment horizontal="left" vertical="center" wrapText="1"/>
    </xf>
    <xf numFmtId="0" fontId="8" fillId="3" borderId="26" xfId="0" applyFont="1" applyFill="1" applyBorder="1" applyAlignment="1">
      <alignment horizontal="left" vertical="top" wrapText="1"/>
    </xf>
    <xf numFmtId="0" fontId="8" fillId="3" borderId="28" xfId="0" applyFont="1" applyFill="1" applyBorder="1" applyAlignment="1">
      <alignment horizontal="left" vertical="top" wrapText="1"/>
    </xf>
    <xf numFmtId="0" fontId="8" fillId="3" borderId="4" xfId="0" applyFont="1" applyFill="1" applyBorder="1" applyAlignment="1">
      <alignment horizontal="left" vertical="top" wrapText="1"/>
    </xf>
    <xf numFmtId="0" fontId="8" fillId="3" borderId="16" xfId="0" applyFont="1" applyFill="1" applyBorder="1" applyAlignment="1">
      <alignment horizontal="left" vertical="top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46" fillId="3" borderId="25" xfId="0" applyFont="1" applyFill="1" applyBorder="1" applyAlignment="1">
      <alignment horizontal="left" vertical="center" wrapText="1"/>
    </xf>
    <xf numFmtId="0" fontId="46" fillId="3" borderId="1" xfId="0" applyFont="1" applyFill="1" applyBorder="1" applyAlignment="1">
      <alignment horizontal="left" vertical="center" wrapText="1"/>
    </xf>
    <xf numFmtId="0" fontId="8" fillId="2" borderId="26" xfId="0" applyFont="1" applyFill="1" applyBorder="1" applyAlignment="1">
      <alignment horizontal="left" vertical="center" wrapText="1"/>
    </xf>
    <xf numFmtId="0" fontId="8" fillId="2" borderId="28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16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46" fillId="3" borderId="3" xfId="0" applyFont="1" applyFill="1" applyBorder="1" applyAlignment="1">
      <alignment horizontal="left" vertical="center" wrapText="1"/>
    </xf>
    <xf numFmtId="0" fontId="8" fillId="2" borderId="26" xfId="0" applyFont="1" applyFill="1" applyBorder="1" applyAlignment="1">
      <alignment horizontal="left" vertical="top" wrapText="1"/>
    </xf>
    <xf numFmtId="0" fontId="8" fillId="2" borderId="28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  <xf numFmtId="0" fontId="8" fillId="2" borderId="16" xfId="0" applyFont="1" applyFill="1" applyBorder="1" applyAlignment="1">
      <alignment horizontal="left" vertical="top" wrapText="1"/>
    </xf>
    <xf numFmtId="49" fontId="8" fillId="3" borderId="30" xfId="0" applyNumberFormat="1" applyFont="1" applyFill="1" applyBorder="1" applyAlignment="1">
      <alignment horizontal="left" vertical="center" wrapText="1"/>
    </xf>
    <xf numFmtId="49" fontId="8" fillId="3" borderId="29" xfId="0" applyNumberFormat="1" applyFont="1" applyFill="1" applyBorder="1" applyAlignment="1">
      <alignment horizontal="left" vertical="center" wrapText="1"/>
    </xf>
    <xf numFmtId="0" fontId="46" fillId="3" borderId="30" xfId="0" applyFont="1" applyFill="1" applyBorder="1" applyAlignment="1">
      <alignment horizontal="left" vertical="top" wrapText="1"/>
    </xf>
    <xf numFmtId="0" fontId="46" fillId="3" borderId="31" xfId="0" applyFont="1" applyFill="1" applyBorder="1" applyAlignment="1">
      <alignment horizontal="left" vertical="top" wrapText="1"/>
    </xf>
    <xf numFmtId="0" fontId="46" fillId="3" borderId="29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83" fillId="0" borderId="0" xfId="0" applyFont="1" applyAlignment="1">
      <alignment wrapText="1"/>
    </xf>
    <xf numFmtId="0" fontId="83" fillId="0" borderId="0" xfId="0" applyFont="1" applyAlignment="1">
      <alignment vertical="top" wrapText="1"/>
    </xf>
    <xf numFmtId="3" fontId="4" fillId="0" borderId="56" xfId="0" applyNumberFormat="1" applyFont="1" applyFill="1" applyBorder="1" applyAlignment="1">
      <alignment horizontal="center" vertical="center"/>
    </xf>
    <xf numFmtId="3" fontId="81" fillId="0" borderId="63" xfId="0" applyNumberFormat="1" applyFont="1" applyFill="1" applyBorder="1" applyAlignment="1">
      <alignment horizontal="center" vertical="center"/>
    </xf>
    <xf numFmtId="3" fontId="4" fillId="0" borderId="67" xfId="0" applyNumberFormat="1" applyFont="1" applyFill="1" applyBorder="1" applyAlignment="1">
      <alignment horizontal="center" vertical="center"/>
    </xf>
    <xf numFmtId="3" fontId="4" fillId="0" borderId="68" xfId="0" applyNumberFormat="1" applyFont="1" applyFill="1" applyBorder="1" applyAlignment="1">
      <alignment horizontal="center" vertical="center"/>
    </xf>
    <xf numFmtId="49" fontId="4" fillId="0" borderId="56" xfId="0" applyNumberFormat="1" applyFont="1" applyFill="1" applyBorder="1" applyAlignment="1">
      <alignment horizontal="center" vertical="center"/>
    </xf>
    <xf numFmtId="3" fontId="4" fillId="0" borderId="56" xfId="0" applyNumberFormat="1" applyFont="1" applyFill="1" applyBorder="1" applyAlignment="1">
      <alignment horizontal="left" vertical="center" wrapText="1"/>
    </xf>
    <xf numFmtId="0" fontId="4" fillId="71" borderId="56" xfId="0" applyFont="1" applyFill="1" applyBorder="1" applyAlignment="1">
      <alignment horizontal="center" vertical="center"/>
    </xf>
    <xf numFmtId="0" fontId="4" fillId="71" borderId="56" xfId="0" applyFont="1" applyFill="1" applyBorder="1" applyAlignment="1">
      <alignment vertical="center"/>
    </xf>
    <xf numFmtId="3" fontId="4" fillId="71" borderId="56" xfId="0" applyNumberFormat="1" applyFont="1" applyFill="1" applyBorder="1" applyAlignment="1">
      <alignment horizontal="center" vertical="center"/>
    </xf>
    <xf numFmtId="3" fontId="81" fillId="71" borderId="56" xfId="0" applyNumberFormat="1" applyFont="1" applyFill="1" applyBorder="1" applyAlignment="1">
      <alignment horizontal="center" vertical="center"/>
    </xf>
    <xf numFmtId="3" fontId="81" fillId="71" borderId="63" xfId="0" applyNumberFormat="1" applyFont="1" applyFill="1" applyBorder="1" applyAlignment="1">
      <alignment horizontal="center" vertical="center"/>
    </xf>
    <xf numFmtId="3" fontId="4" fillId="71" borderId="67" xfId="0" applyNumberFormat="1" applyFont="1" applyFill="1" applyBorder="1" applyAlignment="1">
      <alignment horizontal="center" vertical="center"/>
    </xf>
    <xf numFmtId="3" fontId="4" fillId="71" borderId="68" xfId="0" applyNumberFormat="1" applyFont="1" applyFill="1" applyBorder="1" applyAlignment="1">
      <alignment horizontal="center" vertical="center"/>
    </xf>
    <xf numFmtId="49" fontId="4" fillId="71" borderId="56" xfId="0" applyNumberFormat="1" applyFont="1" applyFill="1" applyBorder="1" applyAlignment="1">
      <alignment horizontal="center" vertical="center"/>
    </xf>
    <xf numFmtId="3" fontId="4" fillId="71" borderId="56" xfId="0" applyNumberFormat="1" applyFont="1" applyFill="1" applyBorder="1" applyAlignment="1">
      <alignment horizontal="left" vertical="center" wrapText="1"/>
    </xf>
    <xf numFmtId="0" fontId="4" fillId="0" borderId="56" xfId="0" applyFont="1" applyFill="1" applyBorder="1" applyAlignment="1">
      <alignment vertical="center"/>
    </xf>
    <xf numFmtId="0" fontId="4" fillId="71" borderId="56" xfId="0" applyFont="1" applyFill="1" applyBorder="1" applyAlignment="1">
      <alignment vertical="center" wrapText="1"/>
    </xf>
    <xf numFmtId="0" fontId="2" fillId="0" borderId="56" xfId="0" applyFont="1" applyFill="1" applyBorder="1" applyAlignment="1">
      <alignment horizontal="center" vertical="center"/>
    </xf>
    <xf numFmtId="3" fontId="2" fillId="0" borderId="56" xfId="0" applyNumberFormat="1" applyFont="1" applyFill="1" applyBorder="1" applyAlignment="1">
      <alignment horizontal="center" vertical="center"/>
    </xf>
    <xf numFmtId="3" fontId="2" fillId="0" borderId="67" xfId="0" applyNumberFormat="1" applyFont="1" applyFill="1" applyBorder="1" applyAlignment="1">
      <alignment horizontal="center" vertical="center"/>
    </xf>
    <xf numFmtId="3" fontId="2" fillId="0" borderId="68" xfId="0" applyNumberFormat="1" applyFont="1" applyFill="1" applyBorder="1" applyAlignment="1">
      <alignment horizontal="center" vertical="center"/>
    </xf>
    <xf numFmtId="49" fontId="2" fillId="0" borderId="56" xfId="0" applyNumberFormat="1" applyFont="1" applyFill="1" applyBorder="1" applyAlignment="1">
      <alignment horizontal="center" vertical="center"/>
    </xf>
    <xf numFmtId="3" fontId="2" fillId="0" borderId="56" xfId="0" applyNumberFormat="1" applyFont="1" applyFill="1" applyBorder="1" applyAlignment="1">
      <alignment horizontal="left" vertical="center" wrapText="1"/>
    </xf>
  </cellXfs>
  <cellStyles count="286">
    <cellStyle name="_x0005__x001c_" xfId="6"/>
    <cellStyle name="_Книга1" xfId="7"/>
    <cellStyle name="_Копия расшифровка св 411 ЦСЭЭ на тр." xfId="8"/>
    <cellStyle name="_Лист1" xfId="9"/>
    <cellStyle name="20% - Accent1" xfId="10"/>
    <cellStyle name="20% - Accent2" xfId="11"/>
    <cellStyle name="20% - Accent3" xfId="12"/>
    <cellStyle name="20% - Accent4" xfId="13"/>
    <cellStyle name="20% - Accent5" xfId="14"/>
    <cellStyle name="20% - Accent6" xfId="15"/>
    <cellStyle name="20% — акцент1" xfId="242" builtinId="30" customBuiltin="1"/>
    <cellStyle name="20% — акцент2" xfId="246" builtinId="34" customBuiltin="1"/>
    <cellStyle name="20% — акцент3" xfId="250" builtinId="38" customBuiltin="1"/>
    <cellStyle name="20% — акцент4" xfId="254" builtinId="42" customBuiltin="1"/>
    <cellStyle name="20% — акцент5" xfId="258" builtinId="46" customBuiltin="1"/>
    <cellStyle name="20% — акцент6" xfId="262" builtinId="50" customBuiltin="1"/>
    <cellStyle name="40% - Accent1" xfId="16"/>
    <cellStyle name="40% - Accent2" xfId="17"/>
    <cellStyle name="40% - Accent3" xfId="18"/>
    <cellStyle name="40% - Accent4" xfId="19"/>
    <cellStyle name="40% - Accent5" xfId="20"/>
    <cellStyle name="40% - Accent6" xfId="21"/>
    <cellStyle name="40% — акцент1" xfId="243" builtinId="31" customBuiltin="1"/>
    <cellStyle name="40% — акцент2" xfId="247" builtinId="35" customBuiltin="1"/>
    <cellStyle name="40% — акцент3" xfId="251" builtinId="39" customBuiltin="1"/>
    <cellStyle name="40% — акцент4" xfId="255" builtinId="43" customBuiltin="1"/>
    <cellStyle name="40% — акцент5" xfId="259" builtinId="47" customBuiltin="1"/>
    <cellStyle name="40% — акцент6" xfId="263" builtinId="51" customBuiltin="1"/>
    <cellStyle name="60% - Accent1" xfId="22"/>
    <cellStyle name="60% - Accent2" xfId="23"/>
    <cellStyle name="60% - Accent3" xfId="24"/>
    <cellStyle name="60% - Accent4" xfId="25"/>
    <cellStyle name="60% - Accent5" xfId="26"/>
    <cellStyle name="60% - Accent6" xfId="27"/>
    <cellStyle name="60% — акцент1" xfId="244" builtinId="32" customBuiltin="1"/>
    <cellStyle name="60% — акцент2" xfId="248" builtinId="36" customBuiltin="1"/>
    <cellStyle name="60% — акцент3" xfId="252" builtinId="40" customBuiltin="1"/>
    <cellStyle name="60% — акцент4" xfId="256" builtinId="44" customBuiltin="1"/>
    <cellStyle name="60% — акцент5" xfId="260" builtinId="48" customBuiltin="1"/>
    <cellStyle name="60% — акцент6" xfId="264" builtinId="52" customBuiltin="1"/>
    <cellStyle name="Accent1" xfId="28"/>
    <cellStyle name="Accent2" xfId="29"/>
    <cellStyle name="Accent3" xfId="30"/>
    <cellStyle name="Accent4" xfId="31"/>
    <cellStyle name="Accent5" xfId="32"/>
    <cellStyle name="Accent6" xfId="33"/>
    <cellStyle name="Bad" xfId="34"/>
    <cellStyle name="Calculation" xfId="35"/>
    <cellStyle name="Calculation 2" xfId="199"/>
    <cellStyle name="Cell1" xfId="36"/>
    <cellStyle name="Cell2" xfId="37"/>
    <cellStyle name="Cell3" xfId="38"/>
    <cellStyle name="Cell4" xfId="39"/>
    <cellStyle name="Cell5" xfId="40"/>
    <cellStyle name="Check Cell" xfId="41"/>
    <cellStyle name="Column1" xfId="42"/>
    <cellStyle name="Column2" xfId="43"/>
    <cellStyle name="Column3" xfId="44"/>
    <cellStyle name="Column4" xfId="45"/>
    <cellStyle name="Column5" xfId="46"/>
    <cellStyle name="Column7" xfId="47"/>
    <cellStyle name="Data" xfId="48"/>
    <cellStyle name="Explanatory Text" xfId="49"/>
    <cellStyle name="Good" xfId="50"/>
    <cellStyle name="Heading 1" xfId="51"/>
    <cellStyle name="Heading 2" xfId="52"/>
    <cellStyle name="Heading 3" xfId="53"/>
    <cellStyle name="Heading 4" xfId="54"/>
    <cellStyle name="Heading1" xfId="55"/>
    <cellStyle name="Heading2" xfId="56"/>
    <cellStyle name="Heading3" xfId="57"/>
    <cellStyle name="Heading4" xfId="58"/>
    <cellStyle name="Input" xfId="59"/>
    <cellStyle name="Input 2" xfId="204"/>
    <cellStyle name="Linked Cell" xfId="60"/>
    <cellStyle name="Name1" xfId="61"/>
    <cellStyle name="Name2" xfId="62"/>
    <cellStyle name="Name3" xfId="63"/>
    <cellStyle name="Name4" xfId="64"/>
    <cellStyle name="Name5" xfId="65"/>
    <cellStyle name="Neutral" xfId="66"/>
    <cellStyle name="Normal 5" xfId="67"/>
    <cellStyle name="Normal 6" xfId="68"/>
    <cellStyle name="Normal_CEI_Cost_v2.00_UK" xfId="69"/>
    <cellStyle name="Note" xfId="70"/>
    <cellStyle name="Note 2" xfId="203"/>
    <cellStyle name="Output" xfId="71"/>
    <cellStyle name="Output 2" xfId="202"/>
    <cellStyle name="Title" xfId="72"/>
    <cellStyle name="Title1" xfId="73"/>
    <cellStyle name="TitleCol1" xfId="74"/>
    <cellStyle name="TitleCol1 2" xfId="75"/>
    <cellStyle name="TitleCol1 2 2" xfId="198"/>
    <cellStyle name="TitleCol1 3" xfId="76"/>
    <cellStyle name="TitleCol1 3 2" xfId="205"/>
    <cellStyle name="TitleCol1 3 3" xfId="209"/>
    <cellStyle name="TitleCol1 4" xfId="77"/>
    <cellStyle name="TitleCol1 4 2" xfId="208"/>
    <cellStyle name="TitleCol1 4 3" xfId="212"/>
    <cellStyle name="TitleCol2" xfId="78"/>
    <cellStyle name="TitleCol2 2" xfId="79"/>
    <cellStyle name="TitleCol2 2 2" xfId="200"/>
    <cellStyle name="TitleCol2 3" xfId="80"/>
    <cellStyle name="TitleCol2 3 2" xfId="206"/>
    <cellStyle name="TitleCol2 3 3" xfId="210"/>
    <cellStyle name="TitleCol2 4" xfId="81"/>
    <cellStyle name="TitleCol2 4 2" xfId="207"/>
    <cellStyle name="TitleCol2 4 3" xfId="211"/>
    <cellStyle name="Total" xfId="82"/>
    <cellStyle name="Total 2" xfId="201"/>
    <cellStyle name="Warning Text" xfId="83"/>
    <cellStyle name="White1" xfId="84"/>
    <cellStyle name="White2" xfId="85"/>
    <cellStyle name="White3" xfId="86"/>
    <cellStyle name="White4" xfId="87"/>
    <cellStyle name="White5" xfId="88"/>
    <cellStyle name="Акцент1" xfId="241" builtinId="29" customBuiltin="1"/>
    <cellStyle name="Акцент2" xfId="245" builtinId="33" customBuiltin="1"/>
    <cellStyle name="Акцент3" xfId="249" builtinId="37" customBuiltin="1"/>
    <cellStyle name="Акцент4" xfId="253" builtinId="41" customBuiltin="1"/>
    <cellStyle name="Акцент5" xfId="257" builtinId="45" customBuiltin="1"/>
    <cellStyle name="Акцент6" xfId="261" builtinId="49" customBuiltin="1"/>
    <cellStyle name="Ввод " xfId="232" builtinId="20" customBuiltin="1"/>
    <cellStyle name="Вывод" xfId="233" builtinId="21" customBuiltin="1"/>
    <cellStyle name="Вычисление" xfId="234" builtinId="22" customBuiltin="1"/>
    <cellStyle name="Денежный 2" xfId="89"/>
    <cellStyle name="Денежный 3" xfId="197"/>
    <cellStyle name="Денежный 3 2" xfId="274"/>
    <cellStyle name="Заголовок 1" xfId="225" builtinId="16" customBuiltin="1"/>
    <cellStyle name="Заголовок 2" xfId="226" builtinId="17" customBuiltin="1"/>
    <cellStyle name="Заголовок 3" xfId="227" builtinId="18" customBuiltin="1"/>
    <cellStyle name="Заголовок 4" xfId="228" builtinId="19" customBuiltin="1"/>
    <cellStyle name="Итог" xfId="240" builtinId="25" customBuiltin="1"/>
    <cellStyle name="КАНДАГАЧ тел3-33-96" xfId="90"/>
    <cellStyle name="Контрольная ячейка" xfId="236" builtinId="23" customBuiltin="1"/>
    <cellStyle name="Название" xfId="224" builtinId="15" customBuiltin="1"/>
    <cellStyle name="Нейтральный" xfId="231" builtinId="28" customBuiltin="1"/>
    <cellStyle name="Обычный" xfId="0" builtinId="0"/>
    <cellStyle name="Обычный 10" xfId="91"/>
    <cellStyle name="Обычный 10 2" xfId="4"/>
    <cellStyle name="Обычный 10 2 2" xfId="92"/>
    <cellStyle name="Обычный 11" xfId="93"/>
    <cellStyle name="Обычный 11 2" xfId="94"/>
    <cellStyle name="Обычный 11 2 2" xfId="275"/>
    <cellStyle name="Обычный 115" xfId="95"/>
    <cellStyle name="Обычный 12" xfId="96"/>
    <cellStyle name="Обычный 12 2" xfId="97"/>
    <cellStyle name="Обычный 12 2 2" xfId="215"/>
    <cellStyle name="Обычный 13" xfId="213"/>
    <cellStyle name="Обычный 13 2" xfId="98"/>
    <cellStyle name="Обычный 14" xfId="99"/>
    <cellStyle name="Обычный 14 2" xfId="100"/>
    <cellStyle name="Обычный 15" xfId="101"/>
    <cellStyle name="Обычный 15 2" xfId="102"/>
    <cellStyle name="Обычный 151" xfId="285"/>
    <cellStyle name="Обычный 16" xfId="103"/>
    <cellStyle name="Обычный 17" xfId="104"/>
    <cellStyle name="Обычный 18" xfId="105"/>
    <cellStyle name="Обычный 19" xfId="106"/>
    <cellStyle name="Обычный 2" xfId="1"/>
    <cellStyle name="Обычный 2 10" xfId="107"/>
    <cellStyle name="Обычный 2 11" xfId="108"/>
    <cellStyle name="Обычный 2 12" xfId="109"/>
    <cellStyle name="Обычный 2 13" xfId="110"/>
    <cellStyle name="Обычный 2 14" xfId="111"/>
    <cellStyle name="Обычный 2 15" xfId="112"/>
    <cellStyle name="Обычный 2 16" xfId="113"/>
    <cellStyle name="Обычный 2 17" xfId="3"/>
    <cellStyle name="Обычный 2 2" xfId="114"/>
    <cellStyle name="Обычный 2 2 2" xfId="115"/>
    <cellStyle name="Обычный 2 2 3" xfId="116"/>
    <cellStyle name="Обычный 2 2 3 3" xfId="271"/>
    <cellStyle name="Обычный 2 2_Трансфузиология" xfId="117"/>
    <cellStyle name="Обычный 2 3" xfId="118"/>
    <cellStyle name="Обычный 2 3 2" xfId="119"/>
    <cellStyle name="Обычный 2 3 3" xfId="284"/>
    <cellStyle name="Обычный 2 3 4" xfId="269"/>
    <cellStyle name="Обычный 2 4" xfId="120"/>
    <cellStyle name="Обычный 2 5" xfId="121"/>
    <cellStyle name="Обычный 2 6" xfId="122"/>
    <cellStyle name="Обычный 2 7" xfId="123"/>
    <cellStyle name="Обычный 2 8" xfId="124"/>
    <cellStyle name="Обычный 2 9" xfId="125"/>
    <cellStyle name="Обычный 2_Свод на  мед. оборудование - 2011г отд коррект." xfId="126"/>
    <cellStyle name="Обычный 20" xfId="127"/>
    <cellStyle name="Обычный 21" xfId="223"/>
    <cellStyle name="Обычный 22" xfId="265"/>
    <cellStyle name="Обычный 23" xfId="266"/>
    <cellStyle name="Обычный 24" xfId="128"/>
    <cellStyle name="Обычный 25" xfId="267"/>
    <cellStyle name="Обычный 26" xfId="129"/>
    <cellStyle name="Обычный 26 2" xfId="130"/>
    <cellStyle name="Обычный 3" xfId="131"/>
    <cellStyle name="Обычный 3 10" xfId="132"/>
    <cellStyle name="Обычный 3 11" xfId="133"/>
    <cellStyle name="Обычный 3 12" xfId="134"/>
    <cellStyle name="Обычный 3 2" xfId="135"/>
    <cellStyle name="Обычный 3 3" xfId="136"/>
    <cellStyle name="Обычный 3 4" xfId="137"/>
    <cellStyle name="Обычный 3 4 2" xfId="138"/>
    <cellStyle name="Обычный 3 5" xfId="139"/>
    <cellStyle name="Обычный 3 5 2" xfId="140"/>
    <cellStyle name="Обычный 3 5 3" xfId="217"/>
    <cellStyle name="Обычный 3 6" xfId="141"/>
    <cellStyle name="Обычный 3 7" xfId="142"/>
    <cellStyle name="Обычный 3 8" xfId="143"/>
    <cellStyle name="Обычный 3 9" xfId="144"/>
    <cellStyle name="Обычный 3_Копия РГП РЦК 17696,9 1" xfId="145"/>
    <cellStyle name="Обычный 32" xfId="146"/>
    <cellStyle name="Обычный 33" xfId="147"/>
    <cellStyle name="Обычный 34" xfId="148"/>
    <cellStyle name="Обычный 35" xfId="149"/>
    <cellStyle name="Обычный 4" xfId="150"/>
    <cellStyle name="Обычный 4 10" xfId="151"/>
    <cellStyle name="Обычный 4 11" xfId="152"/>
    <cellStyle name="Обычный 4 2" xfId="153"/>
    <cellStyle name="Обычный 4 2 2 2" xfId="273"/>
    <cellStyle name="Обычный 4 3" xfId="154"/>
    <cellStyle name="Обычный 4 3 2" xfId="221"/>
    <cellStyle name="Обычный 4 4" xfId="155"/>
    <cellStyle name="Обычный 4 5" xfId="156"/>
    <cellStyle name="Обычный 4 5 2" xfId="157"/>
    <cellStyle name="Обычный 4 6" xfId="158"/>
    <cellStyle name="Обычный 4 7" xfId="159"/>
    <cellStyle name="Обычный 4 8" xfId="160"/>
    <cellStyle name="Обычный 4 9" xfId="161"/>
    <cellStyle name="Обычный 44_Копия План ГЗ в УЗ" xfId="162"/>
    <cellStyle name="Обычный 5" xfId="163"/>
    <cellStyle name="Обычный 5 10" xfId="164"/>
    <cellStyle name="Обычный 5 2" xfId="165"/>
    <cellStyle name="Обычный 5 2 2" xfId="279"/>
    <cellStyle name="Обычный 5 28" xfId="283"/>
    <cellStyle name="Обычный 5 3" xfId="166"/>
    <cellStyle name="Обычный 5 3 2" xfId="272"/>
    <cellStyle name="Обычный 5 4" xfId="167"/>
    <cellStyle name="Обычный 5 5" xfId="168"/>
    <cellStyle name="Обычный 5 6" xfId="169"/>
    <cellStyle name="Обычный 5 7" xfId="170"/>
    <cellStyle name="Обычный 5 8" xfId="171"/>
    <cellStyle name="Обычный 5 9" xfId="172"/>
    <cellStyle name="Обычный 6" xfId="173"/>
    <cellStyle name="Обычный 6 11" xfId="174"/>
    <cellStyle name="Обычный 6 2" xfId="175"/>
    <cellStyle name="Обычный 6 3" xfId="176"/>
    <cellStyle name="Обычный 6 4" xfId="177"/>
    <cellStyle name="Обычный 7" xfId="178"/>
    <cellStyle name="Обычный 7 2" xfId="179"/>
    <cellStyle name="Обычный 7 6" xfId="180"/>
    <cellStyle name="Обычный 7 7" xfId="181"/>
    <cellStyle name="Обычный 8" xfId="182"/>
    <cellStyle name="Обычный 8 2" xfId="183"/>
    <cellStyle name="Обычный 8 3" xfId="184"/>
    <cellStyle name="Обычный 8 6" xfId="282"/>
    <cellStyle name="Обычный 8 7" xfId="277"/>
    <cellStyle name="Обычный 9" xfId="185"/>
    <cellStyle name="Обычный 9 2" xfId="186"/>
    <cellStyle name="Обычный 9 3" xfId="218"/>
    <cellStyle name="Обычный 9 8" xfId="187"/>
    <cellStyle name="Обычный 9 9" xfId="188"/>
    <cellStyle name="Плохой" xfId="230" builtinId="27" customBuiltin="1"/>
    <cellStyle name="Пояснение" xfId="239" builtinId="53" customBuiltin="1"/>
    <cellStyle name="Примечание" xfId="238" builtinId="10" customBuiltin="1"/>
    <cellStyle name="Процентный 2" xfId="2"/>
    <cellStyle name="Процентный 3" xfId="189"/>
    <cellStyle name="Связанная ячейка" xfId="235" builtinId="24" customBuiltin="1"/>
    <cellStyle name="Стиль 1" xfId="190"/>
    <cellStyle name="Стиль 1 2" xfId="191"/>
    <cellStyle name="Стиль 1 2 2" xfId="219"/>
    <cellStyle name="Стиль 1 3" xfId="216"/>
    <cellStyle name="Текст предупреждения" xfId="237" builtinId="11" customBuiltin="1"/>
    <cellStyle name="Финансовый 13" xfId="214"/>
    <cellStyle name="Финансовый 13 2" xfId="268"/>
    <cellStyle name="Финансовый 13 2 2" xfId="280"/>
    <cellStyle name="Финансовый 2" xfId="192"/>
    <cellStyle name="Финансовый 2 13" xfId="276"/>
    <cellStyle name="Финансовый 2 2" xfId="281"/>
    <cellStyle name="Финансовый 3" xfId="5"/>
    <cellStyle name="Финансовый 4" xfId="193"/>
    <cellStyle name="Финансовый 4 2" xfId="222"/>
    <cellStyle name="Финансовый 5" xfId="194"/>
    <cellStyle name="Финансовый 5 2 2" xfId="278"/>
    <cellStyle name="Финансовый 5 3 2" xfId="270"/>
    <cellStyle name="Финансовый 6" xfId="195"/>
    <cellStyle name="Финансовый 6 2" xfId="220"/>
    <cellStyle name="Финансовый 7" xfId="196"/>
    <cellStyle name="Хороший" xfId="229" builtinId="26" customBuiltin="1"/>
  </cellStyles>
  <dxfs count="0"/>
  <tableStyles count="0" defaultTableStyle="TableStyleMedium2" defaultPivotStyle="PivotStyleLight16"/>
  <colors>
    <mruColors>
      <color rgb="FF00CCFF"/>
      <color rgb="FFFF3300"/>
      <color rgb="FF00FFFF"/>
      <color rgb="FF00CC00"/>
      <color rgb="FF00FF00"/>
      <color rgb="FF66FF99"/>
      <color rgb="FFCCFF66"/>
      <color rgb="FFCCCCFF"/>
      <color rgb="FF0099CC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307943</xdr:colOff>
      <xdr:row>12</xdr:row>
      <xdr:rowOff>56038</xdr:rowOff>
    </xdr:from>
    <xdr:ext cx="160557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679793" y="3056413"/>
          <a:ext cx="160557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ru-RU" sz="1100"/>
            <a:t>ПР</a:t>
          </a:r>
        </a:p>
      </xdr:txBody>
    </xdr:sp>
    <xdr:clientData/>
  </xdr:oneCellAnchor>
  <xdr:oneCellAnchor>
    <xdr:from>
      <xdr:col>11</xdr:col>
      <xdr:colOff>403193</xdr:colOff>
      <xdr:row>12</xdr:row>
      <xdr:rowOff>9525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080593" y="3009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438150</xdr:colOff>
      <xdr:row>12</xdr:row>
      <xdr:rowOff>28575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0115550" y="302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documents/&#1055;&#1088;&#1086;&#1077;&#1082;&#1090;&#1099;/&#1040;&#1076;&#1088;&#1077;&#1089;&#1085;&#1099;&#1081;%20&#1088;&#1077;&#1075;&#1080;&#1089;&#1090;&#1088;/&#1053;&#1086;&#1088;&#1084;&#1072;&#1090;&#1080;&#1074;&#1085;&#1086;-&#1090;&#1077;&#1093;&#1085;&#1080;&#1095;&#1077;&#1089;&#1082;&#1072;&#1103;%20&#1076;&#1086;&#1082;&#1091;&#1084;&#1077;&#1085;&#1090;&#1072;&#1094;&#1080;&#1103;/&#1058;&#1069;&#1054;/&#1040;&#1076;&#1088;&#1077;&#1089;&#1085;&#1099;&#1081;%20&#1088;&#1077;&#1075;&#1080;&#1089;&#1090;&#1088;120120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ZHANIBEK/Telemedicina/documents/&#1055;&#1088;&#1086;&#1077;&#1082;&#1090;&#1099;/&#1040;&#1076;&#1088;&#1077;&#1089;&#1085;&#1099;&#1081;%20&#1088;&#1077;&#1075;&#1080;&#1089;&#1090;&#1088;/&#1053;&#1086;&#1088;&#1084;&#1072;&#1090;&#1080;&#1074;&#1085;&#1086;-&#1090;&#1077;&#1093;&#1085;&#1080;&#1095;&#1077;&#1089;&#1082;&#1072;&#1103;%20&#1076;&#1086;&#1082;&#1091;&#1084;&#1077;&#1085;&#1090;&#1072;&#1094;&#1080;&#1103;/&#1058;&#1069;&#1054;/&#1040;&#1076;&#1088;&#1077;&#1089;&#1085;&#1099;&#1081;%20&#1088;&#1077;&#1075;&#1080;&#1089;&#1090;&#1088;1201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Documents%20and%20Settings/&#1040;&#1076;&#1084;&#1080;&#1085;&#1080;&#1089;&#1090;&#1088;&#1072;&#1090;&#1086;&#1088;.R/&#1056;&#1072;&#1073;&#1086;&#1095;&#1080;&#1081;%20&#1089;&#1090;&#1086;&#1083;/&#1041;&#1080;&#1075;&#1072;&#1088;&#1080;&#1085;&#1086;&#1074;/&#1055;&#1088;&#1080;&#1083;&#1086;&#1078;&#1077;&#1085;&#1080;&#1103;%20&#1087;&#1086;&#1089;&#1083;&#1077;&#1076;&#1085;&#1080;&#107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WINDOWS/TEMP/&#1052;&#1086;&#1080;%20&#1076;&#1086;&#1082;&#1091;&#1084;&#1077;&#1085;&#1090;&#1099;/&#1053;&#1086;&#1074;&#1072;&#1103;%20&#1087;&#1072;&#1087;&#1082;&#1072;/Avtobaza/&#1073;_&#1087;&#1083;&#1072;&#1085;%202002&#1075;/&#1042;&#1072;&#1088;&#1080;&#1072;&#1085;&#1090;&#1099;%20&#1088;&#1072;&#1089;&#1095;_&#1072;&#1084;&#1086;&#1088;&#1090;&#1080;&#1079;/&#1053;&#1077;&#1090;_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Nataly_d1/2002_&#1090;&#1072;&#1073;&#1083;/&#1047;&#1072;&#1089;&#1090;&#1072;&#1074;&#1082;&#1072;/&#1052;&#1086;&#1080;%20&#1076;&#1086;&#1082;&#1091;&#1084;&#1077;&#1085;&#1090;&#1099;/&#1073;&#1102;&#1076;&#1078;&#1077;&#1090;/1/AN_12M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ova_S.RC/Desktop/&#1055;&#1083;&#1072;&#1085;%20&#1088;&#1072;&#1079;&#1074;&#1080;&#1090;&#1080;&#1103;%20&#1085;&#1072;%202014%20&#1075;&#1086;&#1076;%20&#1074;&#1077;&#1088;&#1089;&#1080;&#1103;%201%20&#1056;&#1062;&#1056;&#1047;%20&#1080;%20&#1056;&#1062;&#1069;&#1047;/&#1057;&#1084;&#1077;&#1090;&#1099;%20&#1085;&#1072;%202012%20&#1075;&#1086;&#1076;/&#1057;&#1052;&#1077;&#1090;&#1072;%20&#1044;&#1057;&#1054;&#1052;&#1055;/Users/BODRYZ~1/AppData/Local/Temp/&#1082;%20&#1087;&#1103;&#1090;&#1085;&#1080;&#1094;&#1077;/&#1050;&#1086;&#1087;&#1080;&#1103;_2010_KAZ_NHA_Work_Plan_Tool_Nov_23_&#1088;&#1091;&#1089;333&#1055;&#1083;&#1072;&#1085;_&#1080;_&#1073;&#1102;&#1076;&#1078;&#1077;&#1090;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7CA4FB80/&#1055;&#1088;&#1080;&#1083;&#1086;&#1078;&#1077;&#1085;&#1080;&#1103;%20&#1087;&#1086;&#1089;&#1083;&#1077;&#1076;&#1085;&#1080;&#107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64;&#1072;&#1073;&#1083;&#1086;&#1085;%20&#1087;&#1083;&#1072;&#1085;&#1072;%20&#1043;&#1047;_ru_v38_201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B4666C54/&#1059;&#1090;&#1074;&#1077;&#1088;&#1076;&#1080;&#1090;&#1100;%20%20&#1087;&#1086;&#1089;&#1083;.%20&#1074;&#1072;&#1088;&#1080;&#1072;&#1085;&#1090;%20&#1070;&#1050;&#105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WINDOWS/TEMP/&#1052;&#1086;&#1080;%20&#1076;&#1086;&#1082;&#1091;&#1084;&#1077;&#1085;&#1090;&#1099;/&#1053;&#1086;&#1074;&#1072;&#1103;%20&#1087;&#1072;&#1087;&#1082;&#1072;/Avtobaza/&#1073;_&#1087;&#1083;&#1072;&#1085;%202002&#1075;/&#1042;&#1072;&#1088;&#1080;&#1072;&#1085;&#1090;&#1099;%20&#1088;&#1072;&#1089;&#1095;_&#1072;&#1084;&#1086;&#1088;&#1090;&#1080;&#1079;/&#1059;&#1090;&#1074;&#1077;&#1088;&#1078;&#1076;&#1077;&#1085;&#1086;_2002&#1075;.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EC0DE7E/&#1055;&#1088;&#1080;&#1083;&#1086;&#1078;&#1077;&#1085;&#1080;&#1103;%20&#1087;&#1086;&#1089;&#1083;&#1077;&#1076;&#1085;&#1080;&#107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Documents%20and%20Settings/Ainur/&#1056;&#1072;&#1073;&#1086;&#1095;&#1080;&#1081;%20&#1089;&#1090;&#1086;&#1083;/byxgalter/&#1064;&#1072;&#1073;&#1083;&#1086;&#1085;%20&#1087;&#1083;&#1072;&#1085;&#1072;%202010_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0;&#1072;&#1088;&#1072;&#1075;&#1072;&#1085;&#1076;&#107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10DE077E/&#1059;&#1090;&#1074;&#1077;&#1088;&#1076;&#1080;&#1090;&#1100;%20%20&#1087;&#1086;&#1089;&#1083;.%20&#1074;&#1072;&#1088;&#1080;&#1072;&#1085;&#1090;%20&#1070;&#1050;&#105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&#1054;&#1073;&#1097;&#1080;&#1081;/&#1055;&#1083;&#1072;&#1085;%20&#1088;&#1072;&#1079;&#1074;&#1080;&#1090;&#1080;&#1103;%20&#1085;&#1072;%202016%20&#1075;&#1086;&#1076;%20(&#1074;&#1077;&#1088;&#1089;&#1080;&#1103;%201)/&#1057;&#1042;&#1054;&#1044;/&#1055;&#1043;&#1047;%202015%20&#1075;&#1086;&#1076;/&#1064;&#1072;&#1073;&#1083;&#1086;&#1085;%20&#1087;&#1083;&#1072;&#1085;&#1072;%20&#1043;&#1047;_ru_v51_2014%20&#1075;&#1086;&#107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65/econom/Documents%20and%20Settings/saktapbergenova_a/Application%20Data/Microsoft/Excel/Documents%20and%20Settings/User/&#1056;&#1072;&#1073;&#1086;&#1095;&#1080;&#1081;%20&#1089;&#1090;&#1086;&#1083;/1729%202011/&#1055;&#1043;&#1047;%20&#1085;&#1072;%202011%20&#1075;&#1086;&#1076;/&#1082;&#1072;&#1085;&#1072;&#1090;%20&#1075;&#1086;&#1090;&#1086;&#1074;&#1086;%20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&#1044;&#1086;&#1082;&#1091;&#1084;&#1077;&#1085;&#1090;&#1099;%20-%20&#1057;&#1072;&#1103;&#1087;&#1080;&#1085;&#1072;%20&#1045;.&#1057;/&#1045;&#1083;&#1077;&#1085;&#1072;/&#1088;&#1072;&#1079;&#1085;&#1086;&#1077;/&#1040;&#1057;&#1090;&#1072;&#1085;&#1072;/&#1041;&#1091;&#1093;2011%20&#1075;/&#1059;&#1090;&#1074;&#1077;&#1088;&#1076;&#1080;&#1090;&#1100;%20%20&#1087;&#1086;&#1089;&#1083;.%20&#1074;&#1072;&#1088;&#1080;&#1072;&#1085;&#1090;%20&#1070;&#1050;&#105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&#1040;&#1057;&#1090;&#1072;&#1085;&#1072;/&#1041;&#1091;&#1093;2011%20&#1075;/&#1059;&#1090;&#1074;&#1077;&#1088;&#1076;&#1080;&#1090;&#1100;%20%20&#1087;&#1086;&#1089;&#1083;.%20&#1074;&#1072;&#1088;&#1080;&#1072;&#1085;&#1090;%20&#1070;&#1050;&#105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F352CC29/&#1055;&#1088;&#1080;&#1083;&#1086;&#1078;&#1077;&#1085;&#1080;&#1103;%20&#1087;&#1086;&#1089;&#1083;&#1077;&#1076;&#1085;&#1080;&#1077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40;&#1057;&#1090;&#1072;&#1085;&#1072;\&#1041;&#1091;&#1093;2011%20&#1075;\&#1059;&#1090;&#1074;&#1077;&#1088;&#1076;&#1080;&#1090;&#1100;%20&#1088;&#1077;&#1076;&#1072;&#1082;&#1090;%20&#1070;&#1050;&#105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sainov-nk/Desktop/2016%20&#1055;&#1083;&#1072;&#1085;%20&#1088;&#1072;&#1079;&#1074;&#1080;&#1090;&#1080;&#1103;/&#1056;&#1062;&#1069;&#1047;/&#1055;&#1051;&#1040;&#1053;%20&#1056;&#1040;&#1047;&#1042;&#1048;&#1058;&#1048;&#1071;%20&#1056;&#1043;&#1055;%20&#1056;&#1062;&#1069;&#1047;%202016%20(1)/&#1056;&#1072;&#1089;&#1093;&#1086;&#1076;&#1085;&#1072;&#1103;%20&#1095;&#1072;&#1089;&#1090;&#1100;/Documents%20and%20Settings/&#1040;&#1076;&#1084;&#1080;&#1085;&#1080;&#1089;&#1090;&#1088;&#1072;&#1090;&#1086;&#1088;.R/&#1056;&#1072;&#1073;&#1086;&#1095;&#1080;&#1081;%20&#1089;&#1090;&#1086;&#1083;/&#1040;&#1076;&#1088;&#1077;&#1089;&#1085;&#1099;&#1081;%20&#1088;&#1077;&#1075;&#1080;&#1089;&#1090;&#1088;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пред доход"/>
      <sheetName val="1"/>
      <sheetName val="2"/>
      <sheetName val="3"/>
      <sheetName val="4"/>
      <sheetName val="5"/>
      <sheetName val="6"/>
      <sheetName val="7"/>
      <sheetName val="8"/>
      <sheetName val="9"/>
      <sheetName val="11"/>
      <sheetName val="Диаграмма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пред доход"/>
      <sheetName val="1"/>
      <sheetName val="2"/>
      <sheetName val="3"/>
      <sheetName val="4"/>
      <sheetName val="5"/>
      <sheetName val="6"/>
      <sheetName val="7"/>
      <sheetName val="8"/>
      <sheetName val="9"/>
      <sheetName val="11"/>
      <sheetName val="Диаграмма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нализ"/>
      <sheetName val="П.2"/>
      <sheetName val="П.3"/>
      <sheetName val="4"/>
      <sheetName val="П. 5"/>
      <sheetName val="П.6"/>
      <sheetName val="П.7"/>
      <sheetName val="П.8"/>
      <sheetName val="П.9"/>
      <sheetName val="NPV IRR"/>
      <sheetName val="П. 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робег"/>
      <sheetName val="ст-ть"/>
      <sheetName val="Автобаза"/>
      <sheetName val="Нацбанк"/>
      <sheetName val="Гату"/>
      <sheetName val="ЦКО"/>
      <sheetName val="БФ"/>
      <sheetName val="Фонд"/>
      <sheetName val="Тариф"/>
      <sheetName val="расп приб"/>
      <sheetName val="движ.ден 4"/>
      <sheetName val="8 движ денег"/>
      <sheetName val="уставный"/>
      <sheetName val="з-плата послед-проверено"/>
      <sheetName val="Свод ФОТ-проверено"/>
      <sheetName val="фин план утвержд"/>
      <sheetName val="Тариф (2)"/>
      <sheetName val="фин план"/>
      <sheetName val="прям"/>
      <sheetName val="накл"/>
      <sheetName val="расх  пер"/>
      <sheetName val="прочие прямые"/>
      <sheetName val="тран-свод 21"/>
      <sheetName val="свод затрат 7"/>
      <sheetName val="смета 1 8"/>
      <sheetName val="Свот ФОТ-2"/>
      <sheetName val="ФОТ-вар Абдул"/>
      <sheetName val="соц.выпл12а"/>
      <sheetName val="подг кадр 13"/>
      <sheetName val="команд 14"/>
      <sheetName val=" команд (2) 15"/>
      <sheetName val="аморт свод 16"/>
      <sheetName val="амр.приоб. 18"/>
      <sheetName val="матер1 19"/>
      <sheetName val="матер2 20 "/>
      <sheetName val="трансп Автобазы 22"/>
      <sheetName val="связь 23"/>
      <sheetName val="коммун 24"/>
      <sheetName val="ремонт 25"/>
      <sheetName val="охрана 25а"/>
      <sheetName val="пер. изд 27"/>
      <sheetName val="нормы бенз 02г."/>
      <sheetName val="предст 28"/>
      <sheetName val="усл.банка 28а"/>
      <sheetName val="аренда 29"/>
      <sheetName val="аудит 30"/>
      <sheetName val="налоги 31"/>
      <sheetName val="трансп-расш 32"/>
      <sheetName val="Тариф анализ"/>
      <sheetName val="анализ на  1"/>
      <sheetName val="нормы бен 01г"/>
      <sheetName val="2"/>
      <sheetName val="амр тек "/>
      <sheetName val="кальк 2 (2)"/>
      <sheetName val="товар прод3 (2)"/>
      <sheetName val="движ.ден 4 (2)"/>
      <sheetName val="кальк 2"/>
      <sheetName val="товар прод3"/>
      <sheetName val="фин отч 5"/>
      <sheetName val="Анализ ФОТ"/>
      <sheetName val="з-плата"/>
      <sheetName val="Контр"/>
      <sheetName val="ФОТ-расш. Асим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10">
          <cell r="B10" t="str">
            <v>В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юдж."/>
      <sheetName val="исп.см."/>
      <sheetName val="адм.расх."/>
      <sheetName val="исп.бюд."/>
      <sheetName val="исп.бюд. (2)"/>
      <sheetName val="исп.бюд. (3)"/>
      <sheetName val="Динамика"/>
      <sheetName val="Динамика (2)"/>
      <sheetName val="мат-лы"/>
      <sheetName val="бюд.цент за 12 м.с об рас"/>
      <sheetName val="A93-98"/>
      <sheetName val="ремонт 25"/>
      <sheetName val="Форма2"/>
      <sheetName val="из сем"/>
      <sheetName val="Форма1"/>
      <sheetName val="Добыча нефти4"/>
      <sheetName val="поставка сравн13"/>
      <sheetName val="7.аффил"/>
      <sheetName val="8.банк"/>
      <sheetName val="10.ОСГПО"/>
      <sheetName val="6.повыш квалиф"/>
      <sheetName val="3.Командировоч"/>
      <sheetName val="11.материалы"/>
      <sheetName val="4.представит"/>
      <sheetName val="12.проч"/>
      <sheetName val="5.связь"/>
      <sheetName val="9.соцпрог"/>
      <sheetName val="1. ФОТ"/>
      <sheetName val="Пр2"/>
      <sheetName val="Sheet2"/>
      <sheetName val=".List"/>
      <sheetName val="Дт-Кт"/>
      <sheetName val="Kolommen_bala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ities"/>
      <sheetName val="Environment"/>
      <sheetName val="Resources"/>
      <sheetName val="Data Sources and Collection"/>
      <sheetName val="Data Management"/>
      <sheetName val="Information Products"/>
      <sheetName val="Quality and Validity"/>
      <sheetName val="Dissemination and Use"/>
      <sheetName val="Бюджет по годам и источникам"/>
      <sheetName val="Диаграмма3"/>
      <sheetName val="Диаграмма4"/>
      <sheetName val="Aggregate Budge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 t="str">
            <v>Government</v>
          </cell>
        </row>
        <row r="3">
          <cell r="B3" t="str">
            <v>Donor</v>
          </cell>
        </row>
        <row r="4">
          <cell r="B4" t="str">
            <v>Other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нализ"/>
      <sheetName val="П.2"/>
      <sheetName val="П.3"/>
      <sheetName val="4"/>
      <sheetName val="П. 5"/>
      <sheetName val="П.6"/>
      <sheetName val="П.7"/>
      <sheetName val="П.8"/>
      <sheetName val="П.9"/>
      <sheetName val="NPV IRR"/>
      <sheetName val="П. 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лан ГЗ"/>
      <sheetName val="Фонд"/>
      <sheetName val="ФКРБ"/>
      <sheetName val="ЭКРБ"/>
      <sheetName val="Источник финансирования"/>
      <sheetName val="Способ закупки"/>
      <sheetName val="Вид предмета"/>
      <sheetName val="Месяцы"/>
      <sheetName val="Год"/>
      <sheetName val="Тип пункта плана"/>
      <sheetName val="КАТО"/>
      <sheetName val="Служебный ФКРБ"/>
      <sheetName val="КТРУ_Товары_часть1"/>
      <sheetName val="КТРУ_Товары_часть2"/>
      <sheetName val="КТРУ_Товары_часть3"/>
      <sheetName val="КТРУ_Работы"/>
      <sheetName val="КТРУ_Услуги"/>
      <sheetName val="Лист1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01 Конкурс</v>
          </cell>
        </row>
        <row r="2">
          <cell r="A2" t="str">
            <v>02 Конкурс посредством электронных закупок</v>
          </cell>
        </row>
        <row r="3">
          <cell r="A3" t="str">
            <v>03 Конкурс с применением двухэтапных процедур</v>
          </cell>
        </row>
        <row r="4">
          <cell r="A4" t="str">
            <v>04 Конкурс с применением двухэтапных процедур посредством электронных закупок</v>
          </cell>
        </row>
        <row r="5">
          <cell r="A5" t="str">
            <v>05 Запрос ценовых предложений посредством электронных закупок</v>
          </cell>
        </row>
        <row r="6">
          <cell r="A6" t="str">
            <v>06 Из одного источника</v>
          </cell>
        </row>
        <row r="7">
          <cell r="A7" t="str">
            <v>07 Из одного источника посредством электронных закупок</v>
          </cell>
        </row>
        <row r="8">
          <cell r="A8" t="str">
            <v xml:space="preserve">08 Аукцион </v>
          </cell>
        </row>
        <row r="9">
          <cell r="A9" t="str">
            <v xml:space="preserve">09 Через открытые товарные биржи </v>
          </cell>
        </row>
        <row r="10">
          <cell r="A10" t="str">
            <v xml:space="preserve">10 Особый порядок </v>
          </cell>
        </row>
        <row r="11">
          <cell r="A11" t="str">
            <v>11 Специальный порядок</v>
          </cell>
        </row>
        <row r="12">
          <cell r="A12" t="str">
            <v>12 Без применения норм Закона (статья 4 Закона «О государственных закупках»)</v>
          </cell>
        </row>
        <row r="13">
          <cell r="A13" t="str">
            <v>13 Изменение договора (пп. 3) п. 2 ст. 39 Закона «О государственных закупках»)</v>
          </cell>
        </row>
        <row r="14">
          <cell r="A14" t="str">
            <v>14 Продление договора (п. 9 ст. 5 Закона «О государственных закупках»)</v>
          </cell>
        </row>
      </sheetData>
      <sheetData sheetId="6">
        <row r="1">
          <cell r="A1" t="str">
            <v>Товар</v>
          </cell>
        </row>
        <row r="2">
          <cell r="A2" t="str">
            <v>Работа</v>
          </cell>
        </row>
        <row r="3">
          <cell r="A3" t="str">
            <v>Услуга</v>
          </cell>
        </row>
      </sheetData>
      <sheetData sheetId="7">
        <row r="1">
          <cell r="A1" t="str">
            <v>01 Январь</v>
          </cell>
        </row>
      </sheetData>
      <sheetData sheetId="8" refreshError="1"/>
      <sheetData sheetId="9">
        <row r="1">
          <cell r="A1" t="str">
            <v>01 Закупки, не превышающие финансовый год</v>
          </cell>
        </row>
      </sheetData>
      <sheetData sheetId="10">
        <row r="2">
          <cell r="A2" t="str">
            <v>110000000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лан ГЗ end"/>
      <sheetName val="План ГЗ"/>
      <sheetName val="Фонд"/>
      <sheetName val="ФКРБ"/>
      <sheetName val="ЭКРБ"/>
      <sheetName val="Источник финансирования"/>
      <sheetName val="КПВЭД"/>
      <sheetName val="Способ закупки"/>
      <sheetName val="Вид предмета"/>
      <sheetName val="ОКЕИ"/>
      <sheetName val="Месяцы"/>
      <sheetName val="КАТО"/>
      <sheetName val="Год"/>
      <sheetName val="Тип пункта плана"/>
      <sheetName val="Служебный ФКР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111 Оплата труда</v>
          </cell>
        </row>
      </sheetData>
      <sheetData sheetId="6">
        <row r="1">
          <cell r="A1" t="str">
            <v>1 Бюджет</v>
          </cell>
        </row>
      </sheetData>
      <sheetData sheetId="7" refreshError="1"/>
      <sheetData sheetId="8">
        <row r="1">
          <cell r="A1" t="str">
            <v>01 Конкурс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>
        <row r="2">
          <cell r="A2">
            <v>101</v>
          </cell>
          <cell r="C2" t="str">
            <v>000</v>
          </cell>
        </row>
        <row r="3">
          <cell r="C3" t="str">
            <v>004</v>
          </cell>
        </row>
        <row r="4">
          <cell r="C4" t="str">
            <v>005</v>
          </cell>
        </row>
        <row r="5">
          <cell r="C5" t="str">
            <v>006</v>
          </cell>
        </row>
        <row r="6">
          <cell r="C6" t="str">
            <v>011</v>
          </cell>
        </row>
        <row r="7">
          <cell r="C7" t="str">
            <v>013</v>
          </cell>
        </row>
        <row r="8">
          <cell r="C8" t="str">
            <v>015</v>
          </cell>
        </row>
        <row r="9">
          <cell r="C9" t="str">
            <v>016</v>
          </cell>
        </row>
        <row r="10">
          <cell r="C10" t="str">
            <v>018</v>
          </cell>
        </row>
        <row r="11">
          <cell r="C11" t="str">
            <v>022</v>
          </cell>
        </row>
        <row r="12">
          <cell r="C12" t="str">
            <v>023</v>
          </cell>
        </row>
        <row r="13">
          <cell r="C13" t="str">
            <v>024</v>
          </cell>
        </row>
        <row r="14">
          <cell r="C14" t="str">
            <v>025</v>
          </cell>
        </row>
        <row r="15">
          <cell r="C15" t="str">
            <v>026</v>
          </cell>
        </row>
        <row r="16">
          <cell r="C16" t="str">
            <v>027</v>
          </cell>
        </row>
        <row r="17">
          <cell r="C17" t="str">
            <v>028</v>
          </cell>
        </row>
        <row r="18">
          <cell r="C18" t="str">
            <v>029</v>
          </cell>
        </row>
        <row r="19">
          <cell r="C19" t="str">
            <v>030</v>
          </cell>
        </row>
        <row r="20">
          <cell r="C20" t="str">
            <v>031</v>
          </cell>
        </row>
        <row r="21">
          <cell r="C21" t="str">
            <v>032</v>
          </cell>
        </row>
        <row r="22">
          <cell r="C22">
            <v>100</v>
          </cell>
        </row>
        <row r="23">
          <cell r="C23">
            <v>101</v>
          </cell>
        </row>
        <row r="24">
          <cell r="C24">
            <v>102</v>
          </cell>
        </row>
        <row r="25">
          <cell r="C25">
            <v>103</v>
          </cell>
        </row>
        <row r="26">
          <cell r="C26">
            <v>104</v>
          </cell>
        </row>
        <row r="27">
          <cell r="C27">
            <v>105</v>
          </cell>
        </row>
        <row r="28">
          <cell r="C28">
            <v>106</v>
          </cell>
        </row>
        <row r="29">
          <cell r="C29">
            <v>107</v>
          </cell>
        </row>
        <row r="30">
          <cell r="C30">
            <v>108</v>
          </cell>
        </row>
        <row r="31">
          <cell r="C31">
            <v>109</v>
          </cell>
        </row>
        <row r="32">
          <cell r="C32">
            <v>110</v>
          </cell>
        </row>
        <row r="33">
          <cell r="C33">
            <v>111</v>
          </cell>
        </row>
        <row r="34">
          <cell r="C34">
            <v>112</v>
          </cell>
        </row>
        <row r="35">
          <cell r="C35">
            <v>113</v>
          </cell>
        </row>
        <row r="36">
          <cell r="C36">
            <v>114</v>
          </cell>
        </row>
        <row r="37">
          <cell r="C37">
            <v>115</v>
          </cell>
        </row>
        <row r="38">
          <cell r="C38">
            <v>116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робег"/>
      <sheetName val="ст-ть"/>
      <sheetName val="Автобаза"/>
      <sheetName val="Нацбанк"/>
      <sheetName val="Гату"/>
      <sheetName val="ЦКО"/>
      <sheetName val="БФ"/>
      <sheetName val="Фонд"/>
      <sheetName val="Тариф"/>
      <sheetName val="расп приб"/>
      <sheetName val="движ.ден 4"/>
      <sheetName val="8 движ денег"/>
      <sheetName val="уставный"/>
      <sheetName val="фин план утвержд"/>
      <sheetName val="Тариф (2)"/>
      <sheetName val="фин план"/>
      <sheetName val="прям"/>
      <sheetName val="накл"/>
      <sheetName val="расх  пер"/>
      <sheetName val="прочие прямые"/>
      <sheetName val="тран-свод 21"/>
      <sheetName val="свод затрат 7"/>
      <sheetName val="смета 1 8"/>
      <sheetName val="Свот ФОТ-2"/>
      <sheetName val="ФОТ-вар Абдул"/>
      <sheetName val="соц.выпл12а"/>
      <sheetName val="подг кадр 13"/>
      <sheetName val="команд 14"/>
      <sheetName val=" команд (2) 15"/>
      <sheetName val="аморт свод 16"/>
      <sheetName val="амр.приоб. 18"/>
      <sheetName val="матер1 19"/>
      <sheetName val="матер2 20 "/>
      <sheetName val="трансп Автобазы 22"/>
      <sheetName val="связь 23"/>
      <sheetName val="коммун 24"/>
      <sheetName val="ремонт 25"/>
      <sheetName val="охрана 25а"/>
      <sheetName val="пер. изд 27"/>
      <sheetName val="нормы бенз 02г."/>
      <sheetName val="предст 28"/>
      <sheetName val="усл.банка 28а"/>
      <sheetName val="аренда 29"/>
      <sheetName val="аудит 30"/>
      <sheetName val="налоги 31"/>
      <sheetName val="трансп-расш 32"/>
      <sheetName val="Тариф анализ"/>
      <sheetName val="анализ на  1"/>
      <sheetName val="нормы бен 01г"/>
      <sheetName val="2"/>
      <sheetName val="амр тек "/>
      <sheetName val="кальк 2 (2)"/>
      <sheetName val="товар прод3 (2)"/>
      <sheetName val="движ.ден 4 (2)"/>
      <sheetName val="кальк 2"/>
      <sheetName val="товар прод3"/>
      <sheetName val="фин отч 5"/>
      <sheetName val="Анализ ФОТ"/>
      <sheetName val="з-плата"/>
      <sheetName val="Контр"/>
      <sheetName val="ФОТ-расш. Асим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0">
          <cell r="B10" t="str">
            <v>В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нализ"/>
      <sheetName val="П.2"/>
      <sheetName val="П.3"/>
      <sheetName val="4"/>
      <sheetName val="П. 5"/>
      <sheetName val="П.6"/>
      <sheetName val="П.7"/>
      <sheetName val="П.8"/>
      <sheetName val="П.9"/>
      <sheetName val="NPV IRR"/>
      <sheetName val="П. 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лан ГЗ"/>
      <sheetName val="Фонд"/>
      <sheetName val="ФКРБ"/>
      <sheetName val="ЭКРБ"/>
      <sheetName val="Источник финансирования"/>
      <sheetName val="КПВЭД (2)"/>
      <sheetName val="КПВЭД"/>
      <sheetName val="Способ закупки"/>
      <sheetName val="Вид предмета"/>
      <sheetName val="ОКЕИ"/>
      <sheetName val="Месяцы"/>
      <sheetName val="КАТО"/>
      <sheetName val="Служебный ФКРБ"/>
      <sheetName val="Год"/>
    </sheetNames>
    <sheetDataSet>
      <sheetData sheetId="0"/>
      <sheetData sheetId="1">
        <row r="1">
          <cell r="A1" t="str">
            <v>01 Республиканский бюджет</v>
          </cell>
        </row>
        <row r="2">
          <cell r="A2" t="str">
            <v>02 Областной бюджет</v>
          </cell>
        </row>
        <row r="3">
          <cell r="A3" t="str">
            <v>03 Районный бюджет</v>
          </cell>
        </row>
        <row r="4">
          <cell r="A4" t="str">
            <v>04 Национальный фонд</v>
          </cell>
        </row>
      </sheetData>
      <sheetData sheetId="2"/>
      <sheetData sheetId="3">
        <row r="1">
          <cell r="A1" t="str">
            <v>111 Оплата труда</v>
          </cell>
        </row>
      </sheetData>
      <sheetData sheetId="4">
        <row r="1">
          <cell r="A1" t="str">
            <v>1 Бюджет</v>
          </cell>
        </row>
      </sheetData>
      <sheetData sheetId="5"/>
      <sheetData sheetId="6"/>
      <sheetData sheetId="7">
        <row r="1">
          <cell r="A1" t="str">
            <v>01 Конкурс</v>
          </cell>
        </row>
      </sheetData>
      <sheetData sheetId="8"/>
      <sheetData sheetId="9"/>
      <sheetData sheetId="10">
        <row r="1">
          <cell r="A1" t="str">
            <v>01 Январь</v>
          </cell>
        </row>
      </sheetData>
      <sheetData sheetId="11"/>
      <sheetData sheetId="12"/>
      <sheetData sheetId="13">
        <row r="1">
          <cell r="A1">
            <v>2009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лан ГЗ end"/>
      <sheetName val="Фонд"/>
      <sheetName val="ФКРБ"/>
      <sheetName val="ЭКРБ"/>
      <sheetName val="Источник финансирования"/>
      <sheetName val="КПВЭД"/>
      <sheetName val="Способ закупки"/>
      <sheetName val="Вид предмета"/>
      <sheetName val="ОКЕИ"/>
      <sheetName val="Месяцы"/>
      <sheetName val="КАТО"/>
      <sheetName val="Год"/>
      <sheetName val="Тип пункта плана"/>
      <sheetName val="Служебный ФКРБ"/>
      <sheetName val="TDSheet"/>
    </sheetNames>
    <sheetDataSet>
      <sheetData sheetId="0" refreshError="1"/>
      <sheetData sheetId="1"/>
      <sheetData sheetId="2" refreshError="1"/>
      <sheetData sheetId="3">
        <row r="1">
          <cell r="A1" t="str">
            <v>111 Оплата труда</v>
          </cell>
        </row>
      </sheetData>
      <sheetData sheetId="4">
        <row r="1">
          <cell r="A1" t="str">
            <v>1 Бюджет</v>
          </cell>
        </row>
      </sheetData>
      <sheetData sheetId="5" refreshError="1"/>
      <sheetData sheetId="6">
        <row r="1">
          <cell r="A1" t="str">
            <v>01 Конкурс</v>
          </cell>
        </row>
      </sheetData>
      <sheetData sheetId="7"/>
      <sheetData sheetId="8">
        <row r="1">
          <cell r="A1" t="str">
            <v>01 Январь</v>
          </cell>
        </row>
      </sheetData>
      <sheetData sheetId="9">
        <row r="1">
          <cell r="A1" t="str">
            <v>01 Январь</v>
          </cell>
        </row>
      </sheetData>
      <sheetData sheetId="10"/>
      <sheetData sheetId="11">
        <row r="1">
          <cell r="A1" t="str">
            <v>01 Закупки, не превышающие финансовый год</v>
          </cell>
        </row>
      </sheetData>
      <sheetData sheetId="12">
        <row r="1">
          <cell r="A1" t="str">
            <v>01 Закупки, не превышающие финансовый год</v>
          </cell>
        </row>
      </sheetData>
      <sheetData sheetId="13">
        <row r="2">
          <cell r="A2">
            <v>101</v>
          </cell>
        </row>
      </sheetData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лан ГЗ end"/>
      <sheetName val="План ГЗ"/>
      <sheetName val="Фонд"/>
      <sheetName val="ФКРБ"/>
      <sheetName val="ЭКРБ"/>
      <sheetName val="Источник финансирования"/>
      <sheetName val="КПВЭД"/>
      <sheetName val="Способ закупки"/>
      <sheetName val="Вид предмета"/>
      <sheetName val="ОКЕИ"/>
      <sheetName val="Месяцы"/>
      <sheetName val="КАТО"/>
      <sheetName val="Год"/>
      <sheetName val="Тип пункта плана"/>
      <sheetName val="Служебный ФКР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111 Оплата труда</v>
          </cell>
        </row>
      </sheetData>
      <sheetData sheetId="6">
        <row r="1">
          <cell r="A1" t="str">
            <v>1 Бюджет</v>
          </cell>
        </row>
      </sheetData>
      <sheetData sheetId="7" refreshError="1"/>
      <sheetData sheetId="8">
        <row r="1">
          <cell r="A1" t="str">
            <v>01 Конкурс</v>
          </cell>
        </row>
        <row r="2">
          <cell r="A2" t="str">
            <v>02 Конкурс посредством электронных закупок</v>
          </cell>
        </row>
        <row r="3">
          <cell r="A3" t="str">
            <v>03 Конкурс с применением двухэтапных процедур</v>
          </cell>
        </row>
        <row r="4">
          <cell r="A4" t="str">
            <v>04 Конкурс с применением двухэтапных процедур посредством электронных закупок</v>
          </cell>
        </row>
        <row r="5">
          <cell r="A5" t="str">
            <v>05 Запрос ценовых предложений посредством электронных закупок</v>
          </cell>
        </row>
        <row r="6">
          <cell r="A6" t="str">
            <v>06 Из одного источника</v>
          </cell>
        </row>
        <row r="7">
          <cell r="A7" t="str">
            <v>07 Из одного источника посредством электронных закупок</v>
          </cell>
        </row>
        <row r="8">
          <cell r="A8" t="str">
            <v xml:space="preserve">08 На организованных электронных торгах </v>
          </cell>
        </row>
        <row r="9">
          <cell r="A9" t="str">
            <v xml:space="preserve">09 Через открытые товарные биржи </v>
          </cell>
        </row>
        <row r="10">
          <cell r="A10" t="str">
            <v xml:space="preserve">10 Особый порядок </v>
          </cell>
        </row>
        <row r="11">
          <cell r="A11" t="str">
            <v>11 Специальный порядок</v>
          </cell>
        </row>
        <row r="12">
          <cell r="A12" t="str">
            <v>12 Без применения норм Закона (статья 4 Закона «О государственных закупках»)</v>
          </cell>
        </row>
        <row r="13">
          <cell r="A13" t="str">
            <v>13 Изменение договора (пп. 3) п. 2 ст. 39 Закона «О государственных закупках»)</v>
          </cell>
        </row>
        <row r="14">
          <cell r="A14" t="str">
            <v>14 Продление договора (п. 9 ст. 5 Закона «О государственных закупках»)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>
        <row r="2">
          <cell r="A2">
            <v>101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лан ГЗ"/>
      <sheetName val="Фонд"/>
      <sheetName val="ОПГЗ"/>
      <sheetName val="ФКРБ"/>
      <sheetName val="ЭКРБ"/>
      <sheetName val="Источник финансирования"/>
      <sheetName val="Способ закупки"/>
      <sheetName val="Вид предмета"/>
      <sheetName val="Месяцы"/>
      <sheetName val="Год"/>
      <sheetName val="Тип пункта плана"/>
      <sheetName val="КАТО"/>
      <sheetName val="Служебный ФКРБ"/>
      <sheetName val="КТРУ_Товары_часть1"/>
      <sheetName val="КТРУ_Товары_часть2"/>
      <sheetName val="КТРУ_Товары_часть3"/>
      <sheetName val="КТРУ_Работы"/>
      <sheetName val="КТРУ_Услуги"/>
    </sheetNames>
    <sheetDataSet>
      <sheetData sheetId="0"/>
      <sheetData sheetId="1"/>
      <sheetData sheetId="2">
        <row r="1">
          <cell r="A1" t="str">
            <v>Способ</v>
          </cell>
        </row>
        <row r="2">
          <cell r="A2" t="str">
            <v>06 Из одного источника</v>
          </cell>
        </row>
        <row r="3">
          <cell r="A3" t="str">
            <v>06 Из одного источника</v>
          </cell>
        </row>
        <row r="4">
          <cell r="A4" t="str">
            <v>07 Из одного источника посредством электронных закупок</v>
          </cell>
        </row>
        <row r="5">
          <cell r="A5" t="str">
            <v>07 Из одного источника посредством электронных закупок</v>
          </cell>
        </row>
        <row r="6">
          <cell r="A6" t="str">
            <v>12 Без применения норм Закона (статья 4 Закона «О государственных закупках»)</v>
          </cell>
        </row>
        <row r="7">
          <cell r="A7" t="str">
            <v>12 Без применения норм Закона (статья 4 Закона «О государственных закупках»)</v>
          </cell>
        </row>
        <row r="8">
          <cell r="A8" t="str">
            <v>12 Без применения норм Закона (статья 4 Закона «О государственных закупках»)</v>
          </cell>
        </row>
        <row r="9">
          <cell r="A9" t="str">
            <v>12 Без применения норм Закона (статья 4 Закона «О государственных закупках»)</v>
          </cell>
        </row>
        <row r="10">
          <cell r="A10" t="str">
            <v>12 Без применения норм Закона (статья 4 Закона «О государственных закупках»)</v>
          </cell>
        </row>
        <row r="11">
          <cell r="A11" t="str">
            <v>12 Без применения норм Закона (статья 4 Закона «О государственных закупках»)</v>
          </cell>
        </row>
        <row r="12">
          <cell r="A12" t="str">
            <v>12 Без применения норм Закона (статья 4 Закона «О государственных закупках»)</v>
          </cell>
        </row>
        <row r="13">
          <cell r="A13" t="str">
            <v>12 Без применения норм Закона (статья 4 Закона «О государственных закупках»)</v>
          </cell>
        </row>
        <row r="14">
          <cell r="A14" t="str">
            <v>12 Без применения норм Закона (статья 4 Закона «О государственных закупках»)</v>
          </cell>
        </row>
        <row r="15">
          <cell r="A15" t="str">
            <v>12 Без применения норм Закона (статья 4 Закона «О государственных закупках»)</v>
          </cell>
        </row>
        <row r="16">
          <cell r="A16" t="str">
            <v>12 Без применения норм Закона (статья 4 Закона «О государственных закупках»)</v>
          </cell>
        </row>
        <row r="17">
          <cell r="A17" t="str">
            <v>12 Без применения норм Закона (статья 4 Закона «О государственных закупках»)</v>
          </cell>
        </row>
        <row r="18">
          <cell r="A18" t="str">
            <v>12 Без применения норм Закона (статья 4 Закона «О государственных закупках»)</v>
          </cell>
        </row>
        <row r="19">
          <cell r="A19" t="str">
            <v>12 Без применения норм Закона (статья 4 Закона «О государственных закупках»)</v>
          </cell>
        </row>
        <row r="20">
          <cell r="A20" t="str">
            <v>12 Без применения норм Закона (статья 4 Закона «О государственных закупках»)</v>
          </cell>
        </row>
        <row r="21">
          <cell r="A21" t="str">
            <v>12 Без применения норм Закона (статья 4 Закона «О государственных закупках»)</v>
          </cell>
        </row>
        <row r="22">
          <cell r="A22" t="str">
            <v>12 Без применения норм Закона (статья 4 Закона «О государственных закупках»)</v>
          </cell>
        </row>
        <row r="23">
          <cell r="A23" t="str">
            <v>12 Без применения норм Закона (статья 4 Закона «О государственных закупках»)</v>
          </cell>
        </row>
        <row r="24">
          <cell r="A24" t="str">
            <v>12 Без применения норм Закона (статья 4 Закона «О государственных закупках»)</v>
          </cell>
        </row>
        <row r="25">
          <cell r="A25" t="str">
            <v>12 Без применения норм Закона (статья 4 Закона «О государственных закупках»)</v>
          </cell>
        </row>
        <row r="26">
          <cell r="A26" t="str">
            <v>12 Без применения норм Закона (статья 4 Закона «О государственных закупках»)</v>
          </cell>
        </row>
        <row r="27">
          <cell r="A27" t="str">
            <v>12 Без применения норм Закона (статья 4 Закона «О государственных закупках»)</v>
          </cell>
        </row>
        <row r="28">
          <cell r="A28" t="str">
            <v>12 Без применения норм Закона (статья 4 Закона «О государственных закупках»)</v>
          </cell>
        </row>
        <row r="29">
          <cell r="A29" t="str">
            <v>12 Без применения норм Закона (статья 4 Закона «О государственных закупках»)</v>
          </cell>
        </row>
        <row r="30">
          <cell r="A30" t="str">
            <v>12 Без применения норм Закона (статья 4 Закона «О государственных закупках»)</v>
          </cell>
        </row>
        <row r="31">
          <cell r="A31" t="str">
            <v>12 Без применения норм Закона (статья 4 Закона «О государственных закупках»)</v>
          </cell>
        </row>
        <row r="32">
          <cell r="A32" t="str">
            <v>12 Без применения норм Закона (статья 4 Закона «О государственных закупках»)</v>
          </cell>
        </row>
        <row r="33">
          <cell r="A33" t="str">
            <v>12 Без применения норм Закона (статья 4 Закона «О государственных закупках»)</v>
          </cell>
        </row>
        <row r="34">
          <cell r="A34" t="str">
            <v>12 Без применения норм Закона (статья 4 Закона «О государственных закупках»)</v>
          </cell>
        </row>
        <row r="35">
          <cell r="A35" t="str">
            <v>12 Без применения норм Закона (статья 4 Закона «О государственных закупках»)</v>
          </cell>
        </row>
        <row r="36">
          <cell r="A36" t="str">
            <v>12 Без применения норм Закона (статья 4 Закона «О государственных закупках»)</v>
          </cell>
        </row>
        <row r="37">
          <cell r="A37" t="str">
            <v>12 Без применения норм Закона (статья 4 Закона «О государственных закупках»)</v>
          </cell>
        </row>
        <row r="38">
          <cell r="A38" t="str">
            <v>12 Без применения норм Закона (статья 4 Закона «О государственных закупках»)</v>
          </cell>
        </row>
        <row r="39">
          <cell r="A39" t="str">
            <v>12 Без применения норм Закона (статья 4 Закона «О государственных закупках»)</v>
          </cell>
        </row>
        <row r="40">
          <cell r="A40" t="str">
            <v>12 Без применения норм Закона (статья 4 Закона «О государственных закупках»)</v>
          </cell>
        </row>
        <row r="41">
          <cell r="A41" t="str">
            <v>12 Без применения норм Закона (статья 4 Закона «О государственных закупках»)</v>
          </cell>
        </row>
        <row r="42">
          <cell r="A42" t="str">
            <v>12 Без применения норм Закона (статья 4 Закона «О государственных закупках»)</v>
          </cell>
        </row>
        <row r="43">
          <cell r="A43" t="str">
            <v>12 Без применения норм Закона (статья 4 Закона «О государственных закупках»)</v>
          </cell>
        </row>
        <row r="44">
          <cell r="A44" t="str">
            <v>12 Без применения норм Закона (статья 4 Закона «О государственных закупках»)</v>
          </cell>
        </row>
        <row r="45">
          <cell r="A45" t="str">
            <v>12 Без применения норм Закона (статья 4 Закона «О государственных закупках»)</v>
          </cell>
        </row>
        <row r="46">
          <cell r="A46" t="str">
            <v>12 Без применения норм Закона (статья 4 Закона «О государственных закупках»)</v>
          </cell>
        </row>
        <row r="47">
          <cell r="A47" t="str">
            <v>12 Без применения норм Закона (статья 4 Закона «О государственных закупках»)</v>
          </cell>
        </row>
        <row r="48">
          <cell r="A48" t="str">
            <v>12 Без применения норм Закона (статья 4 Закона «О государственных закупках»)</v>
          </cell>
        </row>
        <row r="49">
          <cell r="A49" t="str">
            <v>12 Без применения норм Закона (статья 4 Закона «О государственных закупках»)</v>
          </cell>
        </row>
        <row r="50">
          <cell r="A50" t="str">
            <v>12 Без применения норм Закона (статья 4 Закона «О государственных закупках»)</v>
          </cell>
        </row>
        <row r="51">
          <cell r="A51" t="str">
            <v>12 Без применения норм Закона (статья 4 Закона «О государственных закупках»)</v>
          </cell>
        </row>
        <row r="52">
          <cell r="A52" t="str">
            <v>12 Без применения норм Закона (статья 4 Закона «О государственных закупках»)</v>
          </cell>
        </row>
        <row r="53">
          <cell r="A53" t="str">
            <v>12 Без применения норм Закона (статья 4 Закона «О государственных закупках»)</v>
          </cell>
        </row>
        <row r="54">
          <cell r="A54" t="str">
            <v>12 Без применения норм Закона (статья 4 Закона «О государственных закупках»)</v>
          </cell>
        </row>
        <row r="55">
          <cell r="A55" t="str">
            <v>12 Без применения норм Закона (статья 4 Закона «О государственных закупках»)</v>
          </cell>
        </row>
        <row r="56">
          <cell r="A56" t="str">
            <v>12 Без применения норм Закона (статья 4 Закона «О государственных закупках»)</v>
          </cell>
        </row>
        <row r="57">
          <cell r="A57" t="str">
            <v>12 Без применения норм Закона (статья 4 Закона «О государственных закупках»)</v>
          </cell>
        </row>
        <row r="58">
          <cell r="A58" t="str">
            <v>12 Без применения норм Закона (статья 4 Закона «О государственных закупках»)</v>
          </cell>
        </row>
        <row r="59">
          <cell r="A59" t="str">
            <v>12 Без применения норм Закона (статья 4 Закона «О государственных закупках»)</v>
          </cell>
        </row>
        <row r="60">
          <cell r="A60" t="str">
            <v>12 Без применения норм Закона (статья 4 Закона «О государственных закупках»)</v>
          </cell>
        </row>
        <row r="61">
          <cell r="A61" t="str">
            <v>12 Без применения норм Закона (статья 4 Закона «О государственных закупках»)</v>
          </cell>
        </row>
        <row r="62">
          <cell r="A62" t="str">
            <v>12 Без применения норм Закона (статья 4 Закона «О государственных закупках»)</v>
          </cell>
        </row>
        <row r="63">
          <cell r="A63" t="str">
            <v>12 Без применения норм Закона (статья 4 Закона «О государственных закупках»)</v>
          </cell>
        </row>
        <row r="64">
          <cell r="A64" t="str">
            <v>12 Без применения норм Закона (статья 4 Закона «О государственных закупках»)</v>
          </cell>
        </row>
        <row r="65">
          <cell r="A65" t="str">
            <v>12 Без применения норм Закона (статья 4 Закона «О государственных закупках»)</v>
          </cell>
        </row>
        <row r="66">
          <cell r="A66" t="str">
            <v>12 Без применения норм Закона (статья 4 Закона «О государственных закупках»)</v>
          </cell>
        </row>
        <row r="67">
          <cell r="A67" t="str">
            <v>12 Без применения норм Закона (статья 4 Закона «О государственных закупках»)</v>
          </cell>
        </row>
        <row r="68">
          <cell r="A68" t="str">
            <v>12 Без применения норм Закона (статья 4 Закона «О государственных закупках»)</v>
          </cell>
        </row>
        <row r="69">
          <cell r="A69" t="str">
            <v>12 Без применения норм Закона (статья 4 Закона «О государственных закупках»)</v>
          </cell>
        </row>
        <row r="70">
          <cell r="A70" t="str">
            <v>12 Без применения норм Закона (статья 4 Закона «О государственных закупках»)</v>
          </cell>
        </row>
        <row r="71">
          <cell r="A71" t="str">
            <v>12 Без применения норм Закона (статья 4 Закона «О государственных закупках»)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ГЗ 20101"/>
      <sheetName val="Фонд"/>
      <sheetName val="ФКРБ"/>
      <sheetName val="ЭКРБ"/>
      <sheetName val="Источник финансирования"/>
      <sheetName val="КПВЭД"/>
      <sheetName val="Способ закупки"/>
      <sheetName val="Вид предмета"/>
      <sheetName val="ОКЕИ"/>
      <sheetName val="Месяцы"/>
      <sheetName val="КАТО"/>
      <sheetName val="Год"/>
      <sheetName val="Тип пункта плана"/>
      <sheetName val="Служебный ФКРБ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A2">
            <v>101</v>
          </cell>
          <cell r="B2" t="str">
            <v>001</v>
          </cell>
        </row>
        <row r="3">
          <cell r="B3" t="str">
            <v>002</v>
          </cell>
        </row>
        <row r="4">
          <cell r="B4" t="str">
            <v>003</v>
          </cell>
        </row>
        <row r="5">
          <cell r="B5" t="str">
            <v>004</v>
          </cell>
        </row>
        <row r="6">
          <cell r="B6" t="str">
            <v>005</v>
          </cell>
        </row>
        <row r="7">
          <cell r="B7" t="str">
            <v>006</v>
          </cell>
        </row>
        <row r="8">
          <cell r="B8" t="str">
            <v>007</v>
          </cell>
        </row>
        <row r="9">
          <cell r="B9" t="str">
            <v>008</v>
          </cell>
        </row>
        <row r="10">
          <cell r="B10" t="str">
            <v>009</v>
          </cell>
        </row>
        <row r="11">
          <cell r="B11" t="str">
            <v>010</v>
          </cell>
        </row>
        <row r="12">
          <cell r="B12" t="str">
            <v>011</v>
          </cell>
        </row>
        <row r="13">
          <cell r="B13" t="str">
            <v>012</v>
          </cell>
        </row>
        <row r="14">
          <cell r="B14" t="str">
            <v>013</v>
          </cell>
        </row>
        <row r="15">
          <cell r="B15" t="str">
            <v>014</v>
          </cell>
        </row>
        <row r="16">
          <cell r="B16" t="str">
            <v>015</v>
          </cell>
        </row>
        <row r="17">
          <cell r="B17" t="str">
            <v>016</v>
          </cell>
        </row>
        <row r="18">
          <cell r="B18" t="str">
            <v>017</v>
          </cell>
        </row>
        <row r="19">
          <cell r="B19" t="str">
            <v>018</v>
          </cell>
        </row>
        <row r="20">
          <cell r="B20" t="str">
            <v>019</v>
          </cell>
        </row>
        <row r="21">
          <cell r="B21" t="str">
            <v>020</v>
          </cell>
        </row>
        <row r="22">
          <cell r="B22" t="str">
            <v>021</v>
          </cell>
        </row>
        <row r="23">
          <cell r="B23" t="str">
            <v>022</v>
          </cell>
        </row>
        <row r="24">
          <cell r="B24" t="str">
            <v>023</v>
          </cell>
        </row>
        <row r="25">
          <cell r="B25" t="str">
            <v>024</v>
          </cell>
        </row>
        <row r="26">
          <cell r="B26" t="str">
            <v>025</v>
          </cell>
        </row>
        <row r="27">
          <cell r="B27" t="str">
            <v>026</v>
          </cell>
        </row>
        <row r="28">
          <cell r="B28" t="str">
            <v>027</v>
          </cell>
        </row>
        <row r="29">
          <cell r="B29" t="str">
            <v>028</v>
          </cell>
        </row>
        <row r="30">
          <cell r="B30" t="str">
            <v>029</v>
          </cell>
        </row>
        <row r="31">
          <cell r="B31" t="str">
            <v>030</v>
          </cell>
        </row>
        <row r="32">
          <cell r="B32" t="str">
            <v>031</v>
          </cell>
        </row>
        <row r="33">
          <cell r="B33" t="str">
            <v>032</v>
          </cell>
        </row>
        <row r="34">
          <cell r="B34" t="str">
            <v>033</v>
          </cell>
        </row>
        <row r="35">
          <cell r="B35" t="str">
            <v>034</v>
          </cell>
        </row>
        <row r="36">
          <cell r="B36" t="str">
            <v>035</v>
          </cell>
        </row>
        <row r="37">
          <cell r="B37" t="str">
            <v>036</v>
          </cell>
        </row>
        <row r="38">
          <cell r="B38" t="str">
            <v>037</v>
          </cell>
        </row>
        <row r="39">
          <cell r="B39" t="str">
            <v>038</v>
          </cell>
        </row>
        <row r="40">
          <cell r="B40" t="str">
            <v>039</v>
          </cell>
        </row>
        <row r="41">
          <cell r="B41" t="str">
            <v>040</v>
          </cell>
        </row>
        <row r="42">
          <cell r="B42" t="str">
            <v>041</v>
          </cell>
        </row>
        <row r="43">
          <cell r="B43" t="str">
            <v>042</v>
          </cell>
        </row>
        <row r="44">
          <cell r="B44" t="str">
            <v>043</v>
          </cell>
        </row>
        <row r="45">
          <cell r="B45" t="str">
            <v>044</v>
          </cell>
        </row>
        <row r="46">
          <cell r="B46" t="str">
            <v>045</v>
          </cell>
        </row>
        <row r="47">
          <cell r="B47" t="str">
            <v>046</v>
          </cell>
        </row>
        <row r="48">
          <cell r="B48" t="str">
            <v>047</v>
          </cell>
        </row>
        <row r="49">
          <cell r="B49" t="str">
            <v>048</v>
          </cell>
        </row>
        <row r="50">
          <cell r="B50" t="str">
            <v>049</v>
          </cell>
        </row>
        <row r="51">
          <cell r="B51" t="str">
            <v>050</v>
          </cell>
        </row>
        <row r="52">
          <cell r="B52" t="str">
            <v>051</v>
          </cell>
        </row>
        <row r="53">
          <cell r="B53" t="str">
            <v>052</v>
          </cell>
        </row>
        <row r="54">
          <cell r="B54" t="str">
            <v>053</v>
          </cell>
        </row>
        <row r="55">
          <cell r="B55" t="str">
            <v>054</v>
          </cell>
        </row>
        <row r="56">
          <cell r="B56" t="str">
            <v>055</v>
          </cell>
        </row>
        <row r="57">
          <cell r="B57" t="str">
            <v>056</v>
          </cell>
        </row>
        <row r="58">
          <cell r="B58" t="str">
            <v>057</v>
          </cell>
        </row>
        <row r="59">
          <cell r="B59" t="str">
            <v>058</v>
          </cell>
        </row>
        <row r="60">
          <cell r="B60" t="str">
            <v>059</v>
          </cell>
        </row>
        <row r="61">
          <cell r="B61" t="str">
            <v>060</v>
          </cell>
        </row>
        <row r="62">
          <cell r="B62" t="str">
            <v>061</v>
          </cell>
        </row>
        <row r="63">
          <cell r="B63" t="str">
            <v>062</v>
          </cell>
        </row>
        <row r="64">
          <cell r="B64" t="str">
            <v>063</v>
          </cell>
        </row>
        <row r="65">
          <cell r="B65" t="str">
            <v>064</v>
          </cell>
        </row>
        <row r="66">
          <cell r="B66" t="str">
            <v>065</v>
          </cell>
        </row>
        <row r="67">
          <cell r="B67" t="str">
            <v>066</v>
          </cell>
        </row>
        <row r="68">
          <cell r="B68" t="str">
            <v>067</v>
          </cell>
        </row>
        <row r="69">
          <cell r="B69" t="str">
            <v>068</v>
          </cell>
        </row>
        <row r="70">
          <cell r="B70" t="str">
            <v>069</v>
          </cell>
        </row>
        <row r="71">
          <cell r="B71" t="str">
            <v>070</v>
          </cell>
        </row>
        <row r="72">
          <cell r="B72" t="str">
            <v>071</v>
          </cell>
        </row>
        <row r="73">
          <cell r="B73" t="str">
            <v>072</v>
          </cell>
        </row>
        <row r="74">
          <cell r="B74" t="str">
            <v>073</v>
          </cell>
        </row>
        <row r="75">
          <cell r="B75" t="str">
            <v>074</v>
          </cell>
        </row>
        <row r="76">
          <cell r="B76" t="str">
            <v>075</v>
          </cell>
        </row>
        <row r="77">
          <cell r="B77" t="str">
            <v>076</v>
          </cell>
        </row>
        <row r="78">
          <cell r="B78" t="str">
            <v>077</v>
          </cell>
        </row>
        <row r="79">
          <cell r="B79" t="str">
            <v>078</v>
          </cell>
        </row>
        <row r="80">
          <cell r="B80" t="str">
            <v>079</v>
          </cell>
        </row>
        <row r="81">
          <cell r="B81" t="str">
            <v>080</v>
          </cell>
        </row>
        <row r="82">
          <cell r="B82" t="str">
            <v>081</v>
          </cell>
        </row>
        <row r="83">
          <cell r="B83" t="str">
            <v>082</v>
          </cell>
        </row>
        <row r="84">
          <cell r="B84" t="str">
            <v>083</v>
          </cell>
        </row>
        <row r="85">
          <cell r="B85" t="str">
            <v>084</v>
          </cell>
        </row>
        <row r="86">
          <cell r="B86" t="str">
            <v>085</v>
          </cell>
        </row>
        <row r="87">
          <cell r="B87" t="str">
            <v>086</v>
          </cell>
        </row>
        <row r="88">
          <cell r="B88" t="str">
            <v>087</v>
          </cell>
        </row>
        <row r="89">
          <cell r="B89" t="str">
            <v>088</v>
          </cell>
        </row>
        <row r="90">
          <cell r="B90" t="str">
            <v>089</v>
          </cell>
        </row>
        <row r="91">
          <cell r="B91" t="str">
            <v>090</v>
          </cell>
        </row>
        <row r="92">
          <cell r="B92" t="str">
            <v>091</v>
          </cell>
        </row>
        <row r="93">
          <cell r="B93" t="str">
            <v>092</v>
          </cell>
        </row>
        <row r="94">
          <cell r="B94" t="str">
            <v>093</v>
          </cell>
        </row>
        <row r="95">
          <cell r="B95" t="str">
            <v>094</v>
          </cell>
        </row>
        <row r="96">
          <cell r="B96" t="str">
            <v>095</v>
          </cell>
        </row>
        <row r="97">
          <cell r="B97" t="str">
            <v>096</v>
          </cell>
        </row>
        <row r="98">
          <cell r="B98" t="str">
            <v>097</v>
          </cell>
        </row>
        <row r="99">
          <cell r="B99" t="str">
            <v>098</v>
          </cell>
        </row>
        <row r="100">
          <cell r="B100" t="str">
            <v>099</v>
          </cell>
        </row>
        <row r="101">
          <cell r="B101">
            <v>100</v>
          </cell>
        </row>
        <row r="102">
          <cell r="B102">
            <v>101</v>
          </cell>
        </row>
        <row r="103">
          <cell r="B103">
            <v>104</v>
          </cell>
        </row>
        <row r="104">
          <cell r="B104">
            <v>105</v>
          </cell>
        </row>
        <row r="105">
          <cell r="B105">
            <v>106</v>
          </cell>
        </row>
        <row r="106">
          <cell r="B106">
            <v>107</v>
          </cell>
        </row>
        <row r="107">
          <cell r="B107">
            <v>108</v>
          </cell>
        </row>
        <row r="108">
          <cell r="B108">
            <v>109</v>
          </cell>
        </row>
        <row r="109">
          <cell r="B109">
            <v>110</v>
          </cell>
        </row>
        <row r="110">
          <cell r="B110">
            <v>111</v>
          </cell>
        </row>
        <row r="111">
          <cell r="B111">
            <v>112</v>
          </cell>
        </row>
        <row r="112">
          <cell r="B112">
            <v>113</v>
          </cell>
        </row>
        <row r="113">
          <cell r="B113">
            <v>114</v>
          </cell>
        </row>
        <row r="114">
          <cell r="B114">
            <v>115</v>
          </cell>
        </row>
        <row r="115">
          <cell r="B115">
            <v>117</v>
          </cell>
        </row>
        <row r="116">
          <cell r="B116">
            <v>118</v>
          </cell>
        </row>
        <row r="117">
          <cell r="B117">
            <v>119</v>
          </cell>
        </row>
        <row r="118">
          <cell r="B118">
            <v>120</v>
          </cell>
        </row>
        <row r="119">
          <cell r="B119">
            <v>122</v>
          </cell>
        </row>
        <row r="120">
          <cell r="B120">
            <v>400</v>
          </cell>
        </row>
        <row r="121">
          <cell r="B121">
            <v>901</v>
          </cell>
        </row>
        <row r="122">
          <cell r="B122">
            <v>902</v>
          </cell>
        </row>
      </sheetData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лан ГЗ end"/>
      <sheetName val="План ГЗ"/>
      <sheetName val="Фонд"/>
      <sheetName val="ФКРБ"/>
      <sheetName val="ЭКРБ"/>
      <sheetName val="Источник финансирования"/>
      <sheetName val="КПВЭД"/>
      <sheetName val="Способ закупки"/>
      <sheetName val="Вид предмета"/>
      <sheetName val="ОКЕИ"/>
      <sheetName val="Месяцы"/>
      <sheetName val="КАТО"/>
      <sheetName val="Год"/>
      <sheetName val="Тип пункта плана"/>
      <sheetName val="Служебный ФКР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111 Оплата труда</v>
          </cell>
        </row>
        <row r="2">
          <cell r="A2" t="str">
            <v xml:space="preserve">113 Компенсационные выплаты </v>
          </cell>
        </row>
        <row r="3">
          <cell r="A3" t="str">
            <v>114 Дополнительно установленные обязательные пенсионные взносы судей и обязательные пенсионные взносы военнослужащих, сотрудников органов внутренних дел, Комитета уголовно-исполнительной системы Республики Казахстан, органов финансовой полиции и государст</v>
          </cell>
        </row>
        <row r="4">
          <cell r="A4" t="str">
            <v>121 Социальный налог</v>
          </cell>
        </row>
        <row r="5">
          <cell r="A5" t="str">
            <v>122 Социальные отчисления в Государственный фонд социального страхования</v>
          </cell>
        </row>
        <row r="6">
          <cell r="A6" t="str">
            <v xml:space="preserve">125 Взносы на обязательное страхование </v>
          </cell>
        </row>
        <row r="7">
          <cell r="A7" t="str">
            <v>131 Приобретение продуктов питания</v>
          </cell>
        </row>
        <row r="8">
          <cell r="A8" t="str">
            <v>132 Приобретение медикаментов и прочих средств медицинского назначения</v>
          </cell>
        </row>
        <row r="9">
          <cell r="A9" t="str">
            <v>134 Приобретение, пошив и ремонт предметов вещевого имущества и другого форменного и специального обмундирования</v>
          </cell>
        </row>
        <row r="10">
          <cell r="A10" t="str">
            <v>135 Приобретение особого оборудования и материалов</v>
          </cell>
        </row>
        <row r="11">
          <cell r="A11" t="str">
            <v>139 Приобретение прочих товаров</v>
          </cell>
        </row>
        <row r="12">
          <cell r="A12" t="str">
            <v>141 Оплата коммунальных услуг</v>
          </cell>
        </row>
        <row r="13">
          <cell r="A13" t="str">
            <v>142 Оплата услуг связи</v>
          </cell>
        </row>
        <row r="14">
          <cell r="A14" t="str">
            <v>143 Оплата транспортных услуг</v>
          </cell>
        </row>
        <row r="15">
          <cell r="A15" t="str">
            <v>147 Оплата аренды за помещение</v>
          </cell>
        </row>
        <row r="16">
          <cell r="A16" t="str">
            <v>148 Оплата услуг в рамках государственного социального заказа</v>
          </cell>
        </row>
        <row r="17">
          <cell r="A17" t="str">
            <v>149 Прочие услуги и работы</v>
          </cell>
        </row>
        <row r="18">
          <cell r="A18" t="str">
            <v>151 Командировки и служебные разъезды внутри страны</v>
          </cell>
        </row>
        <row r="19">
          <cell r="A19" t="str">
            <v>152 Командировки и служебные разъезды за пределы страны</v>
          </cell>
        </row>
        <row r="20">
          <cell r="A20" t="str">
            <v>153 Затраты фонда всеобщего обязательного среднего образования</v>
          </cell>
        </row>
        <row r="21">
          <cell r="A21" t="str">
            <v>155 Исполнение исполнительных документов, судебных актов</v>
          </cell>
        </row>
        <row r="22">
          <cell r="A22" t="str">
            <v>157 Особые затраты</v>
          </cell>
        </row>
        <row r="23">
          <cell r="A23" t="str">
            <v>159 Прочие текущие затраты</v>
          </cell>
        </row>
        <row r="24">
          <cell r="A24" t="str">
            <v xml:space="preserve">211 Выплаты вознаграждений  по внутренним займам </v>
          </cell>
        </row>
        <row r="25">
          <cell r="A25" t="str">
            <v>212 Выплаты вознаграждений по займам, полученным из республиканского бюджета местными исполнительными органами</v>
          </cell>
        </row>
        <row r="26">
          <cell r="A26" t="str">
            <v xml:space="preserve">213 Выплаты вознаграждений по опреациям управления рисками </v>
          </cell>
        </row>
        <row r="27">
          <cell r="A27" t="str">
            <v>221 Выплаты вознаграждений по внешним займам Правительства Республики Казахстан</v>
          </cell>
        </row>
        <row r="28">
          <cell r="A28" t="str">
            <v xml:space="preserve">311 Субсидии юридическим лицам, в том числе крестьянским (фермерским) хозяйствам </v>
          </cell>
        </row>
        <row r="29">
          <cell r="A29" t="str">
            <v>332 Трансферты физическим лицам</v>
          </cell>
        </row>
        <row r="30">
          <cell r="A30" t="str">
            <v>333 Пенсии</v>
          </cell>
        </row>
        <row r="31">
          <cell r="A31" t="str">
            <v>334 Стипендии</v>
          </cell>
        </row>
        <row r="32">
          <cell r="A32" t="str">
            <v>341 Субвенции</v>
          </cell>
        </row>
        <row r="33">
          <cell r="A33" t="str">
            <v>342 Бюджетные изъятия</v>
          </cell>
        </row>
        <row r="34">
          <cell r="A34" t="str">
            <v>349 Прочие текущие трансферты другим уровням государственного управления</v>
          </cell>
        </row>
        <row r="35">
          <cell r="A35" t="str">
            <v>351 Текущие трансферты организациям за границу</v>
          </cell>
        </row>
        <row r="36">
          <cell r="A36" t="str">
            <v>369 Различные прочие текущие трансферты</v>
          </cell>
        </row>
        <row r="37">
          <cell r="A37" t="str">
            <v>411 Приобретение товаров относящихся к основным средствам</v>
          </cell>
        </row>
        <row r="38">
          <cell r="A38" t="str">
            <v>412 Приобретение помещений, зданий и сооружений</v>
          </cell>
        </row>
        <row r="39">
          <cell r="A39" t="str">
            <v>421 Строительство зданий и сооружений</v>
          </cell>
        </row>
        <row r="40">
          <cell r="A40" t="str">
            <v>422 Строительство дорог</v>
          </cell>
        </row>
        <row r="41">
          <cell r="A41" t="str">
            <v xml:space="preserve">423 Строительство и доставка судов </v>
          </cell>
        </row>
        <row r="42">
          <cell r="A42" t="str">
            <v>431 Капитальный ремонт помещений, зданий, сооружений</v>
          </cell>
        </row>
        <row r="43">
          <cell r="A43" t="str">
            <v>432 Капитальный ремонт дорог</v>
          </cell>
        </row>
        <row r="44">
          <cell r="A44" t="str">
            <v>439 Капитальный ремонт других объектов</v>
          </cell>
        </row>
        <row r="45">
          <cell r="A45" t="str">
            <v>451 Приобретение земли</v>
          </cell>
        </row>
        <row r="46">
          <cell r="A46" t="str">
            <v>452 Приобретение нематериальных активов</v>
          </cell>
        </row>
        <row r="47">
          <cell r="A47" t="str">
            <v>461 Капитальные трансферты юридическим лицам</v>
          </cell>
        </row>
        <row r="48">
          <cell r="A48" t="str">
            <v>464 Капитальные трансферты другим уровням государственного управления</v>
          </cell>
        </row>
        <row r="49">
          <cell r="A49" t="str">
            <v>471 Капитальные трансферты международным организациям и правительствам иностранных государств</v>
          </cell>
        </row>
        <row r="50">
          <cell r="A50" t="str">
            <v>472 Капитальные трансферты на оплату обучения стипендиатов за рубежом</v>
          </cell>
        </row>
        <row r="51">
          <cell r="A51" t="str">
            <v>511 Бюджетные кредиты местным исполнительным органам</v>
          </cell>
        </row>
        <row r="52">
          <cell r="A52" t="str">
            <v>512 Бюджетные кредиты банкам-заемщикам</v>
          </cell>
        </row>
        <row r="53">
          <cell r="A53" t="str">
            <v>514 Бюджетные кредиты физическим лицам</v>
          </cell>
        </row>
        <row r="54">
          <cell r="A54" t="str">
            <v>519 Прочие внутренние бюджетные кредиты</v>
          </cell>
        </row>
        <row r="55">
          <cell r="A55" t="str">
            <v>521 Бюджетные кредиты иностранным государствам</v>
          </cell>
        </row>
        <row r="56">
          <cell r="A56" t="str">
            <v>531 Поручительство государства</v>
          </cell>
        </row>
        <row r="57">
          <cell r="A57" t="str">
            <v>541 Государственная гарантия</v>
          </cell>
        </row>
        <row r="58">
          <cell r="A58" t="str">
            <v>611 Приобретение долей участия, ценных бумаг юридических лиц</v>
          </cell>
        </row>
        <row r="59">
          <cell r="A59" t="str">
            <v>612 Формирование и увеличение уставных капиталов государственных предприятий</v>
          </cell>
        </row>
        <row r="60">
          <cell r="A60" t="str">
            <v>621 Приобретение акций международных организаций</v>
          </cell>
        </row>
        <row r="61">
          <cell r="A61" t="str">
            <v>711 Погашение основного долга перед вышестоящим бюджетом</v>
          </cell>
        </row>
        <row r="62">
          <cell r="A62" t="str">
            <v>712 Погашение основного долга по государственным эмиссионным ценным бумагам, размещенным на  внутреннем рынке</v>
          </cell>
        </row>
        <row r="63">
          <cell r="A63" t="str">
            <v>713 Погашение основного долга по внутренним договорам займа</v>
          </cell>
        </row>
        <row r="64">
          <cell r="A64" t="str">
            <v>721 Погашение основного долга по государственным эмиссионным ценным бумагам, размещенным на внешнем рынке</v>
          </cell>
        </row>
        <row r="65">
          <cell r="A65" t="str">
            <v>722 Погашение основного долга по внешним договорам займа</v>
          </cell>
        </row>
      </sheetData>
      <sheetData sheetId="6">
        <row r="1">
          <cell r="A1" t="str">
            <v>1 Бюджет</v>
          </cell>
        </row>
      </sheetData>
      <sheetData sheetId="7" refreshError="1"/>
      <sheetData sheetId="8">
        <row r="1">
          <cell r="A1" t="str">
            <v>01 Конкурс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>
        <row r="2">
          <cell r="A2">
            <v>101</v>
          </cell>
          <cell r="C2" t="str">
            <v>000</v>
          </cell>
        </row>
        <row r="3">
          <cell r="C3" t="str">
            <v>004</v>
          </cell>
        </row>
        <row r="4">
          <cell r="C4" t="str">
            <v>005</v>
          </cell>
        </row>
        <row r="5">
          <cell r="C5" t="str">
            <v>006</v>
          </cell>
        </row>
        <row r="6">
          <cell r="C6" t="str">
            <v>011</v>
          </cell>
        </row>
        <row r="7">
          <cell r="C7" t="str">
            <v>013</v>
          </cell>
        </row>
        <row r="8">
          <cell r="C8" t="str">
            <v>015</v>
          </cell>
        </row>
        <row r="9">
          <cell r="C9" t="str">
            <v>016</v>
          </cell>
        </row>
        <row r="10">
          <cell r="C10" t="str">
            <v>018</v>
          </cell>
        </row>
        <row r="11">
          <cell r="C11" t="str">
            <v>022</v>
          </cell>
        </row>
        <row r="12">
          <cell r="C12" t="str">
            <v>023</v>
          </cell>
        </row>
        <row r="13">
          <cell r="C13" t="str">
            <v>024</v>
          </cell>
        </row>
        <row r="14">
          <cell r="C14" t="str">
            <v>025</v>
          </cell>
        </row>
        <row r="15">
          <cell r="C15" t="str">
            <v>026</v>
          </cell>
        </row>
        <row r="16">
          <cell r="C16" t="str">
            <v>027</v>
          </cell>
        </row>
        <row r="17">
          <cell r="C17" t="str">
            <v>028</v>
          </cell>
        </row>
        <row r="18">
          <cell r="C18" t="str">
            <v>029</v>
          </cell>
        </row>
        <row r="19">
          <cell r="C19" t="str">
            <v>030</v>
          </cell>
        </row>
        <row r="20">
          <cell r="C20" t="str">
            <v>031</v>
          </cell>
        </row>
        <row r="21">
          <cell r="C21" t="str">
            <v>032</v>
          </cell>
        </row>
        <row r="22">
          <cell r="C22">
            <v>100</v>
          </cell>
        </row>
        <row r="23">
          <cell r="C23">
            <v>101</v>
          </cell>
        </row>
        <row r="24">
          <cell r="C24">
            <v>102</v>
          </cell>
        </row>
        <row r="25">
          <cell r="C25">
            <v>103</v>
          </cell>
        </row>
        <row r="26">
          <cell r="C26">
            <v>104</v>
          </cell>
        </row>
        <row r="27">
          <cell r="C27">
            <v>105</v>
          </cell>
        </row>
        <row r="28">
          <cell r="C28">
            <v>106</v>
          </cell>
        </row>
        <row r="29">
          <cell r="C29">
            <v>107</v>
          </cell>
        </row>
        <row r="30">
          <cell r="C30">
            <v>108</v>
          </cell>
        </row>
        <row r="31">
          <cell r="C31">
            <v>109</v>
          </cell>
        </row>
        <row r="32">
          <cell r="C32">
            <v>110</v>
          </cell>
        </row>
        <row r="33">
          <cell r="C33">
            <v>111</v>
          </cell>
        </row>
        <row r="34">
          <cell r="C34">
            <v>112</v>
          </cell>
        </row>
        <row r="35">
          <cell r="C35">
            <v>113</v>
          </cell>
        </row>
        <row r="36">
          <cell r="C36">
            <v>114</v>
          </cell>
        </row>
        <row r="37">
          <cell r="C37">
            <v>115</v>
          </cell>
        </row>
        <row r="38">
          <cell r="C38">
            <v>116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лан ГЗ end"/>
      <sheetName val="План ГЗ"/>
      <sheetName val="Фонд"/>
      <sheetName val="ФКРБ"/>
      <sheetName val="ЭКРБ"/>
      <sheetName val="Источник финансирования"/>
      <sheetName val="КПВЭД"/>
      <sheetName val="Способ закупки"/>
      <sheetName val="Вид предмета"/>
      <sheetName val="ОКЕИ"/>
      <sheetName val="Месяцы"/>
      <sheetName val="КАТО"/>
      <sheetName val="Год"/>
      <sheetName val="Тип пункта плана"/>
      <sheetName val="Служебный ФКР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111 Оплата труда</v>
          </cell>
        </row>
        <row r="2">
          <cell r="A2" t="str">
            <v xml:space="preserve">113 Компенсационные выплаты </v>
          </cell>
        </row>
        <row r="3">
          <cell r="A3" t="str">
            <v>114 Дополнительно установленные обязательные пенсионные взносы судей и обязательные пенсионные взносы военнослужащих, сотрудников органов внутренних дел, Комитета уголовно-исполнительной системы Республики Казахстан, органов финансовой полиции и государст</v>
          </cell>
        </row>
        <row r="4">
          <cell r="A4" t="str">
            <v>121 Социальный налог</v>
          </cell>
        </row>
        <row r="5">
          <cell r="A5" t="str">
            <v>122 Социальные отчисления в Государственный фонд социального страхования</v>
          </cell>
        </row>
        <row r="6">
          <cell r="A6" t="str">
            <v xml:space="preserve">125 Взносы на обязательное страхование </v>
          </cell>
        </row>
        <row r="7">
          <cell r="A7" t="str">
            <v>131 Приобретение продуктов питания</v>
          </cell>
        </row>
        <row r="8">
          <cell r="A8" t="str">
            <v>132 Приобретение медикаментов и прочих средств медицинского назначения</v>
          </cell>
        </row>
        <row r="9">
          <cell r="A9" t="str">
            <v>134 Приобретение, пошив и ремонт предметов вещевого имущества и другого форменного и специального обмундирования</v>
          </cell>
        </row>
        <row r="10">
          <cell r="A10" t="str">
            <v>135 Приобретение особого оборудования и материалов</v>
          </cell>
        </row>
        <row r="11">
          <cell r="A11" t="str">
            <v>139 Приобретение прочих товаров</v>
          </cell>
        </row>
        <row r="12">
          <cell r="A12" t="str">
            <v>141 Оплата коммунальных услуг</v>
          </cell>
        </row>
        <row r="13">
          <cell r="A13" t="str">
            <v>142 Оплата услуг связи</v>
          </cell>
        </row>
        <row r="14">
          <cell r="A14" t="str">
            <v>143 Оплата транспортных услуг</v>
          </cell>
        </row>
        <row r="15">
          <cell r="A15" t="str">
            <v>147 Оплата аренды за помещение</v>
          </cell>
        </row>
        <row r="16">
          <cell r="A16" t="str">
            <v>148 Оплата услуг в рамках государственного социального заказа</v>
          </cell>
        </row>
        <row r="17">
          <cell r="A17" t="str">
            <v>149 Прочие услуги и работы</v>
          </cell>
        </row>
        <row r="18">
          <cell r="A18" t="str">
            <v>151 Командировки и служебные разъезды внутри страны</v>
          </cell>
        </row>
        <row r="19">
          <cell r="A19" t="str">
            <v>152 Командировки и служебные разъезды за пределы страны</v>
          </cell>
        </row>
        <row r="20">
          <cell r="A20" t="str">
            <v>153 Затраты фонда всеобщего обязательного среднего образования</v>
          </cell>
        </row>
        <row r="21">
          <cell r="A21" t="str">
            <v>155 Исполнение исполнительных документов, судебных актов</v>
          </cell>
        </row>
        <row r="22">
          <cell r="A22" t="str">
            <v>157 Особые затраты</v>
          </cell>
        </row>
        <row r="23">
          <cell r="A23" t="str">
            <v>159 Прочие текущие затраты</v>
          </cell>
        </row>
        <row r="24">
          <cell r="A24" t="str">
            <v xml:space="preserve">211 Выплаты вознаграждений  по внутренним займам </v>
          </cell>
        </row>
        <row r="25">
          <cell r="A25" t="str">
            <v>212 Выплаты вознаграждений по займам, полученным из республиканского бюджета местными исполнительными органами</v>
          </cell>
        </row>
        <row r="26">
          <cell r="A26" t="str">
            <v xml:space="preserve">213 Выплаты вознаграждений по опреациям управления рисками </v>
          </cell>
        </row>
        <row r="27">
          <cell r="A27" t="str">
            <v>221 Выплаты вознаграждений по внешним займам Правительства Республики Казахстан</v>
          </cell>
        </row>
        <row r="28">
          <cell r="A28" t="str">
            <v xml:space="preserve">311 Субсидии юридическим лицам, в том числе крестьянским (фермерским) хозяйствам </v>
          </cell>
        </row>
        <row r="29">
          <cell r="A29" t="str">
            <v>332 Трансферты физическим лицам</v>
          </cell>
        </row>
        <row r="30">
          <cell r="A30" t="str">
            <v>333 Пенсии</v>
          </cell>
        </row>
        <row r="31">
          <cell r="A31" t="str">
            <v>334 Стипендии</v>
          </cell>
        </row>
        <row r="32">
          <cell r="A32" t="str">
            <v>341 Субвенции</v>
          </cell>
        </row>
        <row r="33">
          <cell r="A33" t="str">
            <v>342 Бюджетные изъятия</v>
          </cell>
        </row>
        <row r="34">
          <cell r="A34" t="str">
            <v>349 Прочие текущие трансферты другим уровням государственного управления</v>
          </cell>
        </row>
        <row r="35">
          <cell r="A35" t="str">
            <v>351 Текущие трансферты организациям за границу</v>
          </cell>
        </row>
        <row r="36">
          <cell r="A36" t="str">
            <v>369 Различные прочие текущие трансферты</v>
          </cell>
        </row>
        <row r="37">
          <cell r="A37" t="str">
            <v>411 Приобретение товаров относящихся к основным средствам</v>
          </cell>
        </row>
        <row r="38">
          <cell r="A38" t="str">
            <v>412 Приобретение помещений, зданий и сооружений</v>
          </cell>
        </row>
        <row r="39">
          <cell r="A39" t="str">
            <v>421 Строительство зданий и сооружений</v>
          </cell>
        </row>
        <row r="40">
          <cell r="A40" t="str">
            <v>422 Строительство дорог</v>
          </cell>
        </row>
        <row r="41">
          <cell r="A41" t="str">
            <v xml:space="preserve">423 Строительство и доставка судов </v>
          </cell>
        </row>
        <row r="42">
          <cell r="A42" t="str">
            <v>431 Капитальный ремонт помещений, зданий, сооружений</v>
          </cell>
        </row>
        <row r="43">
          <cell r="A43" t="str">
            <v>432 Капитальный ремонт дорог</v>
          </cell>
        </row>
        <row r="44">
          <cell r="A44" t="str">
            <v>439 Капитальный ремонт других объектов</v>
          </cell>
        </row>
        <row r="45">
          <cell r="A45" t="str">
            <v>451 Приобретение земли</v>
          </cell>
        </row>
        <row r="46">
          <cell r="A46" t="str">
            <v>452 Приобретение нематериальных активов</v>
          </cell>
        </row>
        <row r="47">
          <cell r="A47" t="str">
            <v>461 Капитальные трансферты юридическим лицам</v>
          </cell>
        </row>
        <row r="48">
          <cell r="A48" t="str">
            <v>464 Капитальные трансферты другим уровням государственного управления</v>
          </cell>
        </row>
        <row r="49">
          <cell r="A49" t="str">
            <v>471 Капитальные трансферты международным организациям и правительствам иностранных государств</v>
          </cell>
        </row>
        <row r="50">
          <cell r="A50" t="str">
            <v>472 Капитальные трансферты на оплату обучения стипендиатов за рубежом</v>
          </cell>
        </row>
        <row r="51">
          <cell r="A51" t="str">
            <v>511 Бюджетные кредиты местным исполнительным органам</v>
          </cell>
        </row>
        <row r="52">
          <cell r="A52" t="str">
            <v>512 Бюджетные кредиты банкам-заемщикам</v>
          </cell>
        </row>
        <row r="53">
          <cell r="A53" t="str">
            <v>514 Бюджетные кредиты физическим лицам</v>
          </cell>
        </row>
        <row r="54">
          <cell r="A54" t="str">
            <v>519 Прочие внутренние бюджетные кредиты</v>
          </cell>
        </row>
        <row r="55">
          <cell r="A55" t="str">
            <v>521 Бюджетные кредиты иностранным государствам</v>
          </cell>
        </row>
        <row r="56">
          <cell r="A56" t="str">
            <v>531 Поручительство государства</v>
          </cell>
        </row>
        <row r="57">
          <cell r="A57" t="str">
            <v>541 Государственная гарантия</v>
          </cell>
        </row>
        <row r="58">
          <cell r="A58" t="str">
            <v>611 Приобретение долей участия, ценных бумаг юридических лиц</v>
          </cell>
        </row>
        <row r="59">
          <cell r="A59" t="str">
            <v>612 Формирование и увеличение уставных капиталов государственных предприятий</v>
          </cell>
        </row>
        <row r="60">
          <cell r="A60" t="str">
            <v>621 Приобретение акций международных организаций</v>
          </cell>
        </row>
        <row r="61">
          <cell r="A61" t="str">
            <v>711 Погашение основного долга перед вышестоящим бюджетом</v>
          </cell>
        </row>
        <row r="62">
          <cell r="A62" t="str">
            <v>712 Погашение основного долга по государственным эмиссионным ценным бумагам, размещенным на  внутреннем рынке</v>
          </cell>
        </row>
        <row r="63">
          <cell r="A63" t="str">
            <v>713 Погашение основного долга по внутренним договорам займа</v>
          </cell>
        </row>
        <row r="64">
          <cell r="A64" t="str">
            <v>721 Погашение основного долга по государственным эмиссионным ценным бумагам, размещенным на внешнем рынке</v>
          </cell>
        </row>
        <row r="65">
          <cell r="A65" t="str">
            <v>722 Погашение основного долга по внешним договорам займа</v>
          </cell>
        </row>
      </sheetData>
      <sheetData sheetId="6">
        <row r="1">
          <cell r="A1" t="str">
            <v>1 Бюджет</v>
          </cell>
        </row>
        <row r="2">
          <cell r="A2" t="str">
            <v>2 Внешние займы</v>
          </cell>
        </row>
        <row r="3">
          <cell r="A3" t="str">
            <v>3 Деньги от реализации ГУ товаров (работ, услуг), остающихся в их распоряжении</v>
          </cell>
        </row>
        <row r="4">
          <cell r="A4" t="str">
            <v>4 Спонсорская и благотворительная помощь</v>
          </cell>
        </row>
        <row r="5">
          <cell r="A5" t="str">
            <v>5 Временно размещенные деньги физических и юридических лиц</v>
          </cell>
        </row>
        <row r="6">
          <cell r="A6" t="str">
            <v>6 Аккредитивы</v>
          </cell>
        </row>
      </sheetData>
      <sheetData sheetId="7" refreshError="1"/>
      <sheetData sheetId="8">
        <row r="1">
          <cell r="A1" t="str">
            <v>01 Конкурс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>
        <row r="2">
          <cell r="A2">
            <v>101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нализ"/>
      <sheetName val="П.2"/>
      <sheetName val="П.3"/>
      <sheetName val="4"/>
      <sheetName val="П. 5"/>
      <sheetName val="П.6"/>
      <sheetName val="П.7"/>
      <sheetName val="П.8"/>
      <sheetName val="П.9"/>
      <sheetName val="NPV IRR"/>
      <sheetName val="П. 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лан ГЗ end"/>
      <sheetName val="План ГЗ"/>
      <sheetName val="Фонд"/>
      <sheetName val="ФКРБ"/>
      <sheetName val="ЭКРБ"/>
      <sheetName val="Источник финансирования"/>
      <sheetName val="КПВЭД"/>
      <sheetName val="Способ закупки"/>
      <sheetName val="Вид предмета"/>
      <sheetName val="ОКЕИ"/>
      <sheetName val="Месяцы"/>
      <sheetName val="КАТО"/>
      <sheetName val="Год"/>
      <sheetName val="Тип пункта плана"/>
      <sheetName val="Служебный ФКР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01 Январь</v>
          </cell>
        </row>
      </sheetData>
      <sheetData sheetId="12"/>
      <sheetData sheetId="13"/>
      <sheetData sheetId="14">
        <row r="1">
          <cell r="A1" t="str">
            <v>01 Закупки, не превышающие финансовый год</v>
          </cell>
        </row>
        <row r="2">
          <cell r="A2" t="str">
            <v>02 Закупки, превышающие финансовый год</v>
          </cell>
        </row>
        <row r="3">
          <cell r="A3" t="str">
            <v>03 Закупки всчет условной экономии</v>
          </cell>
        </row>
      </sheetData>
      <sheetData sheetId="1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3"/>
      <sheetName val="77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selection activeCell="I33" sqref="I33"/>
    </sheetView>
  </sheetViews>
  <sheetFormatPr defaultColWidth="9.140625" defaultRowHeight="15"/>
  <cols>
    <col min="1" max="1" width="30.42578125" style="1" customWidth="1"/>
    <col min="2" max="2" width="22" style="1" customWidth="1"/>
    <col min="3" max="3" width="16.42578125" style="1" customWidth="1"/>
    <col min="4" max="4" width="18.42578125" style="1" customWidth="1"/>
    <col min="5" max="5" width="14.140625" style="1" customWidth="1"/>
    <col min="6" max="16384" width="9.140625" style="1"/>
  </cols>
  <sheetData>
    <row r="1" spans="1:4">
      <c r="A1" s="1" t="s">
        <v>25</v>
      </c>
    </row>
    <row r="2" spans="1:4">
      <c r="A2" s="309" t="s">
        <v>2</v>
      </c>
      <c r="B2" s="309"/>
      <c r="C2" s="132" t="s">
        <v>1</v>
      </c>
    </row>
    <row r="3" spans="1:4">
      <c r="A3" s="314" t="s">
        <v>26</v>
      </c>
      <c r="B3" s="315"/>
      <c r="C3" s="133"/>
    </row>
    <row r="4" spans="1:4">
      <c r="A4" s="314" t="s">
        <v>3</v>
      </c>
      <c r="B4" s="315" t="s">
        <v>27</v>
      </c>
      <c r="C4" s="133"/>
    </row>
    <row r="5" spans="1:4">
      <c r="A5" s="300" t="s">
        <v>242</v>
      </c>
      <c r="B5" s="300"/>
      <c r="C5" s="133"/>
    </row>
    <row r="6" spans="1:4" ht="15" customHeight="1">
      <c r="A6" s="314" t="s">
        <v>29</v>
      </c>
      <c r="B6" s="315"/>
      <c r="C6" s="134"/>
    </row>
    <row r="7" spans="1:4" ht="15" customHeight="1">
      <c r="A7" s="314" t="s">
        <v>43</v>
      </c>
      <c r="B7" s="315"/>
      <c r="C7" s="135"/>
    </row>
    <row r="8" spans="1:4">
      <c r="A8" s="305" t="s">
        <v>30</v>
      </c>
      <c r="B8" s="306"/>
      <c r="C8" s="131">
        <f>SUM(C3:C7)</f>
        <v>0</v>
      </c>
    </row>
    <row r="9" spans="1:4">
      <c r="C9" s="2"/>
    </row>
    <row r="10" spans="1:4">
      <c r="A10" s="316" t="s">
        <v>31</v>
      </c>
      <c r="B10" s="316"/>
      <c r="C10" s="316"/>
    </row>
    <row r="11" spans="1:4">
      <c r="A11" s="309" t="s">
        <v>2</v>
      </c>
      <c r="B11" s="309"/>
      <c r="C11" s="132" t="s">
        <v>1</v>
      </c>
    </row>
    <row r="12" spans="1:4">
      <c r="A12" s="300" t="s">
        <v>32</v>
      </c>
      <c r="B12" s="300"/>
      <c r="C12" s="136"/>
    </row>
    <row r="13" spans="1:4">
      <c r="A13" s="300" t="s">
        <v>33</v>
      </c>
      <c r="B13" s="300"/>
      <c r="C13" s="136"/>
    </row>
    <row r="14" spans="1:4">
      <c r="A14" s="300" t="s">
        <v>34</v>
      </c>
      <c r="B14" s="300"/>
      <c r="C14" s="136"/>
    </row>
    <row r="15" spans="1:4">
      <c r="A15" s="305" t="s">
        <v>35</v>
      </c>
      <c r="B15" s="306"/>
      <c r="C15" s="130">
        <f>SUM(C12:C14)</f>
        <v>0</v>
      </c>
      <c r="D15" s="3"/>
    </row>
    <row r="16" spans="1:4">
      <c r="D16" s="3"/>
    </row>
    <row r="17" spans="1:4">
      <c r="A17" s="307" t="s">
        <v>36</v>
      </c>
      <c r="B17" s="308"/>
      <c r="C17" s="137">
        <f>C8-C15</f>
        <v>0</v>
      </c>
    </row>
    <row r="18" spans="1:4">
      <c r="C18" s="4"/>
    </row>
    <row r="19" spans="1:4">
      <c r="A19" s="1" t="s">
        <v>37</v>
      </c>
      <c r="C19" s="4"/>
    </row>
    <row r="20" spans="1:4">
      <c r="A20" s="309" t="s">
        <v>2</v>
      </c>
      <c r="B20" s="309"/>
      <c r="C20" s="132" t="s">
        <v>1</v>
      </c>
    </row>
    <row r="21" spans="1:4">
      <c r="A21" s="300" t="s">
        <v>26</v>
      </c>
      <c r="B21" s="300"/>
      <c r="C21" s="138"/>
    </row>
    <row r="22" spans="1:4">
      <c r="A22" s="300" t="s">
        <v>3</v>
      </c>
      <c r="B22" s="300" t="s">
        <v>27</v>
      </c>
      <c r="C22" s="138"/>
    </row>
    <row r="23" spans="1:4">
      <c r="A23" s="300" t="s">
        <v>28</v>
      </c>
      <c r="B23" s="300"/>
      <c r="C23" s="138"/>
    </row>
    <row r="24" spans="1:4">
      <c r="A24" s="300" t="s">
        <v>243</v>
      </c>
      <c r="B24" s="300"/>
      <c r="C24" s="138"/>
      <c r="D24" s="4"/>
    </row>
    <row r="25" spans="1:4">
      <c r="A25" s="139"/>
      <c r="B25" s="140"/>
      <c r="C25" s="141">
        <f>SUM(C21:C24)</f>
        <v>0</v>
      </c>
    </row>
    <row r="26" spans="1:4">
      <c r="A26" s="310" t="s">
        <v>38</v>
      </c>
      <c r="B26" s="311"/>
      <c r="C26" s="312"/>
    </row>
    <row r="27" spans="1:4">
      <c r="A27" s="309" t="s">
        <v>39</v>
      </c>
      <c r="B27" s="309"/>
      <c r="C27" s="138"/>
    </row>
    <row r="28" spans="1:4">
      <c r="A28" s="139"/>
      <c r="B28" s="142"/>
      <c r="C28" s="130">
        <f>C25+C27</f>
        <v>0</v>
      </c>
    </row>
    <row r="29" spans="1:4">
      <c r="A29" s="5"/>
      <c r="B29" s="5"/>
      <c r="C29" s="6"/>
    </row>
    <row r="30" spans="1:4">
      <c r="A30" s="313" t="s">
        <v>40</v>
      </c>
      <c r="B30" s="313"/>
      <c r="C30" s="2"/>
    </row>
    <row r="31" spans="1:4">
      <c r="A31" s="309" t="s">
        <v>2</v>
      </c>
      <c r="B31" s="309"/>
      <c r="C31" s="132" t="s">
        <v>1</v>
      </c>
    </row>
    <row r="32" spans="1:4">
      <c r="A32" s="300" t="s">
        <v>26</v>
      </c>
      <c r="B32" s="300"/>
      <c r="C32" s="143"/>
    </row>
    <row r="33" spans="1:4">
      <c r="A33" s="300" t="s">
        <v>3</v>
      </c>
      <c r="B33" s="300" t="s">
        <v>27</v>
      </c>
      <c r="C33" s="143"/>
    </row>
    <row r="34" spans="1:4">
      <c r="A34" s="300" t="s">
        <v>28</v>
      </c>
      <c r="B34" s="300"/>
      <c r="C34" s="143"/>
    </row>
    <row r="35" spans="1:4">
      <c r="A35" s="300" t="s">
        <v>41</v>
      </c>
      <c r="B35" s="300"/>
      <c r="C35" s="143"/>
      <c r="D35" s="3"/>
    </row>
    <row r="36" spans="1:4">
      <c r="A36" s="301"/>
      <c r="B36" s="302"/>
      <c r="C36" s="144">
        <f>SUM(C32:C35)</f>
        <v>0</v>
      </c>
    </row>
    <row r="37" spans="1:4">
      <c r="A37" s="7"/>
      <c r="B37" s="7"/>
      <c r="C37" s="8"/>
    </row>
    <row r="38" spans="1:4">
      <c r="A38" s="303" t="s">
        <v>42</v>
      </c>
      <c r="B38" s="304"/>
      <c r="C38" s="145">
        <f>C28-C36</f>
        <v>0</v>
      </c>
    </row>
    <row r="39" spans="1:4">
      <c r="C39" s="4"/>
    </row>
    <row r="40" spans="1:4">
      <c r="C40" s="9"/>
    </row>
    <row r="41" spans="1:4">
      <c r="C41" s="9"/>
    </row>
    <row r="43" spans="1:4">
      <c r="C43" s="4"/>
    </row>
    <row r="44" spans="1:4">
      <c r="C44" s="4"/>
    </row>
  </sheetData>
  <mergeCells count="29">
    <mergeCell ref="A14:B14"/>
    <mergeCell ref="A2:B2"/>
    <mergeCell ref="A3:B3"/>
    <mergeCell ref="A4:B4"/>
    <mergeCell ref="A5:B5"/>
    <mergeCell ref="A6:B6"/>
    <mergeCell ref="A7:B7"/>
    <mergeCell ref="A8:B8"/>
    <mergeCell ref="A10:C10"/>
    <mergeCell ref="A11:B11"/>
    <mergeCell ref="A12:B12"/>
    <mergeCell ref="A13:B13"/>
    <mergeCell ref="A32:B32"/>
    <mergeCell ref="A15:B15"/>
    <mergeCell ref="A17:B17"/>
    <mergeCell ref="A20:B20"/>
    <mergeCell ref="A21:B21"/>
    <mergeCell ref="A22:B22"/>
    <mergeCell ref="A23:B23"/>
    <mergeCell ref="A24:B24"/>
    <mergeCell ref="A26:C26"/>
    <mergeCell ref="A27:B27"/>
    <mergeCell ref="A30:B30"/>
    <mergeCell ref="A31:B31"/>
    <mergeCell ref="A33:B33"/>
    <mergeCell ref="A34:B34"/>
    <mergeCell ref="A35:B35"/>
    <mergeCell ref="A36:B36"/>
    <mergeCell ref="A38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1"/>
  <sheetViews>
    <sheetView topLeftCell="A4" workbookViewId="0">
      <selection activeCell="E22" sqref="E22"/>
    </sheetView>
  </sheetViews>
  <sheetFormatPr defaultColWidth="8.85546875" defaultRowHeight="15"/>
  <cols>
    <col min="1" max="1" width="11.42578125" customWidth="1"/>
    <col min="2" max="2" width="22.42578125" customWidth="1"/>
    <col min="3" max="3" width="16.85546875" customWidth="1"/>
    <col min="4" max="4" width="15" customWidth="1"/>
    <col min="5" max="5" width="14.85546875" customWidth="1"/>
    <col min="6" max="6" width="12.42578125" customWidth="1"/>
    <col min="7" max="7" width="15.42578125" customWidth="1"/>
  </cols>
  <sheetData>
    <row r="3" spans="1:7" ht="33" customHeight="1">
      <c r="A3" s="317" t="s">
        <v>244</v>
      </c>
      <c r="B3" s="317" t="s">
        <v>2</v>
      </c>
      <c r="C3" s="317" t="s">
        <v>246</v>
      </c>
      <c r="D3" s="317" t="s">
        <v>247</v>
      </c>
      <c r="E3" s="317" t="s">
        <v>245</v>
      </c>
      <c r="F3" s="317"/>
      <c r="G3" s="317" t="s">
        <v>250</v>
      </c>
    </row>
    <row r="4" spans="1:7" ht="53.25" customHeight="1">
      <c r="A4" s="317"/>
      <c r="B4" s="317"/>
      <c r="C4" s="317"/>
      <c r="D4" s="317"/>
      <c r="E4" s="146" t="s">
        <v>248</v>
      </c>
      <c r="F4" s="146" t="s">
        <v>249</v>
      </c>
      <c r="G4" s="317"/>
    </row>
    <row r="5" spans="1:7">
      <c r="A5" s="132">
        <v>2016</v>
      </c>
      <c r="B5" s="132" t="s">
        <v>251</v>
      </c>
      <c r="C5" s="132">
        <v>331</v>
      </c>
      <c r="D5" s="147">
        <f>E5*C5</f>
        <v>519863.304</v>
      </c>
      <c r="E5" s="147">
        <f>F5*12</f>
        <v>1570.5840000000001</v>
      </c>
      <c r="F5" s="147">
        <v>130.88200000000001</v>
      </c>
      <c r="G5" s="147">
        <v>1029130.1</v>
      </c>
    </row>
    <row r="6" spans="1:7">
      <c r="A6" s="132">
        <v>2017</v>
      </c>
      <c r="B6" s="132" t="s">
        <v>252</v>
      </c>
      <c r="C6" s="132">
        <v>331</v>
      </c>
      <c r="D6" s="147">
        <f>E6*C6</f>
        <v>474288.576</v>
      </c>
      <c r="E6" s="147">
        <f>F6*12</f>
        <v>1432.896</v>
      </c>
      <c r="F6" s="147">
        <v>119.408</v>
      </c>
      <c r="G6" s="147" t="e">
        <f>#REF!+#REF!+#REF!</f>
        <v>#REF!</v>
      </c>
    </row>
    <row r="7" spans="1:7">
      <c r="A7" s="132">
        <v>2018</v>
      </c>
      <c r="B7" s="132" t="s">
        <v>252</v>
      </c>
      <c r="C7" s="132"/>
      <c r="D7" s="132"/>
      <c r="E7" s="132">
        <f>F7*12</f>
        <v>0</v>
      </c>
      <c r="F7" s="132"/>
      <c r="G7" s="147"/>
    </row>
    <row r="8" spans="1:7">
      <c r="A8" s="132"/>
      <c r="B8" s="132"/>
      <c r="C8" s="132"/>
      <c r="D8" s="132"/>
      <c r="E8" s="132"/>
      <c r="F8" s="132"/>
      <c r="G8" s="147"/>
    </row>
    <row r="9" spans="1:7">
      <c r="A9" s="132"/>
      <c r="B9" s="132"/>
      <c r="C9" s="132"/>
      <c r="D9" s="132"/>
      <c r="E9" s="132"/>
      <c r="F9" s="132"/>
      <c r="G9" s="147"/>
    </row>
    <row r="10" spans="1:7">
      <c r="A10" s="132"/>
      <c r="B10" s="132"/>
      <c r="C10" s="132"/>
      <c r="D10" s="132"/>
      <c r="E10" s="132"/>
      <c r="F10" s="132"/>
      <c r="G10" s="147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 ht="18">
      <c r="A13" s="1"/>
      <c r="B13" s="318" t="s">
        <v>258</v>
      </c>
      <c r="C13" s="318"/>
      <c r="D13" s="318"/>
      <c r="E13" s="1"/>
      <c r="F13" s="1"/>
      <c r="G13" s="1"/>
    </row>
    <row r="14" spans="1:7" ht="15" customHeight="1">
      <c r="A14" s="1"/>
      <c r="B14" s="150" t="s">
        <v>2</v>
      </c>
      <c r="C14" s="148" t="s">
        <v>254</v>
      </c>
      <c r="D14" s="148" t="s">
        <v>257</v>
      </c>
      <c r="E14" s="150"/>
      <c r="F14" s="1"/>
      <c r="G14" s="1"/>
    </row>
    <row r="15" spans="1:7">
      <c r="A15" s="1"/>
      <c r="B15" s="149" t="s">
        <v>253</v>
      </c>
      <c r="C15" s="147">
        <v>1029130.1</v>
      </c>
      <c r="D15" s="151" t="e">
        <f>#REF!+#REF!+#REF!</f>
        <v>#REF!</v>
      </c>
      <c r="E15" s="162" t="e">
        <f>D15/C15</f>
        <v>#REF!</v>
      </c>
      <c r="F15" s="1"/>
      <c r="G15" s="1"/>
    </row>
    <row r="16" spans="1:7">
      <c r="A16" s="1"/>
      <c r="B16" s="149" t="s">
        <v>255</v>
      </c>
      <c r="C16" s="147">
        <v>331</v>
      </c>
      <c r="D16" s="132">
        <v>331</v>
      </c>
      <c r="E16" s="162"/>
      <c r="F16" s="1"/>
      <c r="G16" s="1"/>
    </row>
    <row r="17" spans="1:7" ht="30">
      <c r="A17" s="1"/>
      <c r="B17" s="163" t="s">
        <v>256</v>
      </c>
      <c r="C17" s="152">
        <f>C15/C16</f>
        <v>3109.1543806646523</v>
      </c>
      <c r="D17" s="152" t="e">
        <f>D15/D16</f>
        <v>#REF!</v>
      </c>
      <c r="E17" s="162" t="e">
        <f>D17/C17</f>
        <v>#REF!</v>
      </c>
      <c r="F17" s="1"/>
      <c r="G17" s="1"/>
    </row>
    <row r="18" spans="1:7">
      <c r="A18" s="1"/>
      <c r="B18" s="156" t="s">
        <v>260</v>
      </c>
      <c r="C18" s="147" t="e">
        <f>#REF!</f>
        <v>#REF!</v>
      </c>
      <c r="D18" s="147" t="e">
        <f>#REF!</f>
        <v>#REF!</v>
      </c>
      <c r="E18" s="164" t="e">
        <f>D18/C18</f>
        <v>#REF!</v>
      </c>
      <c r="F18" s="1"/>
      <c r="G18" s="1"/>
    </row>
    <row r="19" spans="1:7">
      <c r="A19" s="1"/>
      <c r="B19" s="309" t="s">
        <v>259</v>
      </c>
      <c r="C19" s="309"/>
      <c r="D19" s="309"/>
      <c r="E19" s="162" t="e">
        <f>E15/E18</f>
        <v>#REF!</v>
      </c>
      <c r="F19" s="1"/>
      <c r="G19" s="1"/>
    </row>
    <row r="20" spans="1:7" s="160" customFormat="1">
      <c r="A20" s="158"/>
      <c r="B20" s="159"/>
      <c r="C20" s="158"/>
      <c r="D20" s="158"/>
      <c r="E20" s="158"/>
      <c r="F20" s="158"/>
      <c r="G20" s="158"/>
    </row>
    <row r="21" spans="1:7" ht="45">
      <c r="A21" s="1"/>
      <c r="B21" s="157" t="s">
        <v>261</v>
      </c>
      <c r="C21" s="147">
        <v>437051.5</v>
      </c>
      <c r="D21" s="147">
        <v>471413.5477363714</v>
      </c>
      <c r="E21" s="161" t="e">
        <f>D21*((E18-E15)/E18)</f>
        <v>#REF!</v>
      </c>
      <c r="F21" s="1"/>
      <c r="G21" s="1"/>
    </row>
  </sheetData>
  <mergeCells count="8">
    <mergeCell ref="B19:D19"/>
    <mergeCell ref="G3:G4"/>
    <mergeCell ref="B13:D13"/>
    <mergeCell ref="A3:A4"/>
    <mergeCell ref="B3:B4"/>
    <mergeCell ref="C3:C4"/>
    <mergeCell ref="D3:D4"/>
    <mergeCell ref="E3:F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5"/>
  <sheetViews>
    <sheetView topLeftCell="B121" zoomScale="90" zoomScaleNormal="90" workbookViewId="0">
      <selection activeCell="J154" sqref="J154"/>
    </sheetView>
  </sheetViews>
  <sheetFormatPr defaultColWidth="9.140625" defaultRowHeight="15.75"/>
  <cols>
    <col min="1" max="1" width="4.140625" style="50" hidden="1" customWidth="1"/>
    <col min="2" max="2" width="5.42578125" style="50" customWidth="1"/>
    <col min="3" max="3" width="25.42578125" style="50" customWidth="1"/>
    <col min="4" max="4" width="10.42578125" style="50" customWidth="1"/>
    <col min="5" max="5" width="18.42578125" style="50" customWidth="1"/>
    <col min="6" max="6" width="9.85546875" style="50" customWidth="1"/>
    <col min="7" max="7" width="12.42578125" style="50" customWidth="1"/>
    <col min="8" max="9" width="9.42578125" style="50" hidden="1" customWidth="1"/>
    <col min="10" max="10" width="17" style="50" customWidth="1"/>
    <col min="11" max="11" width="9.42578125" style="50" hidden="1" customWidth="1"/>
    <col min="12" max="14" width="3.42578125" style="50" hidden="1" customWidth="1"/>
    <col min="15" max="15" width="3.140625" style="50" hidden="1" customWidth="1"/>
    <col min="16" max="16" width="13.42578125" style="50" bestFit="1" customWidth="1"/>
    <col min="17" max="16384" width="9.140625" style="50"/>
  </cols>
  <sheetData>
    <row r="1" spans="1:15" ht="14.25" customHeight="1">
      <c r="A1" s="49" t="s">
        <v>44</v>
      </c>
      <c r="B1" s="357" t="s">
        <v>45</v>
      </c>
      <c r="C1" s="357"/>
      <c r="D1" s="357"/>
      <c r="E1" s="357"/>
      <c r="F1" s="357"/>
      <c r="G1" s="357"/>
      <c r="H1" s="357"/>
      <c r="I1" s="357"/>
      <c r="J1" s="357"/>
      <c r="K1" s="85"/>
      <c r="O1" s="51"/>
    </row>
    <row r="2" spans="1:15" ht="15.75" customHeight="1">
      <c r="A2" s="49" t="s">
        <v>44</v>
      </c>
      <c r="B2" s="86" t="s">
        <v>44</v>
      </c>
      <c r="C2" s="86" t="s">
        <v>44</v>
      </c>
      <c r="D2" s="86" t="s">
        <v>44</v>
      </c>
      <c r="E2" s="86" t="s">
        <v>44</v>
      </c>
      <c r="F2" s="86" t="s">
        <v>44</v>
      </c>
      <c r="G2" s="49" t="s">
        <v>44</v>
      </c>
      <c r="H2" s="87"/>
      <c r="I2" s="87"/>
      <c r="J2" s="49" t="s">
        <v>44</v>
      </c>
      <c r="K2" s="49"/>
      <c r="O2" s="51"/>
    </row>
    <row r="3" spans="1:15" ht="14.25" customHeight="1">
      <c r="A3" s="49" t="s">
        <v>44</v>
      </c>
      <c r="B3" s="358" t="s">
        <v>201</v>
      </c>
      <c r="C3" s="358"/>
      <c r="D3" s="358"/>
      <c r="E3" s="358"/>
      <c r="F3" s="358"/>
      <c r="G3" s="358"/>
      <c r="H3" s="358"/>
      <c r="I3" s="358"/>
      <c r="J3" s="358"/>
      <c r="K3" s="88"/>
      <c r="O3" s="51"/>
    </row>
    <row r="4" spans="1:15" ht="14.25" customHeight="1">
      <c r="A4" s="49" t="s">
        <v>44</v>
      </c>
      <c r="B4" s="359" t="s">
        <v>44</v>
      </c>
      <c r="C4" s="359"/>
      <c r="D4" s="359"/>
      <c r="E4" s="359"/>
      <c r="F4" s="359"/>
      <c r="G4" s="359"/>
      <c r="H4" s="359"/>
      <c r="I4" s="359"/>
      <c r="J4" s="359"/>
      <c r="K4" s="89"/>
      <c r="O4" s="51"/>
    </row>
    <row r="5" spans="1:15" ht="24.75" customHeight="1">
      <c r="A5" s="49" t="s">
        <v>44</v>
      </c>
      <c r="B5" s="360" t="s">
        <v>47</v>
      </c>
      <c r="C5" s="360"/>
      <c r="D5" s="360"/>
      <c r="E5" s="360"/>
      <c r="F5" s="360"/>
      <c r="G5" s="360"/>
      <c r="H5" s="360"/>
      <c r="I5" s="360"/>
      <c r="J5" s="360"/>
      <c r="K5" s="90"/>
      <c r="O5" s="51"/>
    </row>
    <row r="6" spans="1:15" ht="12" customHeight="1">
      <c r="A6" s="49" t="s">
        <v>44</v>
      </c>
      <c r="B6" s="360" t="s">
        <v>48</v>
      </c>
      <c r="C6" s="360"/>
      <c r="D6" s="360"/>
      <c r="E6" s="360"/>
      <c r="F6" s="360"/>
      <c r="G6" s="360"/>
      <c r="H6" s="360"/>
      <c r="I6" s="360"/>
      <c r="J6" s="360"/>
      <c r="K6" s="90"/>
      <c r="O6" s="51"/>
    </row>
    <row r="7" spans="1:15" ht="12" customHeight="1">
      <c r="A7" s="49" t="s">
        <v>44</v>
      </c>
      <c r="B7" s="361" t="s">
        <v>183</v>
      </c>
      <c r="C7" s="361"/>
      <c r="D7" s="361"/>
      <c r="E7" s="361"/>
      <c r="F7" s="361"/>
      <c r="G7" s="361"/>
      <c r="H7" s="361"/>
      <c r="I7" s="91"/>
      <c r="J7" s="71" t="s">
        <v>50</v>
      </c>
      <c r="K7" s="92"/>
      <c r="O7" s="51"/>
    </row>
    <row r="8" spans="1:15" ht="15.75" hidden="1" customHeight="1"/>
    <row r="9" spans="1:15" ht="15.75" hidden="1" customHeight="1"/>
    <row r="10" spans="1:15" ht="15.75" hidden="1" customHeight="1"/>
    <row r="11" spans="1:15" ht="15.75" hidden="1" customHeight="1"/>
    <row r="12" spans="1:15" ht="15.75" hidden="1" customHeight="1"/>
    <row r="13" spans="1:15" ht="15.75" hidden="1" customHeight="1"/>
    <row r="14" spans="1:15" ht="15.75" hidden="1" customHeight="1"/>
    <row r="15" spans="1:15" ht="15.75" hidden="1" customHeight="1"/>
    <row r="16" spans="1:15" ht="15.75" hidden="1" customHeight="1"/>
    <row r="17" spans="1:16" ht="15.75" hidden="1" customHeight="1"/>
    <row r="18" spans="1:16" ht="15.75" hidden="1" customHeight="1"/>
    <row r="19" spans="1:16" ht="15.75" hidden="1" customHeight="1"/>
    <row r="20" spans="1:16" ht="15.75" hidden="1" customHeight="1"/>
    <row r="21" spans="1:16" ht="15.75" hidden="1" customHeight="1"/>
    <row r="22" spans="1:16" ht="12" customHeight="1">
      <c r="A22" s="56" t="s">
        <v>44</v>
      </c>
      <c r="B22" s="362" t="s">
        <v>0</v>
      </c>
      <c r="C22" s="365" t="s">
        <v>51</v>
      </c>
      <c r="D22" s="366"/>
      <c r="E22" s="366"/>
      <c r="F22" s="366"/>
      <c r="G22" s="367"/>
      <c r="H22" s="93"/>
      <c r="I22" s="366" t="s">
        <v>52</v>
      </c>
      <c r="J22" s="367"/>
      <c r="K22" s="94"/>
    </row>
    <row r="23" spans="1:16" ht="12" customHeight="1">
      <c r="A23" s="56" t="s">
        <v>44</v>
      </c>
      <c r="B23" s="363"/>
      <c r="C23" s="368"/>
      <c r="D23" s="369"/>
      <c r="E23" s="369"/>
      <c r="F23" s="369"/>
      <c r="G23" s="370"/>
      <c r="H23" s="95"/>
      <c r="I23" s="369"/>
      <c r="J23" s="370"/>
      <c r="K23" s="94"/>
    </row>
    <row r="24" spans="1:16" ht="24" customHeight="1">
      <c r="A24" s="56" t="s">
        <v>44</v>
      </c>
      <c r="B24" s="364"/>
      <c r="C24" s="371"/>
      <c r="D24" s="372"/>
      <c r="E24" s="372"/>
      <c r="F24" s="372"/>
      <c r="G24" s="373"/>
      <c r="H24" s="96"/>
      <c r="I24" s="372"/>
      <c r="J24" s="373"/>
      <c r="K24" s="94"/>
    </row>
    <row r="25" spans="1:16" ht="15.75" hidden="1" customHeight="1"/>
    <row r="26" spans="1:16" ht="15.75" hidden="1" customHeight="1"/>
    <row r="27" spans="1:16" ht="15.75" hidden="1" customHeight="1"/>
    <row r="28" spans="1:16" ht="15.75" customHeight="1">
      <c r="A28" s="56" t="s">
        <v>44</v>
      </c>
      <c r="B28" s="57">
        <v>1</v>
      </c>
      <c r="C28" s="57">
        <v>2</v>
      </c>
      <c r="D28" s="57">
        <v>3</v>
      </c>
      <c r="E28" s="57">
        <v>4</v>
      </c>
      <c r="F28" s="57">
        <v>5</v>
      </c>
      <c r="G28" s="57">
        <v>6</v>
      </c>
      <c r="H28" s="57"/>
      <c r="I28" s="57"/>
      <c r="J28" s="57">
        <v>10</v>
      </c>
      <c r="K28" s="94"/>
    </row>
    <row r="29" spans="1:16">
      <c r="A29" s="56" t="s">
        <v>44</v>
      </c>
      <c r="B29" s="58">
        <v>1</v>
      </c>
      <c r="C29" s="323" t="s">
        <v>202</v>
      </c>
      <c r="D29" s="324"/>
      <c r="E29" s="324"/>
      <c r="F29" s="324"/>
      <c r="G29" s="325"/>
      <c r="H29" s="97"/>
      <c r="I29" s="97" t="e">
        <f>I35+I44+I46+I47+I50+#REF!+I68+I71+I72+I73+I77+I89+I97+I101+I106+I108+I116+I131+I142+I146+I147+I154+I32+I34+#REF!+#REF!+I151+#REF!+I98+I113+I155</f>
        <v>#REF!</v>
      </c>
      <c r="J29" s="97"/>
      <c r="K29" s="98"/>
      <c r="P29" s="76"/>
    </row>
    <row r="30" spans="1:16">
      <c r="A30" s="56" t="s">
        <v>44</v>
      </c>
      <c r="B30" s="58">
        <v>2</v>
      </c>
      <c r="C30" s="332" t="s">
        <v>54</v>
      </c>
      <c r="D30" s="323" t="s">
        <v>5</v>
      </c>
      <c r="E30" s="324"/>
      <c r="F30" s="324"/>
      <c r="G30" s="325"/>
      <c r="H30" s="97"/>
      <c r="I30" s="97"/>
      <c r="J30" s="99" t="e">
        <f>SUM(J31:J155)</f>
        <v>#REF!</v>
      </c>
      <c r="K30" s="98"/>
      <c r="P30" s="53" t="e">
        <f>#REF!</f>
        <v>#REF!</v>
      </c>
    </row>
    <row r="31" spans="1:16">
      <c r="A31" s="56" t="s">
        <v>44</v>
      </c>
      <c r="B31" s="58">
        <v>3</v>
      </c>
      <c r="C31" s="333"/>
      <c r="D31" s="342" t="s">
        <v>55</v>
      </c>
      <c r="E31" s="319" t="s">
        <v>56</v>
      </c>
      <c r="F31" s="320"/>
      <c r="G31" s="321"/>
      <c r="H31" s="72"/>
      <c r="I31" s="72"/>
      <c r="J31" s="100"/>
      <c r="K31" s="98"/>
      <c r="P31" s="53" t="e">
        <f>J30-P30</f>
        <v>#REF!</v>
      </c>
    </row>
    <row r="32" spans="1:16" ht="21" customHeight="1">
      <c r="A32" s="56" t="s">
        <v>44</v>
      </c>
      <c r="B32" s="58">
        <v>4</v>
      </c>
      <c r="C32" s="333"/>
      <c r="D32" s="343"/>
      <c r="E32" s="319" t="s">
        <v>57</v>
      </c>
      <c r="F32" s="320"/>
      <c r="G32" s="321"/>
      <c r="H32" s="72"/>
      <c r="I32" s="72"/>
      <c r="J32" s="81" t="e">
        <f>#REF!</f>
        <v>#REF!</v>
      </c>
      <c r="K32" s="98"/>
      <c r="P32" s="53" t="e">
        <f>P31-#REF!</f>
        <v>#REF!</v>
      </c>
    </row>
    <row r="33" spans="1:16" ht="12" customHeight="1">
      <c r="A33" s="56" t="s">
        <v>44</v>
      </c>
      <c r="B33" s="58">
        <v>5</v>
      </c>
      <c r="C33" s="333"/>
      <c r="D33" s="343"/>
      <c r="E33" s="352" t="s">
        <v>58</v>
      </c>
      <c r="F33" s="353"/>
      <c r="G33" s="354"/>
      <c r="H33" s="72"/>
      <c r="I33" s="72"/>
      <c r="J33" s="81"/>
      <c r="K33" s="98"/>
    </row>
    <row r="34" spans="1:16" ht="21" customHeight="1">
      <c r="A34" s="56" t="s">
        <v>44</v>
      </c>
      <c r="B34" s="58">
        <v>6</v>
      </c>
      <c r="C34" s="349"/>
      <c r="D34" s="351"/>
      <c r="E34" s="329" t="s">
        <v>170</v>
      </c>
      <c r="F34" s="329"/>
      <c r="G34" s="329"/>
      <c r="H34" s="72"/>
      <c r="I34" s="72"/>
      <c r="J34" s="81" t="e">
        <f>#REF!</f>
        <v>#REF!</v>
      </c>
      <c r="K34" s="98"/>
    </row>
    <row r="35" spans="1:16" ht="16.5" customHeight="1">
      <c r="A35" s="56" t="s">
        <v>44</v>
      </c>
      <c r="B35" s="58">
        <v>7</v>
      </c>
      <c r="C35" s="332" t="s">
        <v>171</v>
      </c>
      <c r="D35" s="323" t="s">
        <v>5</v>
      </c>
      <c r="E35" s="355"/>
      <c r="F35" s="355"/>
      <c r="G35" s="356"/>
      <c r="H35" s="97"/>
      <c r="I35" s="101">
        <f>I36+I37</f>
        <v>0</v>
      </c>
      <c r="J35" s="102"/>
      <c r="K35" s="98"/>
    </row>
    <row r="36" spans="1:16">
      <c r="A36" s="56" t="s">
        <v>44</v>
      </c>
      <c r="B36" s="58">
        <v>8</v>
      </c>
      <c r="C36" s="333"/>
      <c r="D36" s="342" t="s">
        <v>55</v>
      </c>
      <c r="E36" s="336" t="s">
        <v>172</v>
      </c>
      <c r="F36" s="337"/>
      <c r="G36" s="338"/>
      <c r="H36" s="72"/>
      <c r="I36" s="72"/>
      <c r="J36" s="81" t="e">
        <f>#REF!+#REF!</f>
        <v>#REF!</v>
      </c>
      <c r="K36" s="98"/>
      <c r="P36" s="76"/>
    </row>
    <row r="37" spans="1:16" ht="12" customHeight="1">
      <c r="A37" s="56" t="s">
        <v>44</v>
      </c>
      <c r="B37" s="58">
        <v>9</v>
      </c>
      <c r="C37" s="349"/>
      <c r="D37" s="350"/>
      <c r="E37" s="336" t="s">
        <v>173</v>
      </c>
      <c r="F37" s="337"/>
      <c r="G37" s="338"/>
      <c r="H37" s="72"/>
      <c r="I37" s="72"/>
      <c r="J37" s="81" t="e">
        <f>#REF!</f>
        <v>#REF!</v>
      </c>
      <c r="K37" s="98"/>
      <c r="P37" s="76"/>
    </row>
    <row r="38" spans="1:16" ht="12" customHeight="1">
      <c r="A38" s="56" t="s">
        <v>44</v>
      </c>
      <c r="B38" s="58">
        <v>10</v>
      </c>
      <c r="C38" s="323" t="s">
        <v>203</v>
      </c>
      <c r="D38" s="324"/>
      <c r="E38" s="324"/>
      <c r="F38" s="324"/>
      <c r="G38" s="325"/>
      <c r="H38" s="97"/>
      <c r="I38" s="97"/>
      <c r="J38" s="102"/>
      <c r="K38" s="98"/>
    </row>
    <row r="39" spans="1:16" ht="12" customHeight="1">
      <c r="A39" s="56" t="s">
        <v>44</v>
      </c>
      <c r="B39" s="58">
        <v>11</v>
      </c>
      <c r="C39" s="332" t="s">
        <v>186</v>
      </c>
      <c r="D39" s="323" t="s">
        <v>5</v>
      </c>
      <c r="E39" s="324"/>
      <c r="F39" s="324"/>
      <c r="G39" s="325"/>
      <c r="H39" s="97"/>
      <c r="I39" s="97"/>
      <c r="J39" s="102"/>
      <c r="K39" s="98"/>
    </row>
    <row r="40" spans="1:16" ht="12" customHeight="1">
      <c r="A40" s="56" t="s">
        <v>44</v>
      </c>
      <c r="B40" s="58">
        <v>12</v>
      </c>
      <c r="C40" s="333"/>
      <c r="D40" s="342" t="s">
        <v>55</v>
      </c>
      <c r="E40" s="319" t="s">
        <v>128</v>
      </c>
      <c r="F40" s="320"/>
      <c r="G40" s="321"/>
      <c r="H40" s="72"/>
      <c r="I40" s="72"/>
      <c r="J40" s="81" t="e">
        <f>#REF!</f>
        <v>#REF!</v>
      </c>
      <c r="K40" s="98"/>
    </row>
    <row r="41" spans="1:16" ht="12" customHeight="1">
      <c r="A41" s="56" t="s">
        <v>44</v>
      </c>
      <c r="B41" s="58">
        <v>13</v>
      </c>
      <c r="C41" s="349"/>
      <c r="D41" s="350"/>
      <c r="E41" s="319" t="s">
        <v>129</v>
      </c>
      <c r="F41" s="320"/>
      <c r="G41" s="321"/>
      <c r="H41" s="72"/>
      <c r="I41" s="72"/>
      <c r="J41" s="81" t="e">
        <f>#REF!</f>
        <v>#REF!</v>
      </c>
      <c r="K41" s="98"/>
    </row>
    <row r="42" spans="1:16" ht="12" customHeight="1">
      <c r="A42" s="56" t="s">
        <v>44</v>
      </c>
      <c r="B42" s="58">
        <v>14</v>
      </c>
      <c r="C42" s="332" t="s">
        <v>204</v>
      </c>
      <c r="D42" s="323" t="s">
        <v>5</v>
      </c>
      <c r="E42" s="324"/>
      <c r="F42" s="324"/>
      <c r="G42" s="325"/>
      <c r="H42" s="97"/>
      <c r="I42" s="97"/>
      <c r="J42" s="102"/>
      <c r="K42" s="98"/>
    </row>
    <row r="43" spans="1:16" ht="12" customHeight="1">
      <c r="A43" s="56" t="s">
        <v>44</v>
      </c>
      <c r="B43" s="58">
        <v>15</v>
      </c>
      <c r="C43" s="333"/>
      <c r="D43" s="342" t="s">
        <v>55</v>
      </c>
      <c r="E43" s="319" t="s">
        <v>128</v>
      </c>
      <c r="F43" s="320"/>
      <c r="G43" s="321"/>
      <c r="H43" s="72"/>
      <c r="I43" s="72"/>
      <c r="J43" s="81" t="e">
        <f>#REF!</f>
        <v>#REF!</v>
      </c>
      <c r="K43" s="98"/>
    </row>
    <row r="44" spans="1:16" ht="12" customHeight="1">
      <c r="A44" s="56" t="s">
        <v>44</v>
      </c>
      <c r="B44" s="58">
        <v>16</v>
      </c>
      <c r="C44" s="349"/>
      <c r="D44" s="350"/>
      <c r="E44" s="319" t="s">
        <v>129</v>
      </c>
      <c r="F44" s="320"/>
      <c r="G44" s="321"/>
      <c r="H44" s="72"/>
      <c r="I44" s="72"/>
      <c r="J44" s="81" t="e">
        <f>#REF!</f>
        <v>#REF!</v>
      </c>
      <c r="K44" s="98"/>
    </row>
    <row r="45" spans="1:16" ht="12" customHeight="1">
      <c r="A45" s="56" t="s">
        <v>44</v>
      </c>
      <c r="B45" s="58">
        <v>17</v>
      </c>
      <c r="C45" s="332" t="s">
        <v>62</v>
      </c>
      <c r="D45" s="323" t="s">
        <v>5</v>
      </c>
      <c r="E45" s="324"/>
      <c r="F45" s="324"/>
      <c r="G45" s="325"/>
      <c r="H45" s="97"/>
      <c r="I45" s="97"/>
      <c r="J45" s="102"/>
      <c r="K45" s="98"/>
    </row>
    <row r="46" spans="1:16" ht="12" customHeight="1">
      <c r="A46" s="56" t="s">
        <v>44</v>
      </c>
      <c r="B46" s="58">
        <v>18</v>
      </c>
      <c r="C46" s="333"/>
      <c r="D46" s="342" t="s">
        <v>55</v>
      </c>
      <c r="E46" s="319" t="s">
        <v>63</v>
      </c>
      <c r="F46" s="320"/>
      <c r="G46" s="321"/>
      <c r="H46" s="72"/>
      <c r="I46" s="72"/>
      <c r="J46" s="81" t="e">
        <f>#REF!</f>
        <v>#REF!</v>
      </c>
      <c r="K46" s="98"/>
    </row>
    <row r="47" spans="1:16" ht="12" customHeight="1">
      <c r="A47" s="56" t="s">
        <v>44</v>
      </c>
      <c r="B47" s="58">
        <v>19</v>
      </c>
      <c r="C47" s="349"/>
      <c r="D47" s="350"/>
      <c r="E47" s="319" t="s">
        <v>64</v>
      </c>
      <c r="F47" s="320"/>
      <c r="G47" s="321"/>
      <c r="H47" s="72"/>
      <c r="I47" s="72"/>
      <c r="J47" s="81" t="e">
        <f>#REF!</f>
        <v>#REF!</v>
      </c>
      <c r="K47" s="98"/>
    </row>
    <row r="48" spans="1:16" ht="12" customHeight="1">
      <c r="A48" s="56" t="s">
        <v>44</v>
      </c>
      <c r="B48" s="58">
        <v>20</v>
      </c>
      <c r="C48" s="332" t="s">
        <v>205</v>
      </c>
      <c r="D48" s="323" t="s">
        <v>5</v>
      </c>
      <c r="E48" s="324"/>
      <c r="F48" s="324"/>
      <c r="G48" s="325"/>
      <c r="H48" s="97"/>
      <c r="I48" s="97"/>
      <c r="J48" s="102"/>
      <c r="K48" s="98"/>
    </row>
    <row r="49" spans="1:12" ht="12" customHeight="1">
      <c r="A49" s="56" t="s">
        <v>44</v>
      </c>
      <c r="B49" s="58">
        <v>21</v>
      </c>
      <c r="C49" s="333"/>
      <c r="D49" s="103" t="s">
        <v>55</v>
      </c>
      <c r="E49" s="334" t="s">
        <v>44</v>
      </c>
      <c r="F49" s="335"/>
      <c r="G49" s="335"/>
      <c r="H49" s="104"/>
      <c r="I49" s="104"/>
      <c r="J49" s="81"/>
      <c r="K49" s="98"/>
    </row>
    <row r="50" spans="1:12" ht="12" customHeight="1">
      <c r="A50" s="56" t="s">
        <v>44</v>
      </c>
      <c r="B50" s="58">
        <v>22</v>
      </c>
      <c r="C50" s="105" t="s">
        <v>44</v>
      </c>
      <c r="D50" s="106" t="s">
        <v>44</v>
      </c>
      <c r="E50" s="319" t="s">
        <v>206</v>
      </c>
      <c r="F50" s="320"/>
      <c r="G50" s="321"/>
      <c r="H50" s="72"/>
      <c r="I50" s="72"/>
      <c r="J50" s="81" t="e">
        <f>#REF!</f>
        <v>#REF!</v>
      </c>
      <c r="K50" s="98"/>
      <c r="L50" s="49"/>
    </row>
    <row r="51" spans="1:12" ht="12" customHeight="1">
      <c r="A51" s="56" t="s">
        <v>44</v>
      </c>
      <c r="B51" s="58">
        <v>23</v>
      </c>
      <c r="C51" s="105" t="s">
        <v>44</v>
      </c>
      <c r="D51" s="106" t="s">
        <v>44</v>
      </c>
      <c r="E51" s="319" t="s">
        <v>44</v>
      </c>
      <c r="F51" s="320"/>
      <c r="G51" s="321"/>
      <c r="H51" s="72"/>
      <c r="I51" s="72"/>
      <c r="J51" s="81"/>
      <c r="K51" s="98"/>
      <c r="L51" s="49"/>
    </row>
    <row r="52" spans="1:12" ht="12" customHeight="1">
      <c r="A52" s="56" t="s">
        <v>44</v>
      </c>
      <c r="B52" s="58">
        <v>24</v>
      </c>
      <c r="C52" s="332" t="s">
        <v>102</v>
      </c>
      <c r="D52" s="323" t="s">
        <v>5</v>
      </c>
      <c r="E52" s="324"/>
      <c r="F52" s="324"/>
      <c r="G52" s="325"/>
      <c r="H52" s="97"/>
      <c r="I52" s="97"/>
      <c r="J52" s="102"/>
      <c r="K52" s="98"/>
    </row>
    <row r="53" spans="1:12" ht="23.25" customHeight="1">
      <c r="A53" s="56" t="s">
        <v>44</v>
      </c>
      <c r="B53" s="58">
        <v>25</v>
      </c>
      <c r="C53" s="333"/>
      <c r="D53" s="66" t="s">
        <v>55</v>
      </c>
      <c r="E53" s="319" t="s">
        <v>13</v>
      </c>
      <c r="F53" s="320"/>
      <c r="G53" s="321"/>
      <c r="H53" s="72"/>
      <c r="I53" s="72"/>
      <c r="J53" s="81"/>
      <c r="K53" s="98"/>
    </row>
    <row r="54" spans="1:12" ht="23.25" customHeight="1">
      <c r="A54" s="56" t="s">
        <v>44</v>
      </c>
      <c r="B54" s="58">
        <v>26</v>
      </c>
      <c r="C54" s="77" t="s">
        <v>44</v>
      </c>
      <c r="D54" s="70" t="s">
        <v>44</v>
      </c>
      <c r="E54" s="319" t="s">
        <v>207</v>
      </c>
      <c r="F54" s="320"/>
      <c r="G54" s="321"/>
      <c r="H54" s="72"/>
      <c r="I54" s="72"/>
      <c r="J54" s="81" t="e">
        <f>#REF!</f>
        <v>#REF!</v>
      </c>
      <c r="K54" s="98"/>
      <c r="L54" s="49"/>
    </row>
    <row r="55" spans="1:12" ht="12" customHeight="1">
      <c r="A55" s="56" t="s">
        <v>44</v>
      </c>
      <c r="B55" s="58">
        <v>30</v>
      </c>
      <c r="C55" s="332" t="s">
        <v>16</v>
      </c>
      <c r="D55" s="323" t="s">
        <v>5</v>
      </c>
      <c r="E55" s="324"/>
      <c r="F55" s="324"/>
      <c r="G55" s="325"/>
      <c r="H55" s="97"/>
      <c r="I55" s="97"/>
      <c r="J55" s="102"/>
      <c r="K55" s="98"/>
    </row>
    <row r="56" spans="1:12" ht="12" customHeight="1">
      <c r="A56" s="56" t="s">
        <v>44</v>
      </c>
      <c r="B56" s="58">
        <v>31</v>
      </c>
      <c r="C56" s="333"/>
      <c r="D56" s="66" t="s">
        <v>55</v>
      </c>
      <c r="E56" s="319" t="s">
        <v>146</v>
      </c>
      <c r="F56" s="320"/>
      <c r="G56" s="321"/>
      <c r="H56" s="72"/>
      <c r="I56" s="72"/>
      <c r="J56" s="81"/>
      <c r="K56" s="98"/>
    </row>
    <row r="57" spans="1:12" ht="12" customHeight="1">
      <c r="A57" s="56" t="s">
        <v>44</v>
      </c>
      <c r="B57" s="58">
        <v>32</v>
      </c>
      <c r="C57" s="333"/>
      <c r="D57" s="67" t="s">
        <v>44</v>
      </c>
      <c r="E57" s="319" t="s">
        <v>147</v>
      </c>
      <c r="F57" s="320"/>
      <c r="G57" s="321"/>
      <c r="H57" s="72"/>
      <c r="I57" s="72"/>
      <c r="J57" s="81"/>
      <c r="K57" s="98"/>
    </row>
    <row r="58" spans="1:12" ht="12" customHeight="1">
      <c r="A58" s="56" t="s">
        <v>44</v>
      </c>
      <c r="B58" s="58">
        <v>33</v>
      </c>
      <c r="C58" s="75" t="s">
        <v>44</v>
      </c>
      <c r="D58" s="67" t="s">
        <v>44</v>
      </c>
      <c r="E58" s="319" t="s">
        <v>148</v>
      </c>
      <c r="F58" s="320"/>
      <c r="G58" s="321"/>
      <c r="H58" s="72"/>
      <c r="I58" s="72"/>
      <c r="J58" s="81"/>
      <c r="K58" s="98"/>
    </row>
    <row r="59" spans="1:12" ht="12" customHeight="1">
      <c r="A59" s="56" t="s">
        <v>44</v>
      </c>
      <c r="B59" s="58">
        <v>34</v>
      </c>
      <c r="C59" s="77" t="s">
        <v>44</v>
      </c>
      <c r="D59" s="70" t="s">
        <v>44</v>
      </c>
      <c r="E59" s="319" t="s">
        <v>44</v>
      </c>
      <c r="F59" s="320"/>
      <c r="G59" s="321"/>
      <c r="H59" s="72"/>
      <c r="I59" s="72"/>
      <c r="J59" s="81"/>
      <c r="K59" s="98"/>
      <c r="L59" s="49"/>
    </row>
    <row r="60" spans="1:12" ht="12" customHeight="1">
      <c r="A60" s="56" t="s">
        <v>44</v>
      </c>
      <c r="B60" s="58">
        <v>35</v>
      </c>
      <c r="C60" s="332" t="s">
        <v>190</v>
      </c>
      <c r="D60" s="323" t="s">
        <v>5</v>
      </c>
      <c r="E60" s="324"/>
      <c r="F60" s="324"/>
      <c r="G60" s="325"/>
      <c r="H60" s="97"/>
      <c r="I60" s="97"/>
      <c r="J60" s="102"/>
      <c r="K60" s="98"/>
    </row>
    <row r="61" spans="1:12" ht="12" customHeight="1">
      <c r="A61" s="56" t="s">
        <v>44</v>
      </c>
      <c r="B61" s="58">
        <v>36</v>
      </c>
      <c r="C61" s="333"/>
      <c r="D61" s="66" t="s">
        <v>55</v>
      </c>
      <c r="E61" s="319" t="s">
        <v>128</v>
      </c>
      <c r="F61" s="320"/>
      <c r="G61" s="321"/>
      <c r="H61" s="72"/>
      <c r="I61" s="72"/>
      <c r="J61" s="81"/>
      <c r="K61" s="98"/>
    </row>
    <row r="62" spans="1:12" ht="12" customHeight="1">
      <c r="A62" s="56" t="s">
        <v>44</v>
      </c>
      <c r="B62" s="58">
        <v>37</v>
      </c>
      <c r="C62" s="333"/>
      <c r="D62" s="67" t="s">
        <v>44</v>
      </c>
      <c r="E62" s="319" t="s">
        <v>154</v>
      </c>
      <c r="F62" s="320"/>
      <c r="G62" s="321"/>
      <c r="H62" s="72"/>
      <c r="I62" s="72"/>
      <c r="J62" s="81"/>
      <c r="K62" s="98"/>
    </row>
    <row r="63" spans="1:12" ht="12" customHeight="1">
      <c r="A63" s="56" t="s">
        <v>44</v>
      </c>
      <c r="B63" s="58">
        <v>38</v>
      </c>
      <c r="C63" s="75" t="s">
        <v>44</v>
      </c>
      <c r="D63" s="67" t="s">
        <v>44</v>
      </c>
      <c r="E63" s="319" t="s">
        <v>208</v>
      </c>
      <c r="F63" s="320"/>
      <c r="G63" s="321"/>
      <c r="H63" s="72"/>
      <c r="I63" s="72"/>
      <c r="J63" s="81"/>
      <c r="K63" s="98"/>
    </row>
    <row r="64" spans="1:12" ht="12" customHeight="1">
      <c r="A64" s="56" t="s">
        <v>44</v>
      </c>
      <c r="B64" s="58">
        <v>39</v>
      </c>
      <c r="C64" s="77" t="s">
        <v>44</v>
      </c>
      <c r="D64" s="70" t="s">
        <v>44</v>
      </c>
      <c r="E64" s="319" t="s">
        <v>44</v>
      </c>
      <c r="F64" s="320"/>
      <c r="G64" s="321"/>
      <c r="H64" s="72"/>
      <c r="I64" s="72"/>
      <c r="J64" s="81"/>
      <c r="K64" s="98"/>
      <c r="L64" s="49"/>
    </row>
    <row r="65" spans="1:12" ht="12" customHeight="1">
      <c r="A65" s="56" t="s">
        <v>44</v>
      </c>
      <c r="B65" s="58">
        <v>40</v>
      </c>
      <c r="C65" s="332" t="s">
        <v>14</v>
      </c>
      <c r="D65" s="323" t="s">
        <v>5</v>
      </c>
      <c r="E65" s="324"/>
      <c r="F65" s="324"/>
      <c r="G65" s="325"/>
      <c r="H65" s="97"/>
      <c r="I65" s="97"/>
      <c r="J65" s="102"/>
      <c r="K65" s="98"/>
    </row>
    <row r="66" spans="1:12" ht="12" customHeight="1">
      <c r="A66" s="56" t="s">
        <v>44</v>
      </c>
      <c r="B66" s="58">
        <v>41</v>
      </c>
      <c r="C66" s="333"/>
      <c r="D66" s="66" t="s">
        <v>55</v>
      </c>
      <c r="E66" s="103" t="s">
        <v>209</v>
      </c>
      <c r="F66" s="323" t="s">
        <v>5</v>
      </c>
      <c r="G66" s="325"/>
      <c r="H66" s="97"/>
      <c r="I66" s="97"/>
      <c r="J66" s="102"/>
      <c r="K66" s="98"/>
    </row>
    <row r="67" spans="1:12" ht="12" customHeight="1">
      <c r="A67" s="56" t="s">
        <v>44</v>
      </c>
      <c r="B67" s="58">
        <v>42</v>
      </c>
      <c r="C67" s="333"/>
      <c r="D67" s="67" t="s">
        <v>44</v>
      </c>
      <c r="E67" s="107" t="s">
        <v>44</v>
      </c>
      <c r="F67" s="66" t="s">
        <v>55</v>
      </c>
      <c r="G67" s="108" t="s">
        <v>44</v>
      </c>
      <c r="H67" s="104"/>
      <c r="I67" s="104"/>
      <c r="J67" s="81" t="e">
        <f>#REF!</f>
        <v>#REF!</v>
      </c>
      <c r="K67" s="98"/>
    </row>
    <row r="68" spans="1:12" ht="12" customHeight="1">
      <c r="A68" s="56" t="s">
        <v>44</v>
      </c>
      <c r="B68" s="58">
        <v>43</v>
      </c>
      <c r="C68" s="75" t="s">
        <v>44</v>
      </c>
      <c r="D68" s="67" t="s">
        <v>44</v>
      </c>
      <c r="E68" s="106" t="s">
        <v>44</v>
      </c>
      <c r="F68" s="70" t="s">
        <v>44</v>
      </c>
      <c r="G68" s="60" t="s">
        <v>44</v>
      </c>
      <c r="H68" s="72"/>
      <c r="I68" s="72"/>
      <c r="J68" s="81"/>
      <c r="K68" s="98"/>
      <c r="L68" s="49"/>
    </row>
    <row r="69" spans="1:12" ht="12" customHeight="1">
      <c r="A69" s="56" t="s">
        <v>44</v>
      </c>
      <c r="B69" s="58">
        <v>44</v>
      </c>
      <c r="C69" s="75" t="s">
        <v>44</v>
      </c>
      <c r="D69" s="67" t="s">
        <v>44</v>
      </c>
      <c r="E69" s="106" t="s">
        <v>44</v>
      </c>
      <c r="F69" s="70" t="s">
        <v>44</v>
      </c>
      <c r="G69" s="60" t="s">
        <v>44</v>
      </c>
      <c r="H69" s="72"/>
      <c r="I69" s="72"/>
      <c r="J69" s="81"/>
      <c r="K69" s="98"/>
      <c r="L69" s="49"/>
    </row>
    <row r="70" spans="1:12" ht="12" customHeight="1">
      <c r="A70" s="56" t="s">
        <v>44</v>
      </c>
      <c r="B70" s="58">
        <v>45</v>
      </c>
      <c r="C70" s="75" t="s">
        <v>44</v>
      </c>
      <c r="D70" s="67" t="s">
        <v>44</v>
      </c>
      <c r="E70" s="103" t="s">
        <v>210</v>
      </c>
      <c r="F70" s="323" t="s">
        <v>5</v>
      </c>
      <c r="G70" s="325"/>
      <c r="H70" s="97"/>
      <c r="I70" s="97"/>
      <c r="J70" s="102"/>
      <c r="K70" s="98"/>
    </row>
    <row r="71" spans="1:12" ht="33" customHeight="1">
      <c r="A71" s="56" t="s">
        <v>44</v>
      </c>
      <c r="B71" s="58">
        <v>46</v>
      </c>
      <c r="C71" s="75" t="s">
        <v>44</v>
      </c>
      <c r="D71" s="67" t="s">
        <v>44</v>
      </c>
      <c r="E71" s="107" t="s">
        <v>44</v>
      </c>
      <c r="F71" s="66" t="s">
        <v>55</v>
      </c>
      <c r="G71" s="56" t="s">
        <v>211</v>
      </c>
      <c r="H71" s="72"/>
      <c r="I71" s="72"/>
      <c r="J71" s="81" t="e">
        <f>#REF!</f>
        <v>#REF!</v>
      </c>
      <c r="K71" s="98"/>
    </row>
    <row r="72" spans="1:12" ht="12" customHeight="1">
      <c r="A72" s="56" t="s">
        <v>44</v>
      </c>
      <c r="B72" s="58">
        <v>47</v>
      </c>
      <c r="C72" s="75" t="s">
        <v>44</v>
      </c>
      <c r="D72" s="67" t="s">
        <v>44</v>
      </c>
      <c r="E72" s="107" t="s">
        <v>44</v>
      </c>
      <c r="F72" s="67" t="s">
        <v>44</v>
      </c>
      <c r="G72" s="56" t="s">
        <v>212</v>
      </c>
      <c r="H72" s="72"/>
      <c r="I72" s="72"/>
      <c r="J72" s="81" t="e">
        <f>#REF!</f>
        <v>#REF!</v>
      </c>
      <c r="K72" s="98"/>
    </row>
    <row r="73" spans="1:12" ht="12" customHeight="1">
      <c r="A73" s="56" t="s">
        <v>44</v>
      </c>
      <c r="B73" s="58">
        <v>48</v>
      </c>
      <c r="C73" s="75" t="s">
        <v>44</v>
      </c>
      <c r="D73" s="67" t="s">
        <v>44</v>
      </c>
      <c r="E73" s="106" t="s">
        <v>44</v>
      </c>
      <c r="F73" s="70" t="s">
        <v>44</v>
      </c>
      <c r="G73" s="60" t="s">
        <v>213</v>
      </c>
      <c r="H73" s="72"/>
      <c r="I73" s="72"/>
      <c r="J73" s="81" t="e">
        <f>#REF!</f>
        <v>#REF!</v>
      </c>
      <c r="K73" s="98"/>
      <c r="L73" s="49"/>
    </row>
    <row r="74" spans="1:12" ht="12" customHeight="1">
      <c r="A74" s="56" t="s">
        <v>44</v>
      </c>
      <c r="B74" s="58">
        <v>49</v>
      </c>
      <c r="C74" s="75" t="s">
        <v>44</v>
      </c>
      <c r="D74" s="67" t="s">
        <v>44</v>
      </c>
      <c r="E74" s="106" t="s">
        <v>44</v>
      </c>
      <c r="F74" s="70" t="s">
        <v>44</v>
      </c>
      <c r="G74" s="60" t="s">
        <v>44</v>
      </c>
      <c r="H74" s="72"/>
      <c r="I74" s="72"/>
      <c r="J74" s="81"/>
      <c r="K74" s="98"/>
      <c r="L74" s="49"/>
    </row>
    <row r="75" spans="1:12" ht="12" customHeight="1">
      <c r="A75" s="56" t="s">
        <v>44</v>
      </c>
      <c r="B75" s="58">
        <v>50</v>
      </c>
      <c r="C75" s="75" t="s">
        <v>44</v>
      </c>
      <c r="D75" s="67" t="s">
        <v>44</v>
      </c>
      <c r="E75" s="106" t="s">
        <v>44</v>
      </c>
      <c r="F75" s="70" t="s">
        <v>44</v>
      </c>
      <c r="G75" s="60" t="s">
        <v>44</v>
      </c>
      <c r="H75" s="72"/>
      <c r="I75" s="72"/>
      <c r="J75" s="81"/>
      <c r="K75" s="98"/>
      <c r="L75" s="49"/>
    </row>
    <row r="76" spans="1:12" ht="12" customHeight="1">
      <c r="A76" s="56" t="s">
        <v>44</v>
      </c>
      <c r="B76" s="58">
        <v>51</v>
      </c>
      <c r="C76" s="75" t="s">
        <v>44</v>
      </c>
      <c r="D76" s="67" t="s">
        <v>44</v>
      </c>
      <c r="E76" s="103" t="s">
        <v>214</v>
      </c>
      <c r="F76" s="323" t="s">
        <v>5</v>
      </c>
      <c r="G76" s="325"/>
      <c r="H76" s="97"/>
      <c r="I76" s="97"/>
      <c r="J76" s="102"/>
      <c r="K76" s="98"/>
    </row>
    <row r="77" spans="1:12" ht="12" customHeight="1">
      <c r="A77" s="56" t="s">
        <v>44</v>
      </c>
      <c r="B77" s="58">
        <v>52</v>
      </c>
      <c r="C77" s="75" t="s">
        <v>44</v>
      </c>
      <c r="D77" s="67" t="s">
        <v>44</v>
      </c>
      <c r="E77" s="107" t="s">
        <v>44</v>
      </c>
      <c r="F77" s="66" t="s">
        <v>55</v>
      </c>
      <c r="G77" s="56" t="s">
        <v>215</v>
      </c>
      <c r="H77" s="72"/>
      <c r="I77" s="72"/>
      <c r="J77" s="81"/>
      <c r="K77" s="98"/>
    </row>
    <row r="78" spans="1:12" ht="12" customHeight="1">
      <c r="A78" s="56" t="s">
        <v>44</v>
      </c>
      <c r="B78" s="58">
        <v>53</v>
      </c>
      <c r="C78" s="75" t="s">
        <v>44</v>
      </c>
      <c r="D78" s="67" t="s">
        <v>44</v>
      </c>
      <c r="E78" s="106" t="s">
        <v>44</v>
      </c>
      <c r="F78" s="70" t="s">
        <v>44</v>
      </c>
      <c r="G78" s="60" t="s">
        <v>15</v>
      </c>
      <c r="H78" s="72"/>
      <c r="I78" s="72"/>
      <c r="J78" s="81"/>
      <c r="K78" s="98"/>
      <c r="L78" s="49"/>
    </row>
    <row r="79" spans="1:12" ht="12" customHeight="1">
      <c r="A79" s="56" t="s">
        <v>44</v>
      </c>
      <c r="B79" s="58">
        <v>54</v>
      </c>
      <c r="C79" s="75" t="s">
        <v>44</v>
      </c>
      <c r="D79" s="67" t="s">
        <v>44</v>
      </c>
      <c r="E79" s="106" t="s">
        <v>44</v>
      </c>
      <c r="F79" s="70" t="s">
        <v>44</v>
      </c>
      <c r="G79" s="60" t="s">
        <v>44</v>
      </c>
      <c r="H79" s="72"/>
      <c r="I79" s="72"/>
      <c r="J79" s="81"/>
      <c r="K79" s="98"/>
      <c r="L79" s="49"/>
    </row>
    <row r="80" spans="1:12" ht="12" customHeight="1">
      <c r="A80" s="56" t="s">
        <v>44</v>
      </c>
      <c r="B80" s="58">
        <v>55</v>
      </c>
      <c r="C80" s="75" t="s">
        <v>44</v>
      </c>
      <c r="D80" s="67" t="s">
        <v>44</v>
      </c>
      <c r="E80" s="344" t="s">
        <v>216</v>
      </c>
      <c r="F80" s="323" t="s">
        <v>5</v>
      </c>
      <c r="G80" s="325"/>
      <c r="H80" s="97"/>
      <c r="I80" s="97"/>
      <c r="J80" s="102"/>
      <c r="K80" s="98"/>
      <c r="L80" s="49"/>
    </row>
    <row r="81" spans="1:13" ht="12" customHeight="1">
      <c r="A81" s="56" t="s">
        <v>44</v>
      </c>
      <c r="B81" s="58">
        <v>56</v>
      </c>
      <c r="C81" s="75" t="s">
        <v>44</v>
      </c>
      <c r="D81" s="67" t="s">
        <v>44</v>
      </c>
      <c r="E81" s="345"/>
      <c r="F81" s="66" t="s">
        <v>55</v>
      </c>
      <c r="G81" s="346" t="s">
        <v>136</v>
      </c>
      <c r="H81" s="347"/>
      <c r="I81" s="348"/>
      <c r="J81" s="81" t="e">
        <f>#REF!</f>
        <v>#REF!</v>
      </c>
      <c r="K81" s="98"/>
      <c r="L81" s="49"/>
    </row>
    <row r="82" spans="1:13" ht="12" customHeight="1">
      <c r="A82" s="56" t="s">
        <v>44</v>
      </c>
      <c r="B82" s="58">
        <v>57</v>
      </c>
      <c r="C82" s="77" t="s">
        <v>44</v>
      </c>
      <c r="D82" s="70" t="s">
        <v>44</v>
      </c>
      <c r="E82" s="70" t="s">
        <v>44</v>
      </c>
      <c r="F82" s="70" t="s">
        <v>44</v>
      </c>
      <c r="G82" s="60" t="s">
        <v>44</v>
      </c>
      <c r="H82" s="72"/>
      <c r="I82" s="72"/>
      <c r="J82" s="81"/>
      <c r="K82" s="98"/>
      <c r="L82" s="49"/>
      <c r="M82" s="49"/>
    </row>
    <row r="83" spans="1:13" ht="12" customHeight="1">
      <c r="A83" s="56" t="s">
        <v>44</v>
      </c>
      <c r="B83" s="58">
        <v>58</v>
      </c>
      <c r="C83" s="77" t="s">
        <v>44</v>
      </c>
      <c r="D83" s="70" t="s">
        <v>44</v>
      </c>
      <c r="E83" s="70" t="s">
        <v>44</v>
      </c>
      <c r="F83" s="70" t="s">
        <v>44</v>
      </c>
      <c r="G83" s="60" t="s">
        <v>44</v>
      </c>
      <c r="H83" s="72"/>
      <c r="I83" s="72"/>
      <c r="J83" s="81"/>
      <c r="K83" s="98"/>
      <c r="L83" s="49"/>
      <c r="M83" s="49"/>
    </row>
    <row r="84" spans="1:13" ht="12" customHeight="1">
      <c r="A84" s="56" t="s">
        <v>44</v>
      </c>
      <c r="B84" s="58">
        <v>59</v>
      </c>
      <c r="C84" s="75" t="s">
        <v>44</v>
      </c>
      <c r="D84" s="67" t="s">
        <v>44</v>
      </c>
      <c r="E84" s="344" t="s">
        <v>44</v>
      </c>
      <c r="F84" s="323" t="s">
        <v>5</v>
      </c>
      <c r="G84" s="325"/>
      <c r="H84" s="97"/>
      <c r="I84" s="97"/>
      <c r="J84" s="102"/>
      <c r="K84" s="98"/>
      <c r="L84" s="49"/>
    </row>
    <row r="85" spans="1:13" ht="12" customHeight="1">
      <c r="A85" s="56" t="s">
        <v>44</v>
      </c>
      <c r="B85" s="58">
        <v>60</v>
      </c>
      <c r="C85" s="75" t="s">
        <v>44</v>
      </c>
      <c r="D85" s="67" t="s">
        <v>44</v>
      </c>
      <c r="E85" s="345"/>
      <c r="F85" s="66" t="s">
        <v>55</v>
      </c>
      <c r="G85" s="108" t="s">
        <v>44</v>
      </c>
      <c r="H85" s="104"/>
      <c r="I85" s="104"/>
      <c r="J85" s="81"/>
      <c r="K85" s="98"/>
      <c r="L85" s="49"/>
    </row>
    <row r="86" spans="1:13" ht="12" customHeight="1">
      <c r="A86" s="56" t="s">
        <v>44</v>
      </c>
      <c r="B86" s="58">
        <v>61</v>
      </c>
      <c r="C86" s="77" t="s">
        <v>44</v>
      </c>
      <c r="D86" s="70" t="s">
        <v>44</v>
      </c>
      <c r="E86" s="70" t="s">
        <v>44</v>
      </c>
      <c r="F86" s="70" t="s">
        <v>44</v>
      </c>
      <c r="G86" s="60" t="s">
        <v>44</v>
      </c>
      <c r="H86" s="72"/>
      <c r="I86" s="109"/>
      <c r="J86" s="81"/>
      <c r="K86" s="98"/>
      <c r="L86" s="49"/>
      <c r="M86" s="49"/>
    </row>
    <row r="87" spans="1:13" ht="12" customHeight="1">
      <c r="A87" s="56" t="s">
        <v>44</v>
      </c>
      <c r="B87" s="58">
        <v>62</v>
      </c>
      <c r="C87" s="332" t="s">
        <v>144</v>
      </c>
      <c r="D87" s="323" t="s">
        <v>5</v>
      </c>
      <c r="E87" s="324"/>
      <c r="F87" s="324"/>
      <c r="G87" s="325"/>
      <c r="H87" s="97"/>
      <c r="I87" s="110"/>
      <c r="J87" s="102"/>
      <c r="K87" s="98"/>
    </row>
    <row r="88" spans="1:13" ht="12" customHeight="1">
      <c r="A88" s="56" t="s">
        <v>44</v>
      </c>
      <c r="B88" s="58">
        <v>63</v>
      </c>
      <c r="C88" s="333"/>
      <c r="D88" s="66" t="s">
        <v>55</v>
      </c>
      <c r="E88" s="334" t="s">
        <v>44</v>
      </c>
      <c r="F88" s="335"/>
      <c r="G88" s="335"/>
      <c r="H88" s="104"/>
      <c r="I88" s="104"/>
      <c r="J88" s="81" t="e">
        <f>#REF!</f>
        <v>#REF!</v>
      </c>
      <c r="K88" s="98"/>
    </row>
    <row r="89" spans="1:13" ht="12" customHeight="1">
      <c r="A89" s="56" t="s">
        <v>44</v>
      </c>
      <c r="B89" s="58">
        <v>64</v>
      </c>
      <c r="C89" s="77" t="s">
        <v>44</v>
      </c>
      <c r="D89" s="70" t="s">
        <v>44</v>
      </c>
      <c r="E89" s="319" t="s">
        <v>44</v>
      </c>
      <c r="F89" s="320"/>
      <c r="G89" s="321"/>
      <c r="H89" s="72"/>
      <c r="I89" s="109"/>
      <c r="J89" s="81"/>
      <c r="K89" s="98"/>
      <c r="L89" s="49"/>
    </row>
    <row r="90" spans="1:13" ht="12" customHeight="1">
      <c r="A90" s="56" t="s">
        <v>44</v>
      </c>
      <c r="B90" s="58">
        <v>65</v>
      </c>
      <c r="C90" s="77" t="s">
        <v>44</v>
      </c>
      <c r="D90" s="70" t="s">
        <v>44</v>
      </c>
      <c r="E90" s="319" t="s">
        <v>44</v>
      </c>
      <c r="F90" s="320"/>
      <c r="G90" s="321"/>
      <c r="H90" s="72"/>
      <c r="I90" s="109"/>
      <c r="J90" s="81"/>
      <c r="K90" s="98"/>
      <c r="L90" s="49"/>
    </row>
    <row r="91" spans="1:13" ht="12" customHeight="1">
      <c r="A91" s="56" t="s">
        <v>44</v>
      </c>
      <c r="B91" s="58">
        <v>66</v>
      </c>
      <c r="C91" s="332" t="s">
        <v>189</v>
      </c>
      <c r="D91" s="323" t="s">
        <v>5</v>
      </c>
      <c r="E91" s="324"/>
      <c r="F91" s="324"/>
      <c r="G91" s="325"/>
      <c r="H91" s="97"/>
      <c r="I91" s="110"/>
      <c r="J91" s="102"/>
      <c r="K91" s="98"/>
    </row>
    <row r="92" spans="1:13" ht="12" customHeight="1">
      <c r="A92" s="56" t="s">
        <v>44</v>
      </c>
      <c r="B92" s="58">
        <v>67</v>
      </c>
      <c r="C92" s="333"/>
      <c r="D92" s="66" t="s">
        <v>55</v>
      </c>
      <c r="E92" s="334" t="s">
        <v>44</v>
      </c>
      <c r="F92" s="335"/>
      <c r="G92" s="335"/>
      <c r="H92" s="104"/>
      <c r="I92" s="104"/>
      <c r="J92" s="81"/>
      <c r="K92" s="98"/>
    </row>
    <row r="93" spans="1:13" ht="12" customHeight="1">
      <c r="A93" s="56" t="s">
        <v>44</v>
      </c>
      <c r="B93" s="58">
        <v>68</v>
      </c>
      <c r="C93" s="77" t="s">
        <v>44</v>
      </c>
      <c r="D93" s="70" t="s">
        <v>44</v>
      </c>
      <c r="E93" s="319" t="s">
        <v>44</v>
      </c>
      <c r="F93" s="320"/>
      <c r="G93" s="321"/>
      <c r="H93" s="72"/>
      <c r="I93" s="109"/>
      <c r="J93" s="81"/>
      <c r="K93" s="98"/>
      <c r="L93" s="49"/>
    </row>
    <row r="94" spans="1:13" ht="12" customHeight="1">
      <c r="A94" s="56" t="s">
        <v>44</v>
      </c>
      <c r="B94" s="58">
        <v>69</v>
      </c>
      <c r="C94" s="77" t="s">
        <v>44</v>
      </c>
      <c r="D94" s="70" t="s">
        <v>44</v>
      </c>
      <c r="E94" s="319" t="s">
        <v>44</v>
      </c>
      <c r="F94" s="320"/>
      <c r="G94" s="321"/>
      <c r="H94" s="72"/>
      <c r="I94" s="109"/>
      <c r="J94" s="81"/>
      <c r="K94" s="98"/>
      <c r="L94" s="49"/>
    </row>
    <row r="95" spans="1:13" ht="12" customHeight="1">
      <c r="A95" s="56" t="s">
        <v>44</v>
      </c>
      <c r="B95" s="58">
        <v>70</v>
      </c>
      <c r="C95" s="332" t="s">
        <v>137</v>
      </c>
      <c r="D95" s="323" t="s">
        <v>5</v>
      </c>
      <c r="E95" s="324"/>
      <c r="F95" s="324"/>
      <c r="G95" s="325"/>
      <c r="H95" s="97"/>
      <c r="I95" s="110"/>
      <c r="J95" s="102"/>
      <c r="K95" s="98"/>
    </row>
    <row r="96" spans="1:13" ht="12" customHeight="1">
      <c r="A96" s="56" t="s">
        <v>44</v>
      </c>
      <c r="B96" s="58">
        <v>71</v>
      </c>
      <c r="C96" s="333"/>
      <c r="D96" s="66" t="s">
        <v>55</v>
      </c>
      <c r="E96" s="334" t="s">
        <v>44</v>
      </c>
      <c r="F96" s="335"/>
      <c r="G96" s="335"/>
      <c r="H96" s="104"/>
      <c r="I96" s="104"/>
      <c r="J96" s="81"/>
      <c r="K96" s="98"/>
    </row>
    <row r="97" spans="1:16">
      <c r="A97" s="56" t="s">
        <v>44</v>
      </c>
      <c r="B97" s="58">
        <v>72</v>
      </c>
      <c r="C97" s="77" t="s">
        <v>44</v>
      </c>
      <c r="D97" s="70" t="s">
        <v>44</v>
      </c>
      <c r="E97" s="319" t="s">
        <v>217</v>
      </c>
      <c r="F97" s="320"/>
      <c r="G97" s="321"/>
      <c r="H97" s="72"/>
      <c r="I97" s="109"/>
      <c r="J97" s="81" t="e">
        <f>#REF!</f>
        <v>#REF!</v>
      </c>
      <c r="K97" s="98"/>
      <c r="L97" s="49"/>
    </row>
    <row r="98" spans="1:16" ht="12" customHeight="1">
      <c r="A98" s="56"/>
      <c r="B98" s="58"/>
      <c r="C98" s="77"/>
      <c r="D98" s="70"/>
      <c r="E98" s="319" t="s">
        <v>218</v>
      </c>
      <c r="F98" s="320"/>
      <c r="G98" s="321"/>
      <c r="H98" s="72"/>
      <c r="I98" s="109"/>
      <c r="J98" s="81"/>
      <c r="K98" s="98"/>
      <c r="L98" s="49"/>
    </row>
    <row r="99" spans="1:16" ht="12" customHeight="1">
      <c r="A99" s="56"/>
      <c r="B99" s="58"/>
      <c r="C99" s="77"/>
      <c r="D99" s="70"/>
      <c r="E99" s="319"/>
      <c r="F99" s="320"/>
      <c r="G99" s="321"/>
      <c r="H99" s="72"/>
      <c r="I99" s="109"/>
      <c r="J99" s="81"/>
      <c r="K99" s="98"/>
      <c r="L99" s="49"/>
    </row>
    <row r="100" spans="1:16" ht="12" customHeight="1">
      <c r="A100" s="56" t="s">
        <v>44</v>
      </c>
      <c r="B100" s="58">
        <v>74</v>
      </c>
      <c r="C100" s="77" t="s">
        <v>44</v>
      </c>
      <c r="D100" s="70" t="s">
        <v>44</v>
      </c>
      <c r="E100" s="319" t="s">
        <v>44</v>
      </c>
      <c r="F100" s="320"/>
      <c r="G100" s="321"/>
      <c r="H100" s="72"/>
      <c r="I100" s="109"/>
      <c r="J100" s="81"/>
      <c r="K100" s="98"/>
      <c r="L100" s="49"/>
    </row>
    <row r="101" spans="1:16" ht="12" customHeight="1">
      <c r="A101" s="56" t="s">
        <v>44</v>
      </c>
      <c r="B101" s="58">
        <v>75</v>
      </c>
      <c r="C101" s="332" t="s">
        <v>17</v>
      </c>
      <c r="D101" s="323" t="s">
        <v>5</v>
      </c>
      <c r="E101" s="324"/>
      <c r="F101" s="324"/>
      <c r="G101" s="325"/>
      <c r="H101" s="97"/>
      <c r="I101" s="111">
        <f>I102+I103+I104</f>
        <v>0</v>
      </c>
      <c r="J101" s="102"/>
      <c r="K101" s="98"/>
    </row>
    <row r="102" spans="1:16">
      <c r="A102" s="56" t="s">
        <v>44</v>
      </c>
      <c r="B102" s="58">
        <v>76</v>
      </c>
      <c r="C102" s="333"/>
      <c r="D102" s="66" t="s">
        <v>55</v>
      </c>
      <c r="E102" s="336" t="s">
        <v>219</v>
      </c>
      <c r="F102" s="337"/>
      <c r="G102" s="338"/>
      <c r="H102" s="72"/>
      <c r="I102" s="109"/>
      <c r="J102" s="81">
        <v>402.30799999999999</v>
      </c>
      <c r="K102" s="98"/>
      <c r="P102" s="126"/>
    </row>
    <row r="103" spans="1:16" ht="12" customHeight="1">
      <c r="A103" s="56" t="s">
        <v>44</v>
      </c>
      <c r="B103" s="58">
        <v>77</v>
      </c>
      <c r="C103" s="333"/>
      <c r="D103" s="67" t="s">
        <v>44</v>
      </c>
      <c r="E103" s="336" t="s">
        <v>220</v>
      </c>
      <c r="F103" s="337"/>
      <c r="G103" s="338"/>
      <c r="H103" s="72"/>
      <c r="I103" s="72"/>
      <c r="J103" s="81">
        <v>595.38430000000005</v>
      </c>
      <c r="K103" s="98"/>
      <c r="P103" s="76"/>
    </row>
    <row r="104" spans="1:16" ht="12" customHeight="1">
      <c r="A104" s="56" t="s">
        <v>44</v>
      </c>
      <c r="B104" s="58">
        <v>78</v>
      </c>
      <c r="C104" s="75" t="s">
        <v>44</v>
      </c>
      <c r="D104" s="67" t="s">
        <v>44</v>
      </c>
      <c r="E104" s="336" t="s">
        <v>221</v>
      </c>
      <c r="F104" s="337"/>
      <c r="G104" s="338"/>
      <c r="H104" s="72"/>
      <c r="I104" s="72"/>
      <c r="J104" s="81">
        <v>179.89400000000001</v>
      </c>
      <c r="K104" s="98"/>
      <c r="P104" s="155"/>
    </row>
    <row r="105" spans="1:16" ht="12" customHeight="1">
      <c r="A105" s="56" t="s">
        <v>44</v>
      </c>
      <c r="B105" s="58">
        <v>83</v>
      </c>
      <c r="C105" s="323" t="s">
        <v>7</v>
      </c>
      <c r="D105" s="324"/>
      <c r="E105" s="324"/>
      <c r="F105" s="324"/>
      <c r="G105" s="325"/>
      <c r="H105" s="97"/>
      <c r="I105" s="97"/>
      <c r="J105" s="102" t="e">
        <f>#REF!</f>
        <v>#REF!</v>
      </c>
      <c r="K105" s="98"/>
    </row>
    <row r="106" spans="1:16" ht="12" customHeight="1">
      <c r="A106" s="56" t="s">
        <v>44</v>
      </c>
      <c r="B106" s="58">
        <v>84</v>
      </c>
      <c r="C106" s="323" t="s">
        <v>222</v>
      </c>
      <c r="D106" s="324"/>
      <c r="E106" s="324"/>
      <c r="F106" s="324"/>
      <c r="G106" s="325"/>
      <c r="H106" s="97"/>
      <c r="I106" s="101"/>
      <c r="J106" s="102" t="e">
        <f>#REF!</f>
        <v>#REF!</v>
      </c>
      <c r="K106" s="98"/>
    </row>
    <row r="107" spans="1:16" ht="12" customHeight="1">
      <c r="A107" s="56" t="s">
        <v>44</v>
      </c>
      <c r="B107" s="58">
        <v>85</v>
      </c>
      <c r="C107" s="332" t="s">
        <v>223</v>
      </c>
      <c r="D107" s="323" t="s">
        <v>5</v>
      </c>
      <c r="E107" s="324"/>
      <c r="F107" s="324"/>
      <c r="G107" s="325"/>
      <c r="H107" s="97"/>
      <c r="I107" s="97"/>
      <c r="J107" s="102"/>
      <c r="K107" s="98"/>
    </row>
    <row r="108" spans="1:16" ht="12" customHeight="1">
      <c r="A108" s="56" t="s">
        <v>44</v>
      </c>
      <c r="B108" s="58">
        <v>86</v>
      </c>
      <c r="C108" s="333"/>
      <c r="D108" s="66" t="s">
        <v>55</v>
      </c>
      <c r="E108" s="336" t="s">
        <v>224</v>
      </c>
      <c r="F108" s="337"/>
      <c r="G108" s="338"/>
      <c r="H108" s="72"/>
      <c r="I108" s="63"/>
      <c r="J108" s="81" t="e">
        <f>#REF!</f>
        <v>#REF!</v>
      </c>
      <c r="K108" s="98"/>
    </row>
    <row r="109" spans="1:16" ht="12" customHeight="1">
      <c r="A109" s="56" t="s">
        <v>44</v>
      </c>
      <c r="B109" s="58">
        <v>87</v>
      </c>
      <c r="C109" s="77" t="s">
        <v>44</v>
      </c>
      <c r="D109" s="70" t="s">
        <v>44</v>
      </c>
      <c r="E109" s="319" t="s">
        <v>225</v>
      </c>
      <c r="F109" s="320"/>
      <c r="G109" s="321"/>
      <c r="H109" s="72"/>
      <c r="I109" s="63"/>
      <c r="J109" s="81"/>
      <c r="K109" s="98"/>
      <c r="L109" s="49"/>
    </row>
    <row r="110" spans="1:16" ht="12" customHeight="1">
      <c r="A110" s="56" t="s">
        <v>44</v>
      </c>
      <c r="B110" s="58">
        <v>88</v>
      </c>
      <c r="C110" s="77" t="s">
        <v>44</v>
      </c>
      <c r="D110" s="70" t="s">
        <v>44</v>
      </c>
      <c r="E110" s="319" t="s">
        <v>44</v>
      </c>
      <c r="F110" s="320"/>
      <c r="G110" s="321"/>
      <c r="H110" s="72"/>
      <c r="I110" s="72"/>
      <c r="J110" s="81"/>
      <c r="K110" s="98"/>
      <c r="L110" s="49"/>
    </row>
    <row r="111" spans="1:16" ht="12" customHeight="1">
      <c r="A111" s="56" t="s">
        <v>44</v>
      </c>
      <c r="B111" s="58">
        <v>89</v>
      </c>
      <c r="C111" s="332" t="s">
        <v>192</v>
      </c>
      <c r="D111" s="323" t="s">
        <v>5</v>
      </c>
      <c r="E111" s="324"/>
      <c r="F111" s="324"/>
      <c r="G111" s="325"/>
      <c r="H111" s="97"/>
      <c r="I111" s="97"/>
      <c r="J111" s="102"/>
      <c r="K111" s="98"/>
    </row>
    <row r="112" spans="1:16" ht="12" customHeight="1">
      <c r="A112" s="56" t="s">
        <v>44</v>
      </c>
      <c r="B112" s="58">
        <v>90</v>
      </c>
      <c r="C112" s="333"/>
      <c r="D112" s="66" t="s">
        <v>55</v>
      </c>
      <c r="E112" s="336" t="s">
        <v>226</v>
      </c>
      <c r="F112" s="337"/>
      <c r="G112" s="338"/>
      <c r="H112" s="72"/>
      <c r="I112" s="72"/>
      <c r="J112" s="81"/>
      <c r="K112" s="98"/>
    </row>
    <row r="113" spans="1:12" ht="12" customHeight="1">
      <c r="A113" s="56" t="s">
        <v>44</v>
      </c>
      <c r="B113" s="58">
        <v>91</v>
      </c>
      <c r="C113" s="77" t="s">
        <v>44</v>
      </c>
      <c r="D113" s="70" t="s">
        <v>44</v>
      </c>
      <c r="E113" s="319" t="s">
        <v>44</v>
      </c>
      <c r="F113" s="320"/>
      <c r="G113" s="321"/>
      <c r="H113" s="72"/>
      <c r="I113" s="72"/>
      <c r="J113" s="81"/>
      <c r="K113" s="98"/>
    </row>
    <row r="114" spans="1:12" ht="12" customHeight="1">
      <c r="A114" s="56" t="s">
        <v>44</v>
      </c>
      <c r="B114" s="58">
        <v>92</v>
      </c>
      <c r="C114" s="332" t="s">
        <v>191</v>
      </c>
      <c r="D114" s="323" t="s">
        <v>5</v>
      </c>
      <c r="E114" s="324"/>
      <c r="F114" s="324"/>
      <c r="G114" s="325"/>
      <c r="H114" s="97"/>
      <c r="I114" s="97"/>
      <c r="J114" s="102"/>
      <c r="K114" s="98"/>
    </row>
    <row r="115" spans="1:12" ht="12" customHeight="1">
      <c r="A115" s="56" t="s">
        <v>44</v>
      </c>
      <c r="B115" s="58">
        <v>93</v>
      </c>
      <c r="C115" s="333"/>
      <c r="D115" s="66" t="s">
        <v>55</v>
      </c>
      <c r="E115" s="334" t="s">
        <v>44</v>
      </c>
      <c r="F115" s="335"/>
      <c r="G115" s="335"/>
      <c r="H115" s="104"/>
      <c r="I115" s="104"/>
      <c r="J115" s="112"/>
      <c r="K115" s="98"/>
    </row>
    <row r="116" spans="1:12" ht="12" customHeight="1">
      <c r="A116" s="56" t="s">
        <v>44</v>
      </c>
      <c r="B116" s="58">
        <v>94</v>
      </c>
      <c r="C116" s="77" t="s">
        <v>44</v>
      </c>
      <c r="D116" s="70" t="s">
        <v>44</v>
      </c>
      <c r="E116" s="319" t="s">
        <v>44</v>
      </c>
      <c r="F116" s="320"/>
      <c r="G116" s="321"/>
      <c r="H116" s="72"/>
      <c r="I116" s="63"/>
      <c r="J116" s="81"/>
      <c r="K116" s="98"/>
      <c r="L116" s="49"/>
    </row>
    <row r="117" spans="1:12" ht="12" customHeight="1">
      <c r="A117" s="56" t="s">
        <v>44</v>
      </c>
      <c r="B117" s="58">
        <v>95</v>
      </c>
      <c r="C117" s="77" t="s">
        <v>44</v>
      </c>
      <c r="D117" s="70" t="s">
        <v>44</v>
      </c>
      <c r="E117" s="319" t="s">
        <v>44</v>
      </c>
      <c r="F117" s="320"/>
      <c r="G117" s="321"/>
      <c r="H117" s="72"/>
      <c r="I117" s="72"/>
      <c r="J117" s="81"/>
      <c r="K117" s="98"/>
      <c r="L117" s="49"/>
    </row>
    <row r="118" spans="1:12" ht="12" customHeight="1">
      <c r="A118" s="56" t="s">
        <v>44</v>
      </c>
      <c r="B118" s="58">
        <v>96</v>
      </c>
      <c r="C118" s="332" t="s">
        <v>149</v>
      </c>
      <c r="D118" s="323" t="s">
        <v>5</v>
      </c>
      <c r="E118" s="324"/>
      <c r="F118" s="324"/>
      <c r="G118" s="325"/>
      <c r="H118" s="97"/>
      <c r="I118" s="97"/>
      <c r="J118" s="102"/>
      <c r="K118" s="98"/>
    </row>
    <row r="119" spans="1:12" ht="12" customHeight="1">
      <c r="A119" s="56" t="s">
        <v>44</v>
      </c>
      <c r="B119" s="58">
        <v>97</v>
      </c>
      <c r="C119" s="333"/>
      <c r="D119" s="66" t="s">
        <v>55</v>
      </c>
      <c r="E119" s="336" t="s">
        <v>227</v>
      </c>
      <c r="F119" s="337"/>
      <c r="G119" s="338"/>
      <c r="H119" s="72"/>
      <c r="I119" s="72"/>
      <c r="J119" s="81"/>
      <c r="K119" s="98"/>
    </row>
    <row r="120" spans="1:12" ht="12" customHeight="1">
      <c r="A120" s="56" t="s">
        <v>44</v>
      </c>
      <c r="B120" s="58">
        <v>98</v>
      </c>
      <c r="C120" s="75" t="s">
        <v>44</v>
      </c>
      <c r="D120" s="67" t="s">
        <v>44</v>
      </c>
      <c r="E120" s="336" t="s">
        <v>228</v>
      </c>
      <c r="F120" s="337"/>
      <c r="G120" s="338"/>
      <c r="H120" s="72"/>
      <c r="I120" s="72"/>
      <c r="J120" s="81"/>
      <c r="K120" s="98"/>
    </row>
    <row r="121" spans="1:12" ht="12" customHeight="1">
      <c r="A121" s="56" t="s">
        <v>44</v>
      </c>
      <c r="B121" s="58">
        <v>99</v>
      </c>
      <c r="C121" s="75" t="s">
        <v>44</v>
      </c>
      <c r="D121" s="67" t="s">
        <v>44</v>
      </c>
      <c r="E121" s="336" t="s">
        <v>229</v>
      </c>
      <c r="F121" s="337"/>
      <c r="G121" s="338"/>
      <c r="H121" s="72"/>
      <c r="I121" s="72"/>
      <c r="J121" s="81"/>
      <c r="K121" s="98"/>
    </row>
    <row r="122" spans="1:12" ht="12" customHeight="1">
      <c r="A122" s="56" t="s">
        <v>44</v>
      </c>
      <c r="B122" s="58">
        <v>100</v>
      </c>
      <c r="C122" s="77" t="s">
        <v>44</v>
      </c>
      <c r="D122" s="70" t="s">
        <v>44</v>
      </c>
      <c r="E122" s="319" t="s">
        <v>44</v>
      </c>
      <c r="F122" s="320"/>
      <c r="G122" s="321"/>
      <c r="H122" s="72"/>
      <c r="I122" s="72"/>
      <c r="J122" s="81"/>
      <c r="K122" s="98"/>
      <c r="L122" s="49"/>
    </row>
    <row r="123" spans="1:12" ht="12" customHeight="1">
      <c r="A123" s="56" t="s">
        <v>44</v>
      </c>
      <c r="B123" s="58">
        <v>101</v>
      </c>
      <c r="C123" s="332" t="s">
        <v>230</v>
      </c>
      <c r="D123" s="323" t="s">
        <v>5</v>
      </c>
      <c r="E123" s="324"/>
      <c r="F123" s="324"/>
      <c r="G123" s="325"/>
      <c r="H123" s="97"/>
      <c r="I123" s="97"/>
      <c r="J123" s="102"/>
      <c r="K123" s="98"/>
    </row>
    <row r="124" spans="1:12" ht="12" customHeight="1">
      <c r="A124" s="56" t="s">
        <v>44</v>
      </c>
      <c r="B124" s="58">
        <v>102</v>
      </c>
      <c r="C124" s="333"/>
      <c r="D124" s="66" t="s">
        <v>55</v>
      </c>
      <c r="E124" s="342" t="s">
        <v>231</v>
      </c>
      <c r="F124" s="323" t="s">
        <v>5</v>
      </c>
      <c r="G124" s="325"/>
      <c r="H124" s="97"/>
      <c r="I124" s="97"/>
      <c r="J124" s="102"/>
      <c r="K124" s="98"/>
    </row>
    <row r="125" spans="1:12" ht="12" customHeight="1">
      <c r="A125" s="56" t="s">
        <v>44</v>
      </c>
      <c r="B125" s="58">
        <v>103</v>
      </c>
      <c r="C125" s="333"/>
      <c r="D125" s="67" t="s">
        <v>44</v>
      </c>
      <c r="E125" s="343"/>
      <c r="F125" s="66" t="s">
        <v>55</v>
      </c>
      <c r="G125" s="56" t="s">
        <v>232</v>
      </c>
      <c r="H125" s="72"/>
      <c r="I125" s="72"/>
      <c r="J125" s="81"/>
      <c r="K125" s="98"/>
    </row>
    <row r="126" spans="1:12" ht="57.75" customHeight="1">
      <c r="A126" s="56" t="s">
        <v>44</v>
      </c>
      <c r="B126" s="58">
        <v>104</v>
      </c>
      <c r="C126" s="333"/>
      <c r="D126" s="67" t="s">
        <v>44</v>
      </c>
      <c r="E126" s="67" t="s">
        <v>44</v>
      </c>
      <c r="F126" s="67" t="s">
        <v>44</v>
      </c>
      <c r="G126" s="56" t="s">
        <v>233</v>
      </c>
      <c r="H126" s="72"/>
      <c r="I126" s="72"/>
      <c r="J126" s="81"/>
      <c r="K126" s="98"/>
    </row>
    <row r="127" spans="1:12" ht="12" customHeight="1">
      <c r="A127" s="56" t="s">
        <v>44</v>
      </c>
      <c r="B127" s="58">
        <v>105</v>
      </c>
      <c r="C127" s="75" t="s">
        <v>44</v>
      </c>
      <c r="D127" s="67" t="s">
        <v>44</v>
      </c>
      <c r="E127" s="67" t="s">
        <v>44</v>
      </c>
      <c r="F127" s="67" t="s">
        <v>44</v>
      </c>
      <c r="G127" s="56" t="s">
        <v>221</v>
      </c>
      <c r="H127" s="72"/>
      <c r="I127" s="72"/>
      <c r="J127" s="81"/>
      <c r="K127" s="98"/>
    </row>
    <row r="128" spans="1:12" ht="12" customHeight="1">
      <c r="A128" s="56" t="s">
        <v>44</v>
      </c>
      <c r="B128" s="58">
        <v>106</v>
      </c>
      <c r="C128" s="75" t="s">
        <v>44</v>
      </c>
      <c r="D128" s="67" t="s">
        <v>44</v>
      </c>
      <c r="E128" s="70" t="s">
        <v>44</v>
      </c>
      <c r="F128" s="70" t="s">
        <v>44</v>
      </c>
      <c r="G128" s="60" t="s">
        <v>44</v>
      </c>
      <c r="H128" s="72"/>
      <c r="I128" s="72"/>
      <c r="J128" s="81"/>
      <c r="K128" s="98"/>
      <c r="L128" s="49"/>
    </row>
    <row r="129" spans="1:12" ht="12" customHeight="1">
      <c r="A129" s="56" t="s">
        <v>44</v>
      </c>
      <c r="B129" s="58">
        <v>107</v>
      </c>
      <c r="C129" s="75" t="s">
        <v>44</v>
      </c>
      <c r="D129" s="67" t="s">
        <v>44</v>
      </c>
      <c r="E129" s="336" t="s">
        <v>234</v>
      </c>
      <c r="F129" s="337"/>
      <c r="G129" s="338"/>
      <c r="H129" s="72"/>
      <c r="I129" s="72"/>
      <c r="J129" s="81"/>
      <c r="K129" s="98"/>
    </row>
    <row r="130" spans="1:12" ht="12" customHeight="1">
      <c r="A130" s="56" t="s">
        <v>44</v>
      </c>
      <c r="B130" s="58">
        <v>108</v>
      </c>
      <c r="C130" s="77" t="s">
        <v>44</v>
      </c>
      <c r="D130" s="70" t="s">
        <v>44</v>
      </c>
      <c r="E130" s="319" t="s">
        <v>44</v>
      </c>
      <c r="F130" s="320"/>
      <c r="G130" s="321"/>
      <c r="H130" s="72"/>
      <c r="I130" s="72"/>
      <c r="J130" s="81"/>
      <c r="K130" s="98"/>
      <c r="L130" s="49"/>
    </row>
    <row r="131" spans="1:12" ht="12" customHeight="1">
      <c r="A131" s="56" t="s">
        <v>44</v>
      </c>
      <c r="B131" s="58">
        <v>109</v>
      </c>
      <c r="C131" s="332" t="s">
        <v>175</v>
      </c>
      <c r="D131" s="323" t="s">
        <v>5</v>
      </c>
      <c r="E131" s="324"/>
      <c r="F131" s="324"/>
      <c r="G131" s="325"/>
      <c r="H131" s="97"/>
      <c r="I131" s="101">
        <f>SUM(I132:I136)</f>
        <v>0</v>
      </c>
      <c r="J131" s="102"/>
      <c r="K131" s="98"/>
    </row>
    <row r="132" spans="1:12" ht="12" customHeight="1">
      <c r="A132" s="56" t="s">
        <v>44</v>
      </c>
      <c r="B132" s="58">
        <v>110</v>
      </c>
      <c r="C132" s="333"/>
      <c r="D132" s="66" t="s">
        <v>55</v>
      </c>
      <c r="E132" s="336" t="s">
        <v>91</v>
      </c>
      <c r="F132" s="337"/>
      <c r="G132" s="338"/>
      <c r="H132" s="72"/>
      <c r="I132" s="72"/>
      <c r="J132" s="81" t="e">
        <f>#REF!</f>
        <v>#REF!</v>
      </c>
      <c r="K132" s="98"/>
    </row>
    <row r="133" spans="1:12" ht="12" customHeight="1">
      <c r="A133" s="56" t="s">
        <v>44</v>
      </c>
      <c r="B133" s="58">
        <v>111</v>
      </c>
      <c r="C133" s="333"/>
      <c r="D133" s="67" t="s">
        <v>44</v>
      </c>
      <c r="E133" s="336" t="s">
        <v>235</v>
      </c>
      <c r="F133" s="337"/>
      <c r="G133" s="338"/>
      <c r="H133" s="72"/>
      <c r="I133" s="72"/>
      <c r="J133" s="81" t="e">
        <f>#REF!</f>
        <v>#REF!</v>
      </c>
      <c r="K133" s="98"/>
    </row>
    <row r="134" spans="1:12" ht="12" customHeight="1">
      <c r="A134" s="56" t="s">
        <v>44</v>
      </c>
      <c r="B134" s="58">
        <v>112</v>
      </c>
      <c r="C134" s="75" t="s">
        <v>44</v>
      </c>
      <c r="D134" s="67" t="s">
        <v>44</v>
      </c>
      <c r="E134" s="336" t="s">
        <v>11</v>
      </c>
      <c r="F134" s="337"/>
      <c r="G134" s="338"/>
      <c r="H134" s="72"/>
      <c r="I134" s="72"/>
      <c r="J134" s="81" t="e">
        <f>#REF!</f>
        <v>#REF!</v>
      </c>
      <c r="K134" s="98"/>
    </row>
    <row r="135" spans="1:12" ht="12" customHeight="1">
      <c r="A135" s="56" t="s">
        <v>44</v>
      </c>
      <c r="B135" s="58">
        <v>113</v>
      </c>
      <c r="C135" s="75" t="s">
        <v>44</v>
      </c>
      <c r="D135" s="67" t="s">
        <v>44</v>
      </c>
      <c r="E135" s="336" t="s">
        <v>9</v>
      </c>
      <c r="F135" s="337"/>
      <c r="G135" s="338"/>
      <c r="H135" s="72"/>
      <c r="I135" s="72"/>
      <c r="J135" s="81" t="e">
        <f>#REF!</f>
        <v>#REF!</v>
      </c>
      <c r="K135" s="98"/>
    </row>
    <row r="136" spans="1:12" ht="12" customHeight="1">
      <c r="A136" s="108" t="s">
        <v>44</v>
      </c>
      <c r="B136" s="58">
        <v>116</v>
      </c>
      <c r="C136" s="59" t="s">
        <v>44</v>
      </c>
      <c r="D136" s="56" t="s">
        <v>44</v>
      </c>
      <c r="E136" s="329" t="s">
        <v>236</v>
      </c>
      <c r="F136" s="329"/>
      <c r="G136" s="329"/>
      <c r="H136" s="72"/>
      <c r="I136" s="72"/>
      <c r="J136" s="81" t="e">
        <f>#REF!</f>
        <v>#REF!</v>
      </c>
      <c r="K136" s="98"/>
      <c r="L136" s="49"/>
    </row>
    <row r="137" spans="1:12" ht="12" customHeight="1">
      <c r="A137" s="56" t="s">
        <v>44</v>
      </c>
      <c r="B137" s="114">
        <v>117</v>
      </c>
      <c r="C137" s="77" t="s">
        <v>44</v>
      </c>
      <c r="D137" s="70" t="s">
        <v>44</v>
      </c>
      <c r="E137" s="339" t="s">
        <v>44</v>
      </c>
      <c r="F137" s="340"/>
      <c r="G137" s="341"/>
      <c r="H137" s="115"/>
      <c r="I137" s="115"/>
      <c r="J137" s="116"/>
      <c r="K137" s="98"/>
      <c r="L137" s="49"/>
    </row>
    <row r="138" spans="1:12" ht="12" customHeight="1">
      <c r="A138" s="56" t="s">
        <v>44</v>
      </c>
      <c r="B138" s="58">
        <v>118</v>
      </c>
      <c r="C138" s="332" t="s">
        <v>237</v>
      </c>
      <c r="D138" s="323" t="s">
        <v>5</v>
      </c>
      <c r="E138" s="324"/>
      <c r="F138" s="324"/>
      <c r="G138" s="325"/>
      <c r="H138" s="97"/>
      <c r="I138" s="117"/>
      <c r="J138" s="118"/>
      <c r="K138" s="98"/>
    </row>
    <row r="139" spans="1:12" ht="12" customHeight="1">
      <c r="A139" s="56" t="s">
        <v>44</v>
      </c>
      <c r="B139" s="58">
        <v>119</v>
      </c>
      <c r="C139" s="333"/>
      <c r="D139" s="66" t="s">
        <v>55</v>
      </c>
      <c r="E139" s="336" t="s">
        <v>19</v>
      </c>
      <c r="F139" s="337"/>
      <c r="G139" s="338"/>
      <c r="H139" s="109"/>
      <c r="I139" s="113"/>
      <c r="J139" s="81" t="e">
        <f>#REF!</f>
        <v>#REF!</v>
      </c>
      <c r="K139" s="98"/>
    </row>
    <row r="140" spans="1:12" ht="12" customHeight="1">
      <c r="A140" s="56" t="s">
        <v>44</v>
      </c>
      <c r="B140" s="58">
        <v>120</v>
      </c>
      <c r="C140" s="75" t="s">
        <v>44</v>
      </c>
      <c r="D140" s="67" t="s">
        <v>44</v>
      </c>
      <c r="E140" s="66" t="s">
        <v>95</v>
      </c>
      <c r="F140" s="323" t="s">
        <v>5</v>
      </c>
      <c r="G140" s="325"/>
      <c r="H140" s="110"/>
      <c r="I140" s="97"/>
      <c r="J140" s="102"/>
      <c r="K140" s="98"/>
    </row>
    <row r="141" spans="1:12" ht="12" customHeight="1">
      <c r="A141" s="56" t="s">
        <v>44</v>
      </c>
      <c r="B141" s="58">
        <v>121</v>
      </c>
      <c r="C141" s="75" t="s">
        <v>44</v>
      </c>
      <c r="D141" s="67" t="s">
        <v>44</v>
      </c>
      <c r="E141" s="67" t="s">
        <v>44</v>
      </c>
      <c r="F141" s="330" t="s">
        <v>55</v>
      </c>
      <c r="G141" s="108" t="s">
        <v>44</v>
      </c>
      <c r="H141" s="104"/>
      <c r="I141" s="72"/>
      <c r="J141" s="81"/>
      <c r="K141" s="98"/>
    </row>
    <row r="142" spans="1:12" ht="12" customHeight="1">
      <c r="A142" s="56" t="s">
        <v>44</v>
      </c>
      <c r="B142" s="58">
        <v>122</v>
      </c>
      <c r="C142" s="75" t="s">
        <v>44</v>
      </c>
      <c r="D142" s="67" t="s">
        <v>44</v>
      </c>
      <c r="E142" s="70" t="s">
        <v>44</v>
      </c>
      <c r="F142" s="331"/>
      <c r="G142" s="60" t="s">
        <v>238</v>
      </c>
      <c r="H142" s="72"/>
      <c r="I142" s="119"/>
      <c r="J142" s="81"/>
      <c r="K142" s="98"/>
      <c r="L142" s="49"/>
    </row>
    <row r="143" spans="1:12" ht="12" customHeight="1">
      <c r="A143" s="56" t="s">
        <v>44</v>
      </c>
      <c r="B143" s="58">
        <v>123</v>
      </c>
      <c r="C143" s="75" t="s">
        <v>44</v>
      </c>
      <c r="D143" s="67" t="s">
        <v>44</v>
      </c>
      <c r="E143" s="70" t="s">
        <v>44</v>
      </c>
      <c r="G143" s="60" t="s">
        <v>44</v>
      </c>
      <c r="H143" s="72"/>
      <c r="I143" s="109"/>
      <c r="J143" s="81"/>
      <c r="K143" s="98"/>
      <c r="L143" s="49"/>
    </row>
    <row r="144" spans="1:12" ht="12" customHeight="1">
      <c r="A144" s="56" t="s">
        <v>44</v>
      </c>
      <c r="B144" s="58">
        <v>124</v>
      </c>
      <c r="C144" s="75" t="s">
        <v>44</v>
      </c>
      <c r="D144" s="67" t="s">
        <v>44</v>
      </c>
      <c r="E144" s="66" t="s">
        <v>97</v>
      </c>
      <c r="F144" s="323" t="s">
        <v>5</v>
      </c>
      <c r="G144" s="325"/>
      <c r="H144" s="97"/>
      <c r="I144" s="110"/>
      <c r="J144" s="102"/>
      <c r="K144" s="98"/>
    </row>
    <row r="145" spans="1:12" ht="12" customHeight="1">
      <c r="A145" s="56" t="s">
        <v>44</v>
      </c>
      <c r="B145" s="58">
        <v>125</v>
      </c>
      <c r="C145" s="75" t="s">
        <v>44</v>
      </c>
      <c r="D145" s="67" t="s">
        <v>44</v>
      </c>
      <c r="E145" s="67" t="s">
        <v>44</v>
      </c>
      <c r="F145" s="330" t="s">
        <v>55</v>
      </c>
      <c r="G145" s="108" t="s">
        <v>44</v>
      </c>
      <c r="H145" s="104"/>
      <c r="I145" s="104"/>
      <c r="J145" s="81"/>
      <c r="K145" s="98"/>
    </row>
    <row r="146" spans="1:12" ht="12" customHeight="1">
      <c r="A146" s="56" t="s">
        <v>44</v>
      </c>
      <c r="B146" s="58">
        <v>126</v>
      </c>
      <c r="C146" s="77" t="s">
        <v>44</v>
      </c>
      <c r="D146" s="70" t="s">
        <v>44</v>
      </c>
      <c r="E146" s="70" t="s">
        <v>44</v>
      </c>
      <c r="F146" s="331"/>
      <c r="G146" s="60" t="s">
        <v>18</v>
      </c>
      <c r="H146" s="72"/>
      <c r="I146" s="120"/>
      <c r="J146" s="81" t="e">
        <f>#REF!</f>
        <v>#REF!</v>
      </c>
      <c r="K146" s="98"/>
      <c r="L146" s="49"/>
    </row>
    <row r="147" spans="1:12" ht="12" customHeight="1">
      <c r="A147" s="56" t="s">
        <v>44</v>
      </c>
      <c r="B147" s="58">
        <v>127</v>
      </c>
      <c r="C147" s="77" t="s">
        <v>44</v>
      </c>
      <c r="D147" s="70" t="s">
        <v>44</v>
      </c>
      <c r="E147" s="70" t="s">
        <v>44</v>
      </c>
      <c r="F147" s="113"/>
      <c r="G147" s="60"/>
      <c r="H147" s="72"/>
      <c r="I147" s="120"/>
      <c r="J147" s="81"/>
      <c r="K147" s="98"/>
      <c r="L147" s="49"/>
    </row>
    <row r="148" spans="1:12" ht="12" customHeight="1">
      <c r="A148" s="56" t="s">
        <v>44</v>
      </c>
      <c r="B148" s="58">
        <v>128</v>
      </c>
      <c r="C148" s="77" t="s">
        <v>44</v>
      </c>
      <c r="D148" s="70" t="s">
        <v>44</v>
      </c>
      <c r="E148" s="70" t="s">
        <v>44</v>
      </c>
      <c r="F148" s="113"/>
      <c r="G148" s="60" t="s">
        <v>44</v>
      </c>
      <c r="H148" s="72"/>
      <c r="I148" s="109"/>
      <c r="J148" s="81"/>
      <c r="K148" s="98"/>
      <c r="L148" s="49"/>
    </row>
    <row r="149" spans="1:12" ht="12" customHeight="1">
      <c r="A149" s="56" t="s">
        <v>44</v>
      </c>
      <c r="B149" s="58">
        <v>129</v>
      </c>
      <c r="C149" s="332" t="s">
        <v>239</v>
      </c>
      <c r="D149" s="323" t="s">
        <v>5</v>
      </c>
      <c r="E149" s="324"/>
      <c r="F149" s="324"/>
      <c r="G149" s="325"/>
      <c r="H149" s="97"/>
      <c r="I149" s="110"/>
      <c r="J149" s="102"/>
      <c r="K149" s="98"/>
    </row>
    <row r="150" spans="1:12">
      <c r="A150" s="56" t="s">
        <v>44</v>
      </c>
      <c r="B150" s="121">
        <v>130</v>
      </c>
      <c r="C150" s="333"/>
      <c r="D150" s="66" t="s">
        <v>55</v>
      </c>
      <c r="E150" s="334" t="s">
        <v>44</v>
      </c>
      <c r="F150" s="335"/>
      <c r="G150" s="335"/>
      <c r="H150" s="104"/>
      <c r="I150" s="104"/>
      <c r="J150" s="81"/>
      <c r="K150" s="98"/>
    </row>
    <row r="151" spans="1:12" ht="12" customHeight="1">
      <c r="A151" s="108" t="s">
        <v>44</v>
      </c>
      <c r="B151" s="58">
        <v>131</v>
      </c>
      <c r="C151" s="59" t="s">
        <v>44</v>
      </c>
      <c r="D151" s="70" t="s">
        <v>44</v>
      </c>
      <c r="E151" s="319" t="s">
        <v>44</v>
      </c>
      <c r="F151" s="320"/>
      <c r="G151" s="321"/>
      <c r="H151" s="72"/>
      <c r="I151" s="109"/>
      <c r="J151" s="81"/>
      <c r="K151" s="98"/>
      <c r="L151" s="49"/>
    </row>
    <row r="152" spans="1:12" ht="12" customHeight="1">
      <c r="A152" s="108" t="s">
        <v>44</v>
      </c>
      <c r="B152" s="58">
        <v>132</v>
      </c>
      <c r="C152" s="322" t="s">
        <v>240</v>
      </c>
      <c r="D152" s="323" t="s">
        <v>5</v>
      </c>
      <c r="E152" s="324"/>
      <c r="F152" s="324"/>
      <c r="G152" s="325"/>
      <c r="H152" s="97"/>
      <c r="I152" s="110"/>
      <c r="J152" s="102"/>
      <c r="K152" s="98"/>
    </row>
    <row r="153" spans="1:12" ht="12" customHeight="1">
      <c r="A153" s="108" t="s">
        <v>44</v>
      </c>
      <c r="B153" s="58">
        <v>133</v>
      </c>
      <c r="C153" s="322"/>
      <c r="D153" s="66" t="s">
        <v>55</v>
      </c>
      <c r="E153" s="326" t="s">
        <v>241</v>
      </c>
      <c r="F153" s="327"/>
      <c r="G153" s="328"/>
      <c r="H153" s="122"/>
      <c r="I153" s="123"/>
      <c r="J153" s="81"/>
      <c r="K153" s="98"/>
    </row>
    <row r="154" spans="1:12" ht="12" customHeight="1">
      <c r="A154" s="108" t="s">
        <v>44</v>
      </c>
      <c r="B154" s="58">
        <v>134</v>
      </c>
      <c r="C154" s="59" t="s">
        <v>44</v>
      </c>
      <c r="D154" s="56" t="s">
        <v>44</v>
      </c>
      <c r="E154" s="329" t="s">
        <v>198</v>
      </c>
      <c r="F154" s="329"/>
      <c r="G154" s="329"/>
      <c r="H154" s="72"/>
      <c r="I154" s="120" t="e">
        <f>SUM(#REF!)</f>
        <v>#REF!</v>
      </c>
      <c r="J154" s="100" t="e">
        <f>#REF!+#REF!</f>
        <v>#REF!</v>
      </c>
      <c r="K154" s="98"/>
      <c r="L154" s="49"/>
    </row>
    <row r="155" spans="1:12" ht="15.75" customHeight="1">
      <c r="B155" s="113"/>
      <c r="C155" s="113"/>
      <c r="D155" s="113"/>
      <c r="E155" s="113"/>
      <c r="F155" s="113"/>
      <c r="G155" s="113"/>
      <c r="H155" s="113"/>
      <c r="I155" s="124"/>
      <c r="J155" s="100"/>
    </row>
  </sheetData>
  <mergeCells count="142">
    <mergeCell ref="B1:J1"/>
    <mergeCell ref="B3:J3"/>
    <mergeCell ref="B4:J4"/>
    <mergeCell ref="B5:J5"/>
    <mergeCell ref="B6:J6"/>
    <mergeCell ref="B7:H7"/>
    <mergeCell ref="B22:B24"/>
    <mergeCell ref="C22:G24"/>
    <mergeCell ref="I22:J24"/>
    <mergeCell ref="C29:G29"/>
    <mergeCell ref="C30:C34"/>
    <mergeCell ref="D30:G30"/>
    <mergeCell ref="D31:D34"/>
    <mergeCell ref="E31:G31"/>
    <mergeCell ref="E32:G32"/>
    <mergeCell ref="E33:G33"/>
    <mergeCell ref="C38:G38"/>
    <mergeCell ref="C39:C41"/>
    <mergeCell ref="D39:G39"/>
    <mergeCell ref="D40:D41"/>
    <mergeCell ref="E40:G40"/>
    <mergeCell ref="E41:G41"/>
    <mergeCell ref="E34:G34"/>
    <mergeCell ref="C35:C37"/>
    <mergeCell ref="D35:G35"/>
    <mergeCell ref="D36:D37"/>
    <mergeCell ref="E36:G36"/>
    <mergeCell ref="E37:G37"/>
    <mergeCell ref="C48:C49"/>
    <mergeCell ref="D48:G48"/>
    <mergeCell ref="E49:G49"/>
    <mergeCell ref="E50:G50"/>
    <mergeCell ref="E51:G51"/>
    <mergeCell ref="C52:C53"/>
    <mergeCell ref="D52:G52"/>
    <mergeCell ref="E53:G53"/>
    <mergeCell ref="C42:C44"/>
    <mergeCell ref="D42:G42"/>
    <mergeCell ref="D43:D44"/>
    <mergeCell ref="E43:G43"/>
    <mergeCell ref="E44:G44"/>
    <mergeCell ref="C45:C47"/>
    <mergeCell ref="D45:G45"/>
    <mergeCell ref="D46:D47"/>
    <mergeCell ref="E46:G46"/>
    <mergeCell ref="E47:G47"/>
    <mergeCell ref="E58:G58"/>
    <mergeCell ref="E59:G59"/>
    <mergeCell ref="C60:C62"/>
    <mergeCell ref="D60:G60"/>
    <mergeCell ref="E61:G61"/>
    <mergeCell ref="E62:G62"/>
    <mergeCell ref="E54:G54"/>
    <mergeCell ref="C55:C57"/>
    <mergeCell ref="D55:G55"/>
    <mergeCell ref="E56:G56"/>
    <mergeCell ref="E57:G57"/>
    <mergeCell ref="F76:G76"/>
    <mergeCell ref="E80:E81"/>
    <mergeCell ref="F80:G80"/>
    <mergeCell ref="G81:I81"/>
    <mergeCell ref="E84:E85"/>
    <mergeCell ref="F84:G84"/>
    <mergeCell ref="E63:G63"/>
    <mergeCell ref="E64:G64"/>
    <mergeCell ref="C65:C67"/>
    <mergeCell ref="D65:G65"/>
    <mergeCell ref="F66:G66"/>
    <mergeCell ref="F70:G70"/>
    <mergeCell ref="E93:G93"/>
    <mergeCell ref="E94:G94"/>
    <mergeCell ref="C95:C96"/>
    <mergeCell ref="D95:G95"/>
    <mergeCell ref="E96:G96"/>
    <mergeCell ref="E97:G97"/>
    <mergeCell ref="C87:C88"/>
    <mergeCell ref="D87:G87"/>
    <mergeCell ref="E88:G88"/>
    <mergeCell ref="E89:G89"/>
    <mergeCell ref="E90:G90"/>
    <mergeCell ref="C91:C92"/>
    <mergeCell ref="D91:G91"/>
    <mergeCell ref="E92:G92"/>
    <mergeCell ref="E104:G104"/>
    <mergeCell ref="C105:G105"/>
    <mergeCell ref="E98:G98"/>
    <mergeCell ref="E99:G99"/>
    <mergeCell ref="E100:G100"/>
    <mergeCell ref="C101:C103"/>
    <mergeCell ref="D101:G101"/>
    <mergeCell ref="E102:G102"/>
    <mergeCell ref="E103:G103"/>
    <mergeCell ref="C111:C112"/>
    <mergeCell ref="D111:G111"/>
    <mergeCell ref="E112:G112"/>
    <mergeCell ref="E113:G113"/>
    <mergeCell ref="C114:C115"/>
    <mergeCell ref="D114:G114"/>
    <mergeCell ref="E115:G115"/>
    <mergeCell ref="C106:G106"/>
    <mergeCell ref="C107:C108"/>
    <mergeCell ref="D107:G107"/>
    <mergeCell ref="E108:G108"/>
    <mergeCell ref="E109:G109"/>
    <mergeCell ref="E110:G110"/>
    <mergeCell ref="E121:G121"/>
    <mergeCell ref="E122:G122"/>
    <mergeCell ref="C123:C126"/>
    <mergeCell ref="D123:G123"/>
    <mergeCell ref="E124:E125"/>
    <mergeCell ref="F124:G124"/>
    <mergeCell ref="E116:G116"/>
    <mergeCell ref="E117:G117"/>
    <mergeCell ref="C118:C119"/>
    <mergeCell ref="D118:G118"/>
    <mergeCell ref="E119:G119"/>
    <mergeCell ref="E120:G120"/>
    <mergeCell ref="E134:G134"/>
    <mergeCell ref="E135:G135"/>
    <mergeCell ref="E136:G136"/>
    <mergeCell ref="E137:G137"/>
    <mergeCell ref="C138:C139"/>
    <mergeCell ref="D138:G138"/>
    <mergeCell ref="E139:G139"/>
    <mergeCell ref="E129:G129"/>
    <mergeCell ref="E130:G130"/>
    <mergeCell ref="C131:C133"/>
    <mergeCell ref="D131:G131"/>
    <mergeCell ref="E132:G132"/>
    <mergeCell ref="E133:G133"/>
    <mergeCell ref="E151:G151"/>
    <mergeCell ref="C152:C153"/>
    <mergeCell ref="D152:G152"/>
    <mergeCell ref="E153:G153"/>
    <mergeCell ref="E154:G154"/>
    <mergeCell ref="F140:G140"/>
    <mergeCell ref="F141:F142"/>
    <mergeCell ref="F144:G144"/>
    <mergeCell ref="F145:F146"/>
    <mergeCell ref="C149:C150"/>
    <mergeCell ref="D149:G149"/>
    <mergeCell ref="E150:G150"/>
  </mergeCells>
  <pageMargins left="0.7" right="0.7" top="0.75" bottom="0.75" header="0.3" footer="0.3"/>
  <pageSetup paperSize="9"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topLeftCell="B1" zoomScaleNormal="100" workbookViewId="0">
      <selection activeCell="M29" sqref="M29"/>
    </sheetView>
  </sheetViews>
  <sheetFormatPr defaultColWidth="9.140625" defaultRowHeight="15.75"/>
  <cols>
    <col min="1" max="1" width="4.140625" style="50" hidden="1" customWidth="1"/>
    <col min="2" max="2" width="5.42578125" style="50" customWidth="1"/>
    <col min="3" max="3" width="9.140625" style="50"/>
    <col min="4" max="4" width="31.42578125" style="50" customWidth="1"/>
    <col min="5" max="5" width="10.42578125" style="50" customWidth="1"/>
    <col min="6" max="6" width="11.42578125" style="50" customWidth="1"/>
    <col min="7" max="7" width="10" style="50" customWidth="1"/>
    <col min="8" max="8" width="18.42578125" style="50" customWidth="1"/>
    <col min="9" max="11" width="3.42578125" style="50" hidden="1" customWidth="1"/>
    <col min="12" max="12" width="3.140625" style="50" hidden="1" customWidth="1"/>
    <col min="13" max="13" width="15.42578125" style="50" customWidth="1"/>
    <col min="14" max="16384" width="9.140625" style="50"/>
  </cols>
  <sheetData>
    <row r="1" spans="1:13" ht="14.25" customHeight="1">
      <c r="A1" s="49" t="s">
        <v>44</v>
      </c>
      <c r="B1" s="357" t="s">
        <v>45</v>
      </c>
      <c r="C1" s="357"/>
      <c r="D1" s="357"/>
      <c r="E1" s="357"/>
      <c r="F1" s="357"/>
      <c r="G1" s="357"/>
      <c r="H1" s="357"/>
      <c r="L1" s="51"/>
    </row>
    <row r="2" spans="1:13" ht="15.75" customHeight="1">
      <c r="A2" s="49" t="s">
        <v>44</v>
      </c>
      <c r="B2" s="52" t="s">
        <v>44</v>
      </c>
      <c r="C2" s="52" t="s">
        <v>44</v>
      </c>
      <c r="D2" s="52" t="s">
        <v>44</v>
      </c>
      <c r="E2" s="52" t="s">
        <v>44</v>
      </c>
      <c r="F2" s="52" t="s">
        <v>44</v>
      </c>
      <c r="G2" s="52" t="s">
        <v>44</v>
      </c>
      <c r="H2" s="49" t="s">
        <v>44</v>
      </c>
      <c r="L2" s="51"/>
    </row>
    <row r="3" spans="1:13" ht="14.25" customHeight="1">
      <c r="A3" s="49" t="s">
        <v>44</v>
      </c>
      <c r="B3" s="358" t="s">
        <v>167</v>
      </c>
      <c r="C3" s="358"/>
      <c r="D3" s="358"/>
      <c r="E3" s="358"/>
      <c r="F3" s="358"/>
      <c r="G3" s="358"/>
      <c r="H3" s="358"/>
      <c r="L3" s="51"/>
    </row>
    <row r="4" spans="1:13" ht="14.25" customHeight="1">
      <c r="A4" s="49" t="s">
        <v>44</v>
      </c>
      <c r="B4" s="359" t="s">
        <v>44</v>
      </c>
      <c r="C4" s="359"/>
      <c r="D4" s="359"/>
      <c r="E4" s="359"/>
      <c r="F4" s="359"/>
      <c r="G4" s="359"/>
      <c r="H4" s="359"/>
      <c r="L4" s="51"/>
      <c r="M4" s="53"/>
    </row>
    <row r="5" spans="1:13" ht="15.75" hidden="1" customHeight="1"/>
    <row r="6" spans="1:13" ht="15.75" hidden="1" customHeight="1"/>
    <row r="7" spans="1:13" ht="15.75" hidden="1" customHeight="1"/>
    <row r="8" spans="1:13" ht="15.75" hidden="1" customHeight="1"/>
    <row r="9" spans="1:13" ht="15.75" hidden="1" customHeight="1"/>
    <row r="10" spans="1:13" ht="15.75" hidden="1" customHeight="1"/>
    <row r="11" spans="1:13" ht="15.75" hidden="1" customHeight="1"/>
    <row r="12" spans="1:13" ht="15.75" hidden="1" customHeight="1"/>
    <row r="13" spans="1:13" ht="15.75" hidden="1" customHeight="1"/>
    <row r="14" spans="1:13" ht="15.75" hidden="1" customHeight="1"/>
    <row r="15" spans="1:13" ht="15.75" hidden="1" customHeight="1"/>
    <row r="16" spans="1:13" ht="15.75" hidden="1" customHeight="1"/>
    <row r="17" spans="1:13" ht="15.75" hidden="1" customHeight="1"/>
    <row r="18" spans="1:13" ht="15.75" hidden="1" customHeight="1"/>
    <row r="19" spans="1:13" ht="12" customHeight="1">
      <c r="A19" s="54" t="s">
        <v>44</v>
      </c>
      <c r="B19" s="382" t="s">
        <v>0</v>
      </c>
      <c r="C19" s="365" t="s">
        <v>51</v>
      </c>
      <c r="D19" s="366"/>
      <c r="E19" s="366"/>
      <c r="F19" s="366"/>
      <c r="G19" s="367"/>
      <c r="H19" s="55"/>
    </row>
    <row r="20" spans="1:13" ht="12" customHeight="1">
      <c r="A20" s="56" t="s">
        <v>44</v>
      </c>
      <c r="B20" s="363"/>
      <c r="C20" s="368"/>
      <c r="D20" s="369"/>
      <c r="E20" s="369"/>
      <c r="F20" s="369"/>
      <c r="G20" s="370"/>
      <c r="H20" s="55"/>
    </row>
    <row r="21" spans="1:13" ht="24" customHeight="1">
      <c r="A21" s="56" t="s">
        <v>44</v>
      </c>
      <c r="B21" s="364"/>
      <c r="C21" s="371"/>
      <c r="D21" s="372"/>
      <c r="E21" s="372"/>
      <c r="F21" s="372"/>
      <c r="G21" s="373"/>
      <c r="H21" s="57" t="s">
        <v>52</v>
      </c>
      <c r="M21" s="53"/>
    </row>
    <row r="22" spans="1:13" ht="15.75" hidden="1" customHeight="1"/>
    <row r="23" spans="1:13" ht="15.75" hidden="1" customHeight="1"/>
    <row r="24" spans="1:13" ht="15.75" hidden="1" customHeight="1"/>
    <row r="25" spans="1:13" ht="12" customHeight="1">
      <c r="A25" s="56" t="s">
        <v>44</v>
      </c>
      <c r="B25" s="57">
        <v>1</v>
      </c>
      <c r="C25" s="383">
        <v>2</v>
      </c>
      <c r="D25" s="384"/>
      <c r="E25" s="57">
        <v>3</v>
      </c>
      <c r="F25" s="383">
        <v>4</v>
      </c>
      <c r="G25" s="384"/>
      <c r="H25" s="57">
        <v>8</v>
      </c>
      <c r="M25" s="53"/>
    </row>
    <row r="26" spans="1:13" ht="15.75" hidden="1" customHeight="1"/>
    <row r="27" spans="1:13" ht="15.75" customHeight="1">
      <c r="H27" s="125" t="e">
        <f>H28+H52+H76</f>
        <v>#REF!</v>
      </c>
      <c r="M27" s="53" t="e">
        <f>#REF!+#REF!+#REF!+#REF!</f>
        <v>#REF!</v>
      </c>
    </row>
    <row r="28" spans="1:13" ht="20.25" customHeight="1">
      <c r="A28" s="56" t="s">
        <v>44</v>
      </c>
      <c r="B28" s="58">
        <v>1</v>
      </c>
      <c r="C28" s="59" t="s">
        <v>168</v>
      </c>
      <c r="D28" s="60" t="s">
        <v>6</v>
      </c>
      <c r="E28" s="61" t="s">
        <v>169</v>
      </c>
      <c r="F28" s="62" t="s">
        <v>44</v>
      </c>
      <c r="G28" s="62" t="s">
        <v>44</v>
      </c>
      <c r="H28" s="63" t="e">
        <f>SUM(H29:H51)</f>
        <v>#REF!</v>
      </c>
      <c r="I28" s="49"/>
      <c r="M28" s="53" t="e">
        <f>H27-M27</f>
        <v>#REF!</v>
      </c>
    </row>
    <row r="29" spans="1:13" ht="19.5" customHeight="1">
      <c r="A29" s="56" t="s">
        <v>44</v>
      </c>
      <c r="B29" s="58">
        <v>2</v>
      </c>
      <c r="C29" s="374" t="s">
        <v>54</v>
      </c>
      <c r="D29" s="375"/>
      <c r="E29" s="323" t="s">
        <v>5</v>
      </c>
      <c r="F29" s="324"/>
      <c r="G29" s="325"/>
      <c r="H29" s="64"/>
      <c r="I29" s="49"/>
      <c r="M29" s="65"/>
    </row>
    <row r="30" spans="1:13" ht="12" customHeight="1">
      <c r="A30" s="56" t="s">
        <v>44</v>
      </c>
      <c r="B30" s="58">
        <v>3</v>
      </c>
      <c r="C30" s="376"/>
      <c r="D30" s="377"/>
      <c r="E30" s="66" t="s">
        <v>55</v>
      </c>
      <c r="F30" s="336" t="s">
        <v>56</v>
      </c>
      <c r="G30" s="338"/>
      <c r="H30" s="72" t="e">
        <f>#REF!</f>
        <v>#REF!</v>
      </c>
      <c r="I30" s="49"/>
      <c r="M30" s="53"/>
    </row>
    <row r="31" spans="1:13" ht="12" customHeight="1">
      <c r="A31" s="56" t="s">
        <v>44</v>
      </c>
      <c r="B31" s="58">
        <v>4</v>
      </c>
      <c r="C31" s="376"/>
      <c r="D31" s="377"/>
      <c r="E31" s="67" t="s">
        <v>44</v>
      </c>
      <c r="F31" s="336" t="s">
        <v>57</v>
      </c>
      <c r="G31" s="338"/>
      <c r="H31" s="64"/>
      <c r="I31" s="49"/>
      <c r="M31" s="53"/>
    </row>
    <row r="32" spans="1:13" ht="12" customHeight="1">
      <c r="A32" s="56" t="s">
        <v>44</v>
      </c>
      <c r="B32" s="58">
        <v>5</v>
      </c>
      <c r="C32" s="376"/>
      <c r="D32" s="377"/>
      <c r="E32" s="67" t="s">
        <v>44</v>
      </c>
      <c r="F32" s="336" t="s">
        <v>58</v>
      </c>
      <c r="G32" s="338"/>
      <c r="H32" s="64"/>
      <c r="I32" s="49"/>
    </row>
    <row r="33" spans="1:13" ht="12" customHeight="1">
      <c r="A33" s="56" t="s">
        <v>44</v>
      </c>
      <c r="B33" s="58">
        <v>6</v>
      </c>
      <c r="C33" s="68" t="s">
        <v>44</v>
      </c>
      <c r="D33" s="69" t="s">
        <v>44</v>
      </c>
      <c r="E33" s="70" t="s">
        <v>44</v>
      </c>
      <c r="F33" s="319" t="s">
        <v>170</v>
      </c>
      <c r="G33" s="321"/>
      <c r="H33" s="64"/>
      <c r="I33" s="49"/>
      <c r="J33" s="49"/>
    </row>
    <row r="34" spans="1:13" ht="12" customHeight="1">
      <c r="A34" s="56" t="s">
        <v>44</v>
      </c>
      <c r="B34" s="58">
        <v>7</v>
      </c>
      <c r="C34" s="68" t="s">
        <v>44</v>
      </c>
      <c r="D34" s="69" t="s">
        <v>44</v>
      </c>
      <c r="E34" s="70" t="s">
        <v>44</v>
      </c>
      <c r="F34" s="319" t="s">
        <v>44</v>
      </c>
      <c r="G34" s="321"/>
      <c r="H34" s="64"/>
      <c r="I34" s="49"/>
      <c r="J34" s="49"/>
      <c r="M34" s="53"/>
    </row>
    <row r="35" spans="1:13" ht="12" customHeight="1">
      <c r="A35" s="56" t="s">
        <v>44</v>
      </c>
      <c r="B35" s="58">
        <v>8</v>
      </c>
      <c r="C35" s="374" t="s">
        <v>171</v>
      </c>
      <c r="D35" s="375"/>
      <c r="E35" s="323" t="s">
        <v>5</v>
      </c>
      <c r="F35" s="324"/>
      <c r="G35" s="325"/>
      <c r="H35" s="64"/>
      <c r="I35" s="49"/>
    </row>
    <row r="36" spans="1:13" ht="12" customHeight="1">
      <c r="A36" s="56" t="s">
        <v>44</v>
      </c>
      <c r="B36" s="58">
        <v>9</v>
      </c>
      <c r="C36" s="376"/>
      <c r="D36" s="377"/>
      <c r="E36" s="330" t="s">
        <v>55</v>
      </c>
      <c r="F36" s="336" t="s">
        <v>172</v>
      </c>
      <c r="G36" s="338"/>
      <c r="H36" s="72" t="e">
        <f>#REF!+#REF!</f>
        <v>#REF!</v>
      </c>
      <c r="I36" s="49"/>
      <c r="M36" s="128"/>
    </row>
    <row r="37" spans="1:13" ht="12" customHeight="1">
      <c r="A37" s="56" t="s">
        <v>44</v>
      </c>
      <c r="B37" s="58">
        <v>10</v>
      </c>
      <c r="C37" s="380"/>
      <c r="D37" s="381"/>
      <c r="E37" s="331"/>
      <c r="F37" s="336" t="s">
        <v>173</v>
      </c>
      <c r="G37" s="338"/>
      <c r="H37" s="64"/>
      <c r="I37" s="49"/>
    </row>
    <row r="38" spans="1:13" ht="12" customHeight="1">
      <c r="A38" s="56" t="s">
        <v>44</v>
      </c>
      <c r="B38" s="58">
        <v>11</v>
      </c>
      <c r="C38" s="374" t="s">
        <v>174</v>
      </c>
      <c r="D38" s="375"/>
      <c r="E38" s="323" t="s">
        <v>5</v>
      </c>
      <c r="F38" s="324"/>
      <c r="G38" s="325"/>
      <c r="H38" s="64"/>
      <c r="I38" s="49"/>
    </row>
    <row r="39" spans="1:13" ht="12" customHeight="1">
      <c r="A39" s="56" t="s">
        <v>44</v>
      </c>
      <c r="B39" s="58">
        <v>12</v>
      </c>
      <c r="C39" s="376"/>
      <c r="D39" s="377"/>
      <c r="E39" s="66" t="s">
        <v>55</v>
      </c>
      <c r="F39" s="378" t="s">
        <v>44</v>
      </c>
      <c r="G39" s="379"/>
      <c r="H39" s="64"/>
      <c r="I39" s="49"/>
    </row>
    <row r="40" spans="1:13" ht="12" customHeight="1">
      <c r="A40" s="56" t="s">
        <v>44</v>
      </c>
      <c r="B40" s="58">
        <v>13</v>
      </c>
      <c r="C40" s="68" t="s">
        <v>44</v>
      </c>
      <c r="D40" s="69" t="s">
        <v>44</v>
      </c>
      <c r="E40" s="70" t="s">
        <v>44</v>
      </c>
      <c r="F40" s="319" t="s">
        <v>44</v>
      </c>
      <c r="G40" s="321"/>
      <c r="H40" s="64"/>
      <c r="I40" s="49"/>
      <c r="J40" s="49"/>
    </row>
    <row r="41" spans="1:13" ht="12" customHeight="1">
      <c r="A41" s="56" t="s">
        <v>44</v>
      </c>
      <c r="B41" s="58">
        <v>14</v>
      </c>
      <c r="C41" s="374" t="s">
        <v>175</v>
      </c>
      <c r="D41" s="375"/>
      <c r="E41" s="323" t="s">
        <v>5</v>
      </c>
      <c r="F41" s="324"/>
      <c r="G41" s="325"/>
      <c r="H41" s="64"/>
      <c r="I41" s="49"/>
    </row>
    <row r="42" spans="1:13" ht="12" customHeight="1">
      <c r="A42" s="56" t="s">
        <v>44</v>
      </c>
      <c r="B42" s="58">
        <v>15</v>
      </c>
      <c r="C42" s="376"/>
      <c r="D42" s="377"/>
      <c r="E42" s="66" t="s">
        <v>55</v>
      </c>
      <c r="F42" s="336" t="s">
        <v>91</v>
      </c>
      <c r="G42" s="338"/>
      <c r="H42" s="64" t="e">
        <f>#REF!</f>
        <v>#REF!</v>
      </c>
      <c r="I42" s="49"/>
    </row>
    <row r="43" spans="1:13" ht="12" customHeight="1">
      <c r="A43" s="56" t="s">
        <v>44</v>
      </c>
      <c r="B43" s="58">
        <v>16</v>
      </c>
      <c r="C43" s="68" t="s">
        <v>44</v>
      </c>
      <c r="D43" s="69" t="s">
        <v>44</v>
      </c>
      <c r="E43" s="70" t="s">
        <v>44</v>
      </c>
      <c r="F43" s="319" t="s">
        <v>176</v>
      </c>
      <c r="G43" s="321"/>
      <c r="H43" s="64" t="e">
        <f>#REF!</f>
        <v>#REF!</v>
      </c>
      <c r="I43" s="49"/>
      <c r="J43" s="49"/>
    </row>
    <row r="44" spans="1:13" ht="12" customHeight="1">
      <c r="A44" s="56" t="s">
        <v>44</v>
      </c>
      <c r="B44" s="58">
        <v>17</v>
      </c>
      <c r="C44" s="68" t="s">
        <v>44</v>
      </c>
      <c r="D44" s="69" t="s">
        <v>44</v>
      </c>
      <c r="E44" s="70" t="s">
        <v>44</v>
      </c>
      <c r="F44" s="319" t="s">
        <v>44</v>
      </c>
      <c r="G44" s="321"/>
      <c r="H44" s="64"/>
      <c r="I44" s="49"/>
      <c r="J44" s="49"/>
    </row>
    <row r="45" spans="1:13" ht="12" customHeight="1">
      <c r="A45" s="56" t="s">
        <v>44</v>
      </c>
      <c r="B45" s="58">
        <v>18</v>
      </c>
      <c r="C45" s="374" t="s">
        <v>177</v>
      </c>
      <c r="D45" s="375"/>
      <c r="E45" s="323" t="s">
        <v>5</v>
      </c>
      <c r="F45" s="324"/>
      <c r="G45" s="325"/>
      <c r="H45" s="64"/>
      <c r="I45" s="49"/>
    </row>
    <row r="46" spans="1:13" ht="12" customHeight="1">
      <c r="A46" s="56" t="s">
        <v>44</v>
      </c>
      <c r="B46" s="58">
        <v>19</v>
      </c>
      <c r="C46" s="376"/>
      <c r="D46" s="377"/>
      <c r="E46" s="66" t="s">
        <v>55</v>
      </c>
      <c r="F46" s="378" t="s">
        <v>44</v>
      </c>
      <c r="G46" s="379"/>
      <c r="H46" s="64"/>
      <c r="I46" s="49"/>
    </row>
    <row r="47" spans="1:13" ht="12" customHeight="1">
      <c r="A47" s="56" t="s">
        <v>44</v>
      </c>
      <c r="B47" s="58">
        <v>20</v>
      </c>
      <c r="C47" s="68" t="s">
        <v>44</v>
      </c>
      <c r="D47" s="69" t="s">
        <v>44</v>
      </c>
      <c r="E47" s="70" t="s">
        <v>44</v>
      </c>
      <c r="F47" s="319"/>
      <c r="G47" s="321"/>
      <c r="H47" s="64"/>
      <c r="I47" s="49"/>
      <c r="J47" s="49"/>
    </row>
    <row r="48" spans="1:13" ht="12" customHeight="1">
      <c r="A48" s="56" t="s">
        <v>44</v>
      </c>
      <c r="B48" s="58">
        <v>22</v>
      </c>
      <c r="C48" s="68" t="s">
        <v>44</v>
      </c>
      <c r="D48" s="69" t="s">
        <v>44</v>
      </c>
      <c r="E48" s="70" t="s">
        <v>44</v>
      </c>
      <c r="F48" s="319" t="s">
        <v>178</v>
      </c>
      <c r="G48" s="321"/>
      <c r="H48" s="64" t="e">
        <f>#REF!</f>
        <v>#REF!</v>
      </c>
      <c r="I48" s="49"/>
      <c r="J48" s="49"/>
    </row>
    <row r="49" spans="1:13" ht="49.5" customHeight="1">
      <c r="A49" s="56" t="s">
        <v>44</v>
      </c>
      <c r="B49" s="58">
        <v>23</v>
      </c>
      <c r="C49" s="68" t="s">
        <v>44</v>
      </c>
      <c r="D49" s="69" t="s">
        <v>44</v>
      </c>
      <c r="E49" s="70" t="s">
        <v>44</v>
      </c>
      <c r="F49" s="319" t="s">
        <v>8</v>
      </c>
      <c r="G49" s="321"/>
      <c r="H49" s="64" t="e">
        <f>#REF!</f>
        <v>#REF!</v>
      </c>
      <c r="I49" s="49"/>
      <c r="J49" s="49"/>
    </row>
    <row r="50" spans="1:13" ht="12" customHeight="1">
      <c r="A50" s="56" t="s">
        <v>44</v>
      </c>
      <c r="B50" s="58">
        <v>24</v>
      </c>
      <c r="C50" s="323" t="s">
        <v>179</v>
      </c>
      <c r="D50" s="324"/>
      <c r="E50" s="324"/>
      <c r="F50" s="324"/>
      <c r="G50" s="325"/>
      <c r="H50" s="64"/>
      <c r="I50" s="49"/>
    </row>
    <row r="51" spans="1:13" ht="12" customHeight="1">
      <c r="A51" s="56" t="s">
        <v>44</v>
      </c>
      <c r="B51" s="58">
        <v>25</v>
      </c>
      <c r="C51" s="323" t="s">
        <v>180</v>
      </c>
      <c r="D51" s="324"/>
      <c r="E51" s="324"/>
      <c r="F51" s="324"/>
      <c r="G51" s="325"/>
      <c r="H51" s="64" t="e">
        <f>нак.расх.!G29-зат.осн.про.!H75-зат.осн.про.!H99</f>
        <v>#REF!</v>
      </c>
      <c r="I51" s="49"/>
    </row>
    <row r="52" spans="1:13" ht="12" customHeight="1">
      <c r="A52" s="56" t="s">
        <v>44</v>
      </c>
      <c r="B52" s="58">
        <v>1</v>
      </c>
      <c r="C52" s="59" t="s">
        <v>168</v>
      </c>
      <c r="D52" s="60" t="s">
        <v>3</v>
      </c>
      <c r="E52" s="61" t="s">
        <v>169</v>
      </c>
      <c r="F52" s="62" t="s">
        <v>44</v>
      </c>
      <c r="G52" s="62" t="s">
        <v>44</v>
      </c>
      <c r="H52" s="63" t="e">
        <f>SUM(H53:H75)</f>
        <v>#REF!</v>
      </c>
      <c r="I52" s="49"/>
      <c r="M52" s="65" t="e">
        <f>#REF!</f>
        <v>#REF!</v>
      </c>
    </row>
    <row r="53" spans="1:13" ht="12" customHeight="1">
      <c r="A53" s="56" t="s">
        <v>44</v>
      </c>
      <c r="B53" s="58">
        <v>2</v>
      </c>
      <c r="C53" s="374" t="s">
        <v>54</v>
      </c>
      <c r="D53" s="375"/>
      <c r="E53" s="323" t="s">
        <v>5</v>
      </c>
      <c r="F53" s="324"/>
      <c r="G53" s="325"/>
      <c r="H53" s="64"/>
      <c r="I53" s="49"/>
      <c r="M53" s="53" t="e">
        <f>H52-M52</f>
        <v>#REF!</v>
      </c>
    </row>
    <row r="54" spans="1:13" ht="12" customHeight="1">
      <c r="A54" s="56" t="s">
        <v>44</v>
      </c>
      <c r="B54" s="58">
        <v>3</v>
      </c>
      <c r="C54" s="376"/>
      <c r="D54" s="377"/>
      <c r="E54" s="66" t="s">
        <v>55</v>
      </c>
      <c r="F54" s="336" t="s">
        <v>56</v>
      </c>
      <c r="G54" s="338"/>
      <c r="H54" s="64" t="e">
        <f>#REF!</f>
        <v>#REF!</v>
      </c>
      <c r="I54" s="49"/>
    </row>
    <row r="55" spans="1:13" ht="12" customHeight="1">
      <c r="A55" s="56" t="s">
        <v>44</v>
      </c>
      <c r="B55" s="58">
        <v>4</v>
      </c>
      <c r="C55" s="376"/>
      <c r="D55" s="377"/>
      <c r="E55" s="67" t="s">
        <v>44</v>
      </c>
      <c r="F55" s="336" t="s">
        <v>57</v>
      </c>
      <c r="G55" s="338"/>
      <c r="H55" s="64"/>
      <c r="I55" s="49"/>
    </row>
    <row r="56" spans="1:13" ht="12" customHeight="1">
      <c r="A56" s="56" t="s">
        <v>44</v>
      </c>
      <c r="B56" s="58">
        <v>5</v>
      </c>
      <c r="C56" s="376"/>
      <c r="D56" s="377"/>
      <c r="E56" s="67" t="s">
        <v>44</v>
      </c>
      <c r="F56" s="336" t="s">
        <v>58</v>
      </c>
      <c r="G56" s="338"/>
      <c r="H56" s="64"/>
      <c r="I56" s="49"/>
    </row>
    <row r="57" spans="1:13" ht="12" customHeight="1">
      <c r="A57" s="56" t="s">
        <v>44</v>
      </c>
      <c r="B57" s="58">
        <v>6</v>
      </c>
      <c r="C57" s="68" t="s">
        <v>44</v>
      </c>
      <c r="D57" s="69" t="s">
        <v>44</v>
      </c>
      <c r="E57" s="70" t="s">
        <v>44</v>
      </c>
      <c r="F57" s="319" t="s">
        <v>170</v>
      </c>
      <c r="G57" s="321"/>
      <c r="H57" s="64"/>
      <c r="I57" s="49"/>
      <c r="J57" s="49"/>
    </row>
    <row r="58" spans="1:13" ht="12" customHeight="1">
      <c r="A58" s="56" t="s">
        <v>44</v>
      </c>
      <c r="B58" s="58">
        <v>7</v>
      </c>
      <c r="C58" s="68" t="s">
        <v>44</v>
      </c>
      <c r="D58" s="69" t="s">
        <v>44</v>
      </c>
      <c r="E58" s="70" t="s">
        <v>44</v>
      </c>
      <c r="F58" s="319" t="s">
        <v>44</v>
      </c>
      <c r="G58" s="321"/>
      <c r="H58" s="64"/>
      <c r="I58" s="49"/>
    </row>
    <row r="59" spans="1:13" ht="12" customHeight="1">
      <c r="A59" s="56" t="s">
        <v>44</v>
      </c>
      <c r="B59" s="58">
        <v>8</v>
      </c>
      <c r="C59" s="374" t="s">
        <v>171</v>
      </c>
      <c r="D59" s="375"/>
      <c r="E59" s="323" t="s">
        <v>5</v>
      </c>
      <c r="F59" s="324"/>
      <c r="G59" s="325"/>
      <c r="H59" s="64"/>
      <c r="I59" s="49"/>
    </row>
    <row r="60" spans="1:13" ht="12" customHeight="1">
      <c r="A60" s="56" t="s">
        <v>44</v>
      </c>
      <c r="B60" s="58">
        <v>9</v>
      </c>
      <c r="C60" s="376"/>
      <c r="D60" s="377"/>
      <c r="E60" s="330" t="s">
        <v>55</v>
      </c>
      <c r="F60" s="336" t="s">
        <v>172</v>
      </c>
      <c r="G60" s="338"/>
      <c r="H60" s="64" t="e">
        <f>#REF!</f>
        <v>#REF!</v>
      </c>
      <c r="I60" s="49"/>
    </row>
    <row r="61" spans="1:13" ht="12" customHeight="1">
      <c r="A61" s="56" t="s">
        <v>44</v>
      </c>
      <c r="B61" s="58">
        <v>10</v>
      </c>
      <c r="C61" s="380"/>
      <c r="D61" s="381"/>
      <c r="E61" s="331"/>
      <c r="F61" s="336" t="s">
        <v>173</v>
      </c>
      <c r="G61" s="338"/>
      <c r="H61" s="64"/>
      <c r="I61" s="49"/>
    </row>
    <row r="62" spans="1:13" ht="12" customHeight="1">
      <c r="A62" s="56" t="s">
        <v>44</v>
      </c>
      <c r="B62" s="58">
        <v>11</v>
      </c>
      <c r="C62" s="374" t="s">
        <v>174</v>
      </c>
      <c r="D62" s="375"/>
      <c r="E62" s="323" t="s">
        <v>5</v>
      </c>
      <c r="F62" s="324"/>
      <c r="G62" s="325"/>
      <c r="H62" s="64"/>
      <c r="I62" s="49"/>
    </row>
    <row r="63" spans="1:13" ht="12" customHeight="1">
      <c r="A63" s="56" t="s">
        <v>44</v>
      </c>
      <c r="B63" s="58">
        <v>12</v>
      </c>
      <c r="C63" s="376"/>
      <c r="D63" s="377"/>
      <c r="E63" s="66" t="s">
        <v>55</v>
      </c>
      <c r="F63" s="378" t="s">
        <v>44</v>
      </c>
      <c r="G63" s="379"/>
      <c r="H63" s="64"/>
      <c r="I63" s="49"/>
      <c r="J63" s="49"/>
    </row>
    <row r="64" spans="1:13" ht="12" customHeight="1">
      <c r="A64" s="56" t="s">
        <v>44</v>
      </c>
      <c r="B64" s="58">
        <v>13</v>
      </c>
      <c r="C64" s="68" t="s">
        <v>44</v>
      </c>
      <c r="D64" s="69" t="s">
        <v>44</v>
      </c>
      <c r="E64" s="70" t="s">
        <v>44</v>
      </c>
      <c r="F64" s="319" t="s">
        <v>44</v>
      </c>
      <c r="G64" s="321"/>
      <c r="H64" s="64"/>
      <c r="I64" s="49"/>
    </row>
    <row r="65" spans="1:13" ht="12" customHeight="1">
      <c r="A65" s="56" t="s">
        <v>44</v>
      </c>
      <c r="B65" s="58">
        <v>14</v>
      </c>
      <c r="C65" s="374" t="s">
        <v>175</v>
      </c>
      <c r="D65" s="375"/>
      <c r="E65" s="323" t="s">
        <v>5</v>
      </c>
      <c r="F65" s="324"/>
      <c r="G65" s="325"/>
      <c r="H65" s="64"/>
      <c r="I65" s="49"/>
    </row>
    <row r="66" spans="1:13" ht="12" customHeight="1">
      <c r="A66" s="56" t="s">
        <v>44</v>
      </c>
      <c r="B66" s="58">
        <v>15</v>
      </c>
      <c r="C66" s="376"/>
      <c r="D66" s="377"/>
      <c r="E66" s="66" t="s">
        <v>55</v>
      </c>
      <c r="F66" s="336" t="s">
        <v>91</v>
      </c>
      <c r="G66" s="338"/>
      <c r="H66" s="64" t="e">
        <f>#REF!</f>
        <v>#REF!</v>
      </c>
      <c r="I66" s="49"/>
      <c r="J66" s="49"/>
    </row>
    <row r="67" spans="1:13" ht="12" customHeight="1">
      <c r="A67" s="56" t="s">
        <v>44</v>
      </c>
      <c r="B67" s="58">
        <v>16</v>
      </c>
      <c r="C67" s="68" t="s">
        <v>44</v>
      </c>
      <c r="D67" s="69" t="s">
        <v>44</v>
      </c>
      <c r="E67" s="70" t="s">
        <v>44</v>
      </c>
      <c r="F67" s="319" t="s">
        <v>176</v>
      </c>
      <c r="G67" s="321"/>
      <c r="H67" s="64" t="e">
        <f>#REF!</f>
        <v>#REF!</v>
      </c>
      <c r="I67" s="49"/>
    </row>
    <row r="68" spans="1:13" ht="12" customHeight="1">
      <c r="A68" s="56" t="s">
        <v>44</v>
      </c>
      <c r="B68" s="58">
        <v>17</v>
      </c>
      <c r="C68" s="68" t="s">
        <v>44</v>
      </c>
      <c r="D68" s="69" t="s">
        <v>44</v>
      </c>
      <c r="E68" s="70" t="s">
        <v>44</v>
      </c>
      <c r="F68" s="319" t="s">
        <v>44</v>
      </c>
      <c r="G68" s="321"/>
      <c r="H68" s="64"/>
      <c r="I68" s="49"/>
    </row>
    <row r="69" spans="1:13" ht="12" customHeight="1">
      <c r="A69" s="56" t="s">
        <v>44</v>
      </c>
      <c r="B69" s="58">
        <v>18</v>
      </c>
      <c r="C69" s="374" t="s">
        <v>177</v>
      </c>
      <c r="D69" s="375"/>
      <c r="E69" s="323" t="s">
        <v>5</v>
      </c>
      <c r="F69" s="324"/>
      <c r="G69" s="325"/>
      <c r="H69" s="64"/>
      <c r="I69" s="49"/>
      <c r="J69" s="49"/>
    </row>
    <row r="70" spans="1:13" ht="12" customHeight="1">
      <c r="A70" s="56" t="s">
        <v>44</v>
      </c>
      <c r="B70" s="58">
        <v>19</v>
      </c>
      <c r="C70" s="376"/>
      <c r="D70" s="377"/>
      <c r="E70" s="66" t="s">
        <v>55</v>
      </c>
      <c r="F70" s="378" t="s">
        <v>44</v>
      </c>
      <c r="G70" s="379"/>
      <c r="H70" s="64"/>
      <c r="I70" s="49"/>
    </row>
    <row r="71" spans="1:13" ht="12" customHeight="1">
      <c r="A71" s="56" t="s">
        <v>44</v>
      </c>
      <c r="B71" s="58">
        <v>20</v>
      </c>
      <c r="C71" s="68" t="s">
        <v>44</v>
      </c>
      <c r="D71" s="69" t="s">
        <v>44</v>
      </c>
      <c r="E71" s="70" t="s">
        <v>44</v>
      </c>
      <c r="F71" s="319"/>
      <c r="G71" s="321"/>
      <c r="H71" s="64"/>
      <c r="I71" s="49"/>
    </row>
    <row r="72" spans="1:13" ht="15.75" customHeight="1">
      <c r="B72" s="58">
        <v>22</v>
      </c>
      <c r="C72" s="68" t="s">
        <v>44</v>
      </c>
      <c r="D72" s="69" t="s">
        <v>44</v>
      </c>
      <c r="E72" s="70" t="s">
        <v>44</v>
      </c>
      <c r="F72" s="319" t="s">
        <v>178</v>
      </c>
      <c r="G72" s="321"/>
      <c r="H72" s="64"/>
      <c r="I72" s="49"/>
      <c r="J72" s="49"/>
      <c r="K72" s="49"/>
      <c r="L72" s="51"/>
    </row>
    <row r="73" spans="1:13" ht="40.5" customHeight="1">
      <c r="A73" s="49" t="s">
        <v>44</v>
      </c>
      <c r="B73" s="58">
        <v>23</v>
      </c>
      <c r="C73" s="68" t="s">
        <v>44</v>
      </c>
      <c r="D73" s="69" t="s">
        <v>44</v>
      </c>
      <c r="E73" s="70" t="s">
        <v>44</v>
      </c>
      <c r="F73" s="319" t="s">
        <v>8</v>
      </c>
      <c r="G73" s="321"/>
      <c r="H73" s="64" t="e">
        <f>#REF!</f>
        <v>#REF!</v>
      </c>
      <c r="I73" s="49"/>
      <c r="J73" s="49"/>
      <c r="K73" s="49"/>
      <c r="L73" s="51"/>
    </row>
    <row r="74" spans="1:13" ht="15" customHeight="1">
      <c r="B74" s="58">
        <v>24</v>
      </c>
      <c r="C74" s="323" t="s">
        <v>179</v>
      </c>
      <c r="D74" s="324"/>
      <c r="E74" s="324"/>
      <c r="F74" s="324"/>
      <c r="G74" s="325"/>
      <c r="H74" s="64"/>
      <c r="I74" s="49"/>
      <c r="J74" s="49"/>
      <c r="K74" s="49"/>
      <c r="L74" s="51"/>
    </row>
    <row r="75" spans="1:13" ht="15" customHeight="1">
      <c r="B75" s="58">
        <v>25</v>
      </c>
      <c r="C75" s="323" t="s">
        <v>180</v>
      </c>
      <c r="D75" s="324"/>
      <c r="E75" s="324"/>
      <c r="F75" s="324"/>
      <c r="G75" s="325"/>
      <c r="H75" s="64" t="e">
        <f>нак.расх.!G29*4%</f>
        <v>#REF!</v>
      </c>
      <c r="I75" s="49"/>
      <c r="J75" s="49"/>
      <c r="K75" s="49"/>
      <c r="L75" s="51"/>
    </row>
    <row r="76" spans="1:13" ht="15" customHeight="1">
      <c r="B76" s="58">
        <v>1</v>
      </c>
      <c r="C76" s="59" t="s">
        <v>168</v>
      </c>
      <c r="D76" s="60" t="s">
        <v>181</v>
      </c>
      <c r="E76" s="61" t="s">
        <v>169</v>
      </c>
      <c r="F76" s="62" t="s">
        <v>44</v>
      </c>
      <c r="G76" s="62" t="s">
        <v>44</v>
      </c>
      <c r="H76" s="63" t="e">
        <f>SUM(H77:H99)</f>
        <v>#REF!</v>
      </c>
      <c r="I76" s="49"/>
      <c r="J76" s="49"/>
      <c r="K76" s="49"/>
      <c r="L76" s="51"/>
      <c r="M76" s="65" t="e">
        <f>#REF!</f>
        <v>#REF!</v>
      </c>
    </row>
    <row r="77" spans="1:13" ht="15.75" customHeight="1">
      <c r="B77" s="58">
        <v>2</v>
      </c>
      <c r="C77" s="374" t="s">
        <v>54</v>
      </c>
      <c r="D77" s="375"/>
      <c r="E77" s="323" t="s">
        <v>5</v>
      </c>
      <c r="F77" s="324"/>
      <c r="G77" s="325"/>
      <c r="H77" s="64"/>
      <c r="M77" s="53" t="e">
        <f>H76-M76</f>
        <v>#REF!</v>
      </c>
    </row>
    <row r="78" spans="1:13" ht="15.75" customHeight="1">
      <c r="B78" s="58">
        <v>3</v>
      </c>
      <c r="C78" s="376"/>
      <c r="D78" s="377"/>
      <c r="E78" s="66" t="s">
        <v>55</v>
      </c>
      <c r="F78" s="336" t="s">
        <v>56</v>
      </c>
      <c r="G78" s="338"/>
      <c r="H78" s="64" t="e">
        <f>#REF!</f>
        <v>#REF!</v>
      </c>
    </row>
    <row r="79" spans="1:13" ht="15.75" customHeight="1">
      <c r="B79" s="58">
        <v>4</v>
      </c>
      <c r="C79" s="376"/>
      <c r="D79" s="377"/>
      <c r="E79" s="67" t="s">
        <v>44</v>
      </c>
      <c r="F79" s="336" t="s">
        <v>57</v>
      </c>
      <c r="G79" s="338"/>
      <c r="H79" s="64"/>
    </row>
    <row r="80" spans="1:13" ht="15.75" customHeight="1">
      <c r="B80" s="58">
        <v>5</v>
      </c>
      <c r="C80" s="376"/>
      <c r="D80" s="377"/>
      <c r="E80" s="67" t="s">
        <v>44</v>
      </c>
      <c r="F80" s="336" t="s">
        <v>58</v>
      </c>
      <c r="G80" s="338"/>
      <c r="H80" s="64"/>
    </row>
    <row r="81" spans="2:8" ht="15.75" customHeight="1">
      <c r="B81" s="58">
        <v>6</v>
      </c>
      <c r="C81" s="68" t="s">
        <v>44</v>
      </c>
      <c r="D81" s="69" t="s">
        <v>44</v>
      </c>
      <c r="E81" s="70" t="s">
        <v>44</v>
      </c>
      <c r="F81" s="319" t="s">
        <v>170</v>
      </c>
      <c r="G81" s="321"/>
      <c r="H81" s="64"/>
    </row>
    <row r="82" spans="2:8" ht="15.75" customHeight="1">
      <c r="B82" s="58">
        <v>7</v>
      </c>
      <c r="C82" s="68" t="s">
        <v>44</v>
      </c>
      <c r="D82" s="69" t="s">
        <v>44</v>
      </c>
      <c r="E82" s="70" t="s">
        <v>44</v>
      </c>
      <c r="F82" s="319" t="s">
        <v>44</v>
      </c>
      <c r="G82" s="321"/>
      <c r="H82" s="64"/>
    </row>
    <row r="83" spans="2:8" ht="15.75" customHeight="1">
      <c r="B83" s="58">
        <v>8</v>
      </c>
      <c r="C83" s="374" t="s">
        <v>171</v>
      </c>
      <c r="D83" s="375"/>
      <c r="E83" s="323" t="s">
        <v>5</v>
      </c>
      <c r="F83" s="324"/>
      <c r="G83" s="325"/>
      <c r="H83" s="64"/>
    </row>
    <row r="84" spans="2:8" ht="15.75" customHeight="1">
      <c r="B84" s="58">
        <v>9</v>
      </c>
      <c r="C84" s="376"/>
      <c r="D84" s="377"/>
      <c r="E84" s="330" t="s">
        <v>55</v>
      </c>
      <c r="F84" s="336" t="s">
        <v>172</v>
      </c>
      <c r="G84" s="338"/>
      <c r="H84" s="64" t="e">
        <f>#REF!</f>
        <v>#REF!</v>
      </c>
    </row>
    <row r="85" spans="2:8" ht="15.75" customHeight="1">
      <c r="B85" s="58">
        <v>10</v>
      </c>
      <c r="C85" s="380"/>
      <c r="D85" s="381"/>
      <c r="E85" s="331"/>
      <c r="F85" s="336" t="s">
        <v>173</v>
      </c>
      <c r="G85" s="338"/>
      <c r="H85" s="64"/>
    </row>
    <row r="86" spans="2:8" ht="15.75" customHeight="1">
      <c r="B86" s="58">
        <v>11</v>
      </c>
      <c r="C86" s="374" t="s">
        <v>174</v>
      </c>
      <c r="D86" s="375"/>
      <c r="E86" s="323" t="s">
        <v>5</v>
      </c>
      <c r="F86" s="324"/>
      <c r="G86" s="325"/>
      <c r="H86" s="64"/>
    </row>
    <row r="87" spans="2:8" ht="15.75" customHeight="1">
      <c r="B87" s="58">
        <v>12</v>
      </c>
      <c r="C87" s="376"/>
      <c r="D87" s="377"/>
      <c r="E87" s="66" t="s">
        <v>55</v>
      </c>
      <c r="F87" s="378" t="s">
        <v>44</v>
      </c>
      <c r="G87" s="379"/>
      <c r="H87" s="64"/>
    </row>
    <row r="88" spans="2:8" ht="15.75" customHeight="1">
      <c r="B88" s="58">
        <v>13</v>
      </c>
      <c r="C88" s="68" t="s">
        <v>44</v>
      </c>
      <c r="D88" s="69" t="s">
        <v>44</v>
      </c>
      <c r="E88" s="70" t="s">
        <v>44</v>
      </c>
      <c r="F88" s="319" t="s">
        <v>44</v>
      </c>
      <c r="G88" s="321"/>
      <c r="H88" s="64"/>
    </row>
    <row r="89" spans="2:8" ht="15.75" customHeight="1">
      <c r="B89" s="58">
        <v>14</v>
      </c>
      <c r="C89" s="374" t="s">
        <v>175</v>
      </c>
      <c r="D89" s="375"/>
      <c r="E89" s="323" t="s">
        <v>5</v>
      </c>
      <c r="F89" s="324"/>
      <c r="G89" s="325"/>
      <c r="H89" s="64"/>
    </row>
    <row r="90" spans="2:8" ht="15.75" customHeight="1">
      <c r="B90" s="58">
        <v>15</v>
      </c>
      <c r="C90" s="376"/>
      <c r="D90" s="377"/>
      <c r="E90" s="66" t="s">
        <v>55</v>
      </c>
      <c r="F90" s="336" t="s">
        <v>91</v>
      </c>
      <c r="G90" s="338"/>
      <c r="H90" s="64" t="e">
        <f>#REF!</f>
        <v>#REF!</v>
      </c>
    </row>
    <row r="91" spans="2:8" ht="15.75" customHeight="1">
      <c r="B91" s="58">
        <v>16</v>
      </c>
      <c r="C91" s="68" t="s">
        <v>44</v>
      </c>
      <c r="D91" s="69" t="s">
        <v>44</v>
      </c>
      <c r="E91" s="70" t="s">
        <v>44</v>
      </c>
      <c r="F91" s="319" t="s">
        <v>176</v>
      </c>
      <c r="G91" s="321"/>
      <c r="H91" s="64" t="e">
        <f>#REF!</f>
        <v>#REF!</v>
      </c>
    </row>
    <row r="92" spans="2:8" ht="15.75" customHeight="1">
      <c r="B92" s="58">
        <v>17</v>
      </c>
      <c r="C92" s="68" t="s">
        <v>44</v>
      </c>
      <c r="D92" s="69" t="s">
        <v>44</v>
      </c>
      <c r="E92" s="70" t="s">
        <v>44</v>
      </c>
      <c r="F92" s="319" t="s">
        <v>44</v>
      </c>
      <c r="G92" s="321"/>
      <c r="H92" s="64"/>
    </row>
    <row r="93" spans="2:8" ht="15.75" customHeight="1">
      <c r="B93" s="58">
        <v>18</v>
      </c>
      <c r="C93" s="374" t="s">
        <v>177</v>
      </c>
      <c r="D93" s="375"/>
      <c r="E93" s="323" t="s">
        <v>5</v>
      </c>
      <c r="F93" s="324"/>
      <c r="G93" s="325"/>
      <c r="H93" s="64"/>
    </row>
    <row r="94" spans="2:8" ht="15.75" customHeight="1">
      <c r="B94" s="58">
        <v>19</v>
      </c>
      <c r="C94" s="376"/>
      <c r="D94" s="377"/>
      <c r="E94" s="66" t="s">
        <v>55</v>
      </c>
      <c r="F94" s="378" t="s">
        <v>44</v>
      </c>
      <c r="G94" s="379"/>
      <c r="H94" s="64"/>
    </row>
    <row r="95" spans="2:8" ht="15.75" customHeight="1">
      <c r="B95" s="58">
        <v>20</v>
      </c>
      <c r="C95" s="68" t="s">
        <v>44</v>
      </c>
      <c r="D95" s="69" t="s">
        <v>44</v>
      </c>
      <c r="E95" s="70" t="s">
        <v>44</v>
      </c>
      <c r="F95" s="319"/>
      <c r="G95" s="321"/>
      <c r="H95" s="64"/>
    </row>
    <row r="96" spans="2:8" ht="32.25" customHeight="1">
      <c r="B96" s="58">
        <v>22</v>
      </c>
      <c r="C96" s="68" t="s">
        <v>44</v>
      </c>
      <c r="D96" s="69" t="s">
        <v>44</v>
      </c>
      <c r="E96" s="70" t="s">
        <v>44</v>
      </c>
      <c r="F96" s="319" t="s">
        <v>8</v>
      </c>
      <c r="G96" s="321"/>
      <c r="H96" s="64" t="e">
        <f>#REF!</f>
        <v>#REF!</v>
      </c>
    </row>
    <row r="97" spans="2:8" ht="15.75" customHeight="1">
      <c r="B97" s="58">
        <v>23</v>
      </c>
      <c r="C97" s="68" t="s">
        <v>44</v>
      </c>
      <c r="D97" s="69" t="s">
        <v>44</v>
      </c>
      <c r="E97" s="70" t="s">
        <v>44</v>
      </c>
      <c r="F97" s="319"/>
      <c r="G97" s="321"/>
      <c r="H97" s="64"/>
    </row>
    <row r="98" spans="2:8" ht="15.75" customHeight="1">
      <c r="B98" s="58">
        <v>24</v>
      </c>
      <c r="C98" s="323" t="s">
        <v>179</v>
      </c>
      <c r="D98" s="324"/>
      <c r="E98" s="324"/>
      <c r="F98" s="324"/>
      <c r="G98" s="325"/>
      <c r="H98" s="64"/>
    </row>
    <row r="99" spans="2:8" ht="15.75" customHeight="1">
      <c r="B99" s="58">
        <v>25</v>
      </c>
      <c r="C99" s="323" t="s">
        <v>180</v>
      </c>
      <c r="D99" s="324"/>
      <c r="E99" s="324"/>
      <c r="F99" s="324"/>
      <c r="G99" s="325"/>
      <c r="H99" s="64" t="e">
        <f>нак.расх.!G29*16%</f>
        <v>#REF!</v>
      </c>
    </row>
  </sheetData>
  <mergeCells count="94">
    <mergeCell ref="F33:G33"/>
    <mergeCell ref="B1:H1"/>
    <mergeCell ref="B3:H3"/>
    <mergeCell ref="B4:H4"/>
    <mergeCell ref="B19:B21"/>
    <mergeCell ref="C19:G21"/>
    <mergeCell ref="C25:D25"/>
    <mergeCell ref="F25:G25"/>
    <mergeCell ref="C29:D32"/>
    <mergeCell ref="E29:G29"/>
    <mergeCell ref="F30:G30"/>
    <mergeCell ref="F31:G31"/>
    <mergeCell ref="F32:G32"/>
    <mergeCell ref="F34:G34"/>
    <mergeCell ref="C35:D37"/>
    <mergeCell ref="E35:G35"/>
    <mergeCell ref="E36:E37"/>
    <mergeCell ref="F36:G36"/>
    <mergeCell ref="F37:G37"/>
    <mergeCell ref="F47:G47"/>
    <mergeCell ref="C38:D39"/>
    <mergeCell ref="E38:G38"/>
    <mergeCell ref="F39:G39"/>
    <mergeCell ref="F40:G40"/>
    <mergeCell ref="C41:D42"/>
    <mergeCell ref="E41:G41"/>
    <mergeCell ref="F42:G42"/>
    <mergeCell ref="F43:G43"/>
    <mergeCell ref="F44:G44"/>
    <mergeCell ref="C45:D46"/>
    <mergeCell ref="E45:G45"/>
    <mergeCell ref="F46:G46"/>
    <mergeCell ref="F48:G48"/>
    <mergeCell ref="F49:G49"/>
    <mergeCell ref="C50:G50"/>
    <mergeCell ref="C51:G51"/>
    <mergeCell ref="C53:D56"/>
    <mergeCell ref="E53:G53"/>
    <mergeCell ref="F54:G54"/>
    <mergeCell ref="F55:G55"/>
    <mergeCell ref="F56:G56"/>
    <mergeCell ref="F57:G57"/>
    <mergeCell ref="F58:G58"/>
    <mergeCell ref="C59:D61"/>
    <mergeCell ref="E59:G59"/>
    <mergeCell ref="E60:E61"/>
    <mergeCell ref="F60:G60"/>
    <mergeCell ref="F61:G61"/>
    <mergeCell ref="F71:G71"/>
    <mergeCell ref="C62:D63"/>
    <mergeCell ref="E62:G62"/>
    <mergeCell ref="F63:G63"/>
    <mergeCell ref="F64:G64"/>
    <mergeCell ref="C65:D66"/>
    <mergeCell ref="E65:G65"/>
    <mergeCell ref="F66:G66"/>
    <mergeCell ref="F67:G67"/>
    <mergeCell ref="F68:G68"/>
    <mergeCell ref="C69:D70"/>
    <mergeCell ref="E69:G69"/>
    <mergeCell ref="F70:G70"/>
    <mergeCell ref="F72:G72"/>
    <mergeCell ref="F73:G73"/>
    <mergeCell ref="C74:G74"/>
    <mergeCell ref="C75:G75"/>
    <mergeCell ref="C77:D80"/>
    <mergeCell ref="E77:G77"/>
    <mergeCell ref="F78:G78"/>
    <mergeCell ref="F79:G79"/>
    <mergeCell ref="F80:G80"/>
    <mergeCell ref="F81:G81"/>
    <mergeCell ref="F82:G82"/>
    <mergeCell ref="C83:D85"/>
    <mergeCell ref="E83:G83"/>
    <mergeCell ref="E84:E85"/>
    <mergeCell ref="F84:G84"/>
    <mergeCell ref="F85:G85"/>
    <mergeCell ref="C86:D87"/>
    <mergeCell ref="E86:G86"/>
    <mergeCell ref="F87:G87"/>
    <mergeCell ref="F88:G88"/>
    <mergeCell ref="C89:D90"/>
    <mergeCell ref="E89:G89"/>
    <mergeCell ref="F90:G90"/>
    <mergeCell ref="F96:G96"/>
    <mergeCell ref="F97:G97"/>
    <mergeCell ref="C98:G98"/>
    <mergeCell ref="C99:G99"/>
    <mergeCell ref="F91:G91"/>
    <mergeCell ref="F92:G92"/>
    <mergeCell ref="C93:D94"/>
    <mergeCell ref="E93:G93"/>
    <mergeCell ref="F94:G94"/>
    <mergeCell ref="F95:G95"/>
  </mergeCells>
  <pageMargins left="0.7" right="0.7" top="0.75" bottom="0.75" header="0.3" footer="0.3"/>
  <pageSetup paperSize="9" scale="7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"/>
  <sheetViews>
    <sheetView zoomScaleNormal="100" workbookViewId="0">
      <pane xSplit="3" ySplit="6" topLeftCell="D63" activePane="bottomRight" state="frozen"/>
      <selection pane="topRight" activeCell="D1" sqref="D1"/>
      <selection pane="bottomLeft" activeCell="A7" sqref="A7"/>
      <selection pane="bottomRight" activeCell="G77" sqref="G77"/>
    </sheetView>
  </sheetViews>
  <sheetFormatPr defaultColWidth="9.140625" defaultRowHeight="15.75"/>
  <cols>
    <col min="1" max="1" width="4.140625" style="50" hidden="1" customWidth="1"/>
    <col min="2" max="2" width="5.42578125" style="50" customWidth="1"/>
    <col min="3" max="3" width="26.42578125" style="50" customWidth="1"/>
    <col min="4" max="4" width="11.42578125" style="50" customWidth="1"/>
    <col min="5" max="5" width="22.42578125" style="50" customWidth="1"/>
    <col min="6" max="6" width="23.42578125" style="50" customWidth="1"/>
    <col min="7" max="7" width="16.42578125" style="50" customWidth="1"/>
    <col min="8" max="10" width="3.42578125" style="50" hidden="1" customWidth="1"/>
    <col min="11" max="11" width="3.140625" style="50" hidden="1" customWidth="1"/>
    <col min="12" max="12" width="14.85546875" style="50" customWidth="1"/>
    <col min="13" max="16384" width="9.140625" style="50"/>
  </cols>
  <sheetData>
    <row r="1" spans="1:11" ht="14.25" customHeight="1">
      <c r="A1" s="49" t="s">
        <v>44</v>
      </c>
      <c r="B1" s="357" t="s">
        <v>45</v>
      </c>
      <c r="C1" s="357"/>
      <c r="D1" s="357"/>
      <c r="E1" s="357"/>
      <c r="F1" s="357"/>
      <c r="G1" s="357"/>
      <c r="K1" s="51"/>
    </row>
    <row r="2" spans="1:11" ht="15.75" customHeight="1">
      <c r="A2" s="49" t="s">
        <v>44</v>
      </c>
      <c r="B2" s="52" t="s">
        <v>44</v>
      </c>
      <c r="C2" s="52" t="s">
        <v>44</v>
      </c>
      <c r="D2" s="52" t="s">
        <v>44</v>
      </c>
      <c r="E2" s="52" t="s">
        <v>44</v>
      </c>
      <c r="F2" s="52" t="s">
        <v>44</v>
      </c>
      <c r="G2" s="49" t="s">
        <v>44</v>
      </c>
      <c r="K2" s="51"/>
    </row>
    <row r="3" spans="1:11" ht="14.25" customHeight="1">
      <c r="A3" s="49" t="s">
        <v>44</v>
      </c>
      <c r="B3" s="357" t="s">
        <v>182</v>
      </c>
      <c r="C3" s="357"/>
      <c r="D3" s="357"/>
      <c r="E3" s="357"/>
      <c r="F3" s="357"/>
      <c r="G3" s="357"/>
      <c r="K3" s="51"/>
    </row>
    <row r="4" spans="1:11" ht="14.25" customHeight="1">
      <c r="A4" s="49" t="s">
        <v>44</v>
      </c>
      <c r="B4" s="359" t="s">
        <v>44</v>
      </c>
      <c r="C4" s="359"/>
      <c r="D4" s="359"/>
      <c r="E4" s="359"/>
      <c r="F4" s="359"/>
      <c r="G4" s="359"/>
      <c r="K4" s="51"/>
    </row>
    <row r="5" spans="1:11" ht="24.75" customHeight="1">
      <c r="A5" s="49" t="s">
        <v>44</v>
      </c>
      <c r="B5" s="360" t="s">
        <v>47</v>
      </c>
      <c r="C5" s="360"/>
      <c r="D5" s="360"/>
      <c r="E5" s="360"/>
      <c r="F5" s="360"/>
      <c r="G5" s="360"/>
      <c r="K5" s="51"/>
    </row>
    <row r="6" spans="1:11" ht="12" customHeight="1">
      <c r="A6" s="49" t="s">
        <v>44</v>
      </c>
      <c r="B6" s="360" t="s">
        <v>48</v>
      </c>
      <c r="C6" s="360"/>
      <c r="D6" s="360"/>
      <c r="E6" s="360"/>
      <c r="F6" s="360"/>
      <c r="G6" s="360"/>
      <c r="K6" s="51"/>
    </row>
    <row r="7" spans="1:11" ht="12" customHeight="1">
      <c r="A7" s="49" t="s">
        <v>44</v>
      </c>
      <c r="B7" s="361" t="s">
        <v>183</v>
      </c>
      <c r="C7" s="361"/>
      <c r="D7" s="361"/>
      <c r="E7" s="361"/>
      <c r="F7" s="361"/>
      <c r="G7" s="71" t="s">
        <v>50</v>
      </c>
      <c r="K7" s="51"/>
    </row>
    <row r="8" spans="1:11" ht="15.75" hidden="1" customHeight="1"/>
    <row r="9" spans="1:11" ht="15.75" hidden="1" customHeight="1"/>
    <row r="10" spans="1:11" ht="15.75" hidden="1" customHeight="1"/>
    <row r="11" spans="1:11" ht="15.75" hidden="1" customHeight="1"/>
    <row r="12" spans="1:11" ht="15.75" hidden="1" customHeight="1"/>
    <row r="13" spans="1:11" ht="15.75" hidden="1" customHeight="1"/>
    <row r="14" spans="1:11" ht="15.75" hidden="1" customHeight="1"/>
    <row r="15" spans="1:11" ht="15.75" hidden="1" customHeight="1"/>
    <row r="16" spans="1:11" ht="15.75" hidden="1" customHeight="1"/>
    <row r="17" spans="1:12" ht="15.75" hidden="1" customHeight="1"/>
    <row r="18" spans="1:12" ht="15.75" hidden="1" customHeight="1"/>
    <row r="19" spans="1:12" ht="15.75" hidden="1" customHeight="1"/>
    <row r="20" spans="1:12" ht="15.75" hidden="1" customHeight="1"/>
    <row r="21" spans="1:12" ht="15.75" hidden="1" customHeight="1"/>
    <row r="22" spans="1:12" ht="12" customHeight="1">
      <c r="A22" s="56" t="s">
        <v>44</v>
      </c>
      <c r="B22" s="362" t="s">
        <v>0</v>
      </c>
      <c r="C22" s="365" t="s">
        <v>51</v>
      </c>
      <c r="D22" s="366"/>
      <c r="E22" s="366"/>
      <c r="F22" s="367"/>
      <c r="G22" s="55"/>
    </row>
    <row r="23" spans="1:12" ht="12" customHeight="1">
      <c r="A23" s="56" t="s">
        <v>44</v>
      </c>
      <c r="B23" s="363"/>
      <c r="C23" s="368"/>
      <c r="D23" s="369"/>
      <c r="E23" s="369"/>
      <c r="F23" s="370"/>
      <c r="G23" s="55"/>
    </row>
    <row r="24" spans="1:12" ht="24" customHeight="1">
      <c r="A24" s="56" t="s">
        <v>44</v>
      </c>
      <c r="B24" s="364"/>
      <c r="C24" s="371"/>
      <c r="D24" s="372"/>
      <c r="E24" s="372"/>
      <c r="F24" s="373"/>
      <c r="G24" s="57" t="s">
        <v>52</v>
      </c>
    </row>
    <row r="25" spans="1:12" ht="15.75" hidden="1" customHeight="1"/>
    <row r="26" spans="1:12" ht="15.75" hidden="1" customHeight="1"/>
    <row r="27" spans="1:12" ht="15.75" hidden="1" customHeight="1"/>
    <row r="28" spans="1:12" ht="12" customHeight="1">
      <c r="A28" s="56" t="s">
        <v>44</v>
      </c>
      <c r="B28" s="57">
        <v>1</v>
      </c>
      <c r="C28" s="57">
        <v>2</v>
      </c>
      <c r="D28" s="57">
        <v>3</v>
      </c>
      <c r="E28" s="383">
        <v>4</v>
      </c>
      <c r="F28" s="384"/>
      <c r="G28" s="57">
        <v>8</v>
      </c>
    </row>
    <row r="29" spans="1:12" ht="22.5" customHeight="1">
      <c r="A29" s="56" t="s">
        <v>44</v>
      </c>
      <c r="B29" s="58">
        <v>1</v>
      </c>
      <c r="C29" s="323" t="s">
        <v>184</v>
      </c>
      <c r="D29" s="324"/>
      <c r="E29" s="324"/>
      <c r="F29" s="324"/>
      <c r="G29" s="72" t="e">
        <f>SUM(G30:G77)</f>
        <v>#REF!</v>
      </c>
      <c r="L29" s="53" t="e">
        <f>#REF!</f>
        <v>#REF!</v>
      </c>
    </row>
    <row r="30" spans="1:12" ht="23.25" customHeight="1">
      <c r="A30" s="56" t="s">
        <v>44</v>
      </c>
      <c r="B30" s="58">
        <v>2</v>
      </c>
      <c r="C30" s="73" t="s">
        <v>54</v>
      </c>
      <c r="D30" s="323" t="s">
        <v>5</v>
      </c>
      <c r="E30" s="324"/>
      <c r="F30" s="324"/>
      <c r="G30" s="74"/>
      <c r="L30" s="53" t="e">
        <f>G29-L29</f>
        <v>#REF!</v>
      </c>
    </row>
    <row r="31" spans="1:12" ht="12" customHeight="1">
      <c r="A31" s="56" t="s">
        <v>44</v>
      </c>
      <c r="B31" s="58">
        <v>3</v>
      </c>
      <c r="C31" s="75" t="s">
        <v>44</v>
      </c>
      <c r="D31" s="66" t="s">
        <v>55</v>
      </c>
      <c r="E31" s="336" t="s">
        <v>56</v>
      </c>
      <c r="F31" s="337"/>
      <c r="G31" s="74" t="e">
        <f>#REF!</f>
        <v>#REF!</v>
      </c>
      <c r="L31" s="53"/>
    </row>
    <row r="32" spans="1:12" ht="12" customHeight="1">
      <c r="A32" s="56" t="s">
        <v>44</v>
      </c>
      <c r="B32" s="58">
        <v>4</v>
      </c>
      <c r="C32" s="75" t="s">
        <v>44</v>
      </c>
      <c r="D32" s="67" t="s">
        <v>44</v>
      </c>
      <c r="E32" s="336" t="s">
        <v>57</v>
      </c>
      <c r="F32" s="337"/>
      <c r="G32" s="74" t="e">
        <f>#REF!</f>
        <v>#REF!</v>
      </c>
      <c r="L32" s="76"/>
    </row>
    <row r="33" spans="1:13" ht="12" customHeight="1">
      <c r="A33" s="56" t="s">
        <v>44</v>
      </c>
      <c r="B33" s="58">
        <v>5</v>
      </c>
      <c r="C33" s="75" t="s">
        <v>44</v>
      </c>
      <c r="D33" s="67" t="s">
        <v>44</v>
      </c>
      <c r="E33" s="336" t="s">
        <v>58</v>
      </c>
      <c r="F33" s="337"/>
      <c r="G33" s="74"/>
    </row>
    <row r="34" spans="1:13" ht="12" customHeight="1">
      <c r="A34" s="56" t="s">
        <v>44</v>
      </c>
      <c r="B34" s="58">
        <v>6</v>
      </c>
      <c r="C34" s="77" t="s">
        <v>44</v>
      </c>
      <c r="D34" s="70" t="s">
        <v>44</v>
      </c>
      <c r="E34" s="78" t="s">
        <v>185</v>
      </c>
      <c r="F34" s="79"/>
      <c r="G34" s="74" t="e">
        <f>#REF!+#REF!</f>
        <v>#REF!</v>
      </c>
      <c r="H34" s="49"/>
    </row>
    <row r="35" spans="1:13">
      <c r="A35" s="56" t="s">
        <v>44</v>
      </c>
      <c r="B35" s="58">
        <v>21</v>
      </c>
      <c r="C35" s="77" t="s">
        <v>44</v>
      </c>
      <c r="D35" s="70" t="s">
        <v>44</v>
      </c>
      <c r="E35" s="78"/>
      <c r="F35" s="80"/>
      <c r="G35" s="74"/>
      <c r="H35" s="49"/>
    </row>
    <row r="36" spans="1:13" ht="12" customHeight="1">
      <c r="A36" s="56" t="s">
        <v>44</v>
      </c>
      <c r="B36" s="58">
        <v>22</v>
      </c>
      <c r="C36" s="77" t="s">
        <v>44</v>
      </c>
      <c r="D36" s="70" t="s">
        <v>44</v>
      </c>
      <c r="E36" s="319" t="s">
        <v>44</v>
      </c>
      <c r="F36" s="320"/>
      <c r="G36" s="74"/>
      <c r="H36" s="49"/>
    </row>
    <row r="37" spans="1:13" ht="12" customHeight="1">
      <c r="A37" s="56" t="s">
        <v>44</v>
      </c>
      <c r="B37" s="58">
        <v>23</v>
      </c>
      <c r="C37" s="73" t="s">
        <v>171</v>
      </c>
      <c r="D37" s="323" t="s">
        <v>5</v>
      </c>
      <c r="E37" s="324"/>
      <c r="F37" s="324"/>
      <c r="G37" s="74"/>
    </row>
    <row r="38" spans="1:13" ht="12" customHeight="1">
      <c r="A38" s="56" t="s">
        <v>44</v>
      </c>
      <c r="B38" s="58">
        <v>24</v>
      </c>
      <c r="C38" s="75" t="s">
        <v>44</v>
      </c>
      <c r="D38" s="66" t="s">
        <v>55</v>
      </c>
      <c r="E38" s="336" t="s">
        <v>172</v>
      </c>
      <c r="F38" s="337"/>
      <c r="G38" s="74" t="e">
        <f>#REF!+#REF!</f>
        <v>#REF!</v>
      </c>
      <c r="L38" s="53"/>
    </row>
    <row r="39" spans="1:13" ht="12" customHeight="1">
      <c r="A39" s="56" t="s">
        <v>44</v>
      </c>
      <c r="B39" s="58">
        <v>25</v>
      </c>
      <c r="C39" s="77" t="s">
        <v>44</v>
      </c>
      <c r="D39" s="70" t="s">
        <v>44</v>
      </c>
      <c r="E39" s="336" t="s">
        <v>173</v>
      </c>
      <c r="F39" s="337"/>
      <c r="G39" s="74"/>
    </row>
    <row r="40" spans="1:13" ht="12" customHeight="1">
      <c r="A40" s="56" t="s">
        <v>44</v>
      </c>
      <c r="B40" s="58">
        <v>26</v>
      </c>
      <c r="C40" s="332" t="s">
        <v>174</v>
      </c>
      <c r="D40" s="323" t="s">
        <v>5</v>
      </c>
      <c r="E40" s="324"/>
      <c r="F40" s="324"/>
      <c r="G40" s="74"/>
    </row>
    <row r="41" spans="1:13" ht="12" customHeight="1">
      <c r="A41" s="56" t="s">
        <v>44</v>
      </c>
      <c r="B41" s="58">
        <v>27</v>
      </c>
      <c r="C41" s="333"/>
      <c r="D41" s="66" t="s">
        <v>55</v>
      </c>
      <c r="E41" s="378" t="s">
        <v>44</v>
      </c>
      <c r="F41" s="386"/>
      <c r="G41" s="74"/>
    </row>
    <row r="42" spans="1:13" ht="12" customHeight="1">
      <c r="A42" s="56" t="s">
        <v>44</v>
      </c>
      <c r="B42" s="58">
        <v>28</v>
      </c>
      <c r="C42" s="77" t="s">
        <v>44</v>
      </c>
      <c r="D42" s="70" t="s">
        <v>44</v>
      </c>
      <c r="E42" s="319" t="s">
        <v>44</v>
      </c>
      <c r="F42" s="320"/>
      <c r="G42" s="74"/>
      <c r="H42" s="49"/>
    </row>
    <row r="43" spans="1:13" ht="12" customHeight="1">
      <c r="A43" s="56" t="s">
        <v>44</v>
      </c>
      <c r="B43" s="58">
        <v>29</v>
      </c>
      <c r="C43" s="332" t="s">
        <v>186</v>
      </c>
      <c r="D43" s="323" t="s">
        <v>5</v>
      </c>
      <c r="E43" s="324"/>
      <c r="F43" s="324"/>
      <c r="G43" s="74"/>
    </row>
    <row r="44" spans="1:13" ht="12" customHeight="1">
      <c r="A44" s="56" t="s">
        <v>44</v>
      </c>
      <c r="B44" s="58">
        <v>30</v>
      </c>
      <c r="C44" s="333"/>
      <c r="D44" s="66" t="s">
        <v>55</v>
      </c>
      <c r="E44" s="319" t="s">
        <v>128</v>
      </c>
      <c r="F44" s="320"/>
      <c r="G44" s="74"/>
    </row>
    <row r="45" spans="1:13" ht="18.75" customHeight="1">
      <c r="A45" s="56" t="s">
        <v>44</v>
      </c>
      <c r="B45" s="58">
        <v>31</v>
      </c>
      <c r="C45" s="349"/>
      <c r="D45" s="70" t="s">
        <v>44</v>
      </c>
      <c r="E45" s="389" t="s">
        <v>129</v>
      </c>
      <c r="F45" s="390"/>
      <c r="G45" s="74" t="e">
        <f>#REF!</f>
        <v>#REF!</v>
      </c>
      <c r="L45" s="53"/>
      <c r="M45" s="53"/>
    </row>
    <row r="46" spans="1:13" ht="21" customHeight="1">
      <c r="A46" s="56" t="s">
        <v>44</v>
      </c>
      <c r="B46" s="58">
        <v>32</v>
      </c>
      <c r="C46" s="323" t="s">
        <v>20</v>
      </c>
      <c r="D46" s="324"/>
      <c r="E46" s="324"/>
      <c r="F46" s="324"/>
      <c r="G46" s="74" t="e">
        <f>#REF!</f>
        <v>#REF!</v>
      </c>
      <c r="L46" s="53"/>
    </row>
    <row r="47" spans="1:13" ht="12" customHeight="1">
      <c r="A47" s="56" t="s">
        <v>44</v>
      </c>
      <c r="B47" s="58">
        <v>33</v>
      </c>
      <c r="C47" s="73" t="s">
        <v>62</v>
      </c>
      <c r="D47" s="323" t="s">
        <v>5</v>
      </c>
      <c r="E47" s="324"/>
      <c r="F47" s="324"/>
      <c r="G47" s="74"/>
      <c r="L47" s="53"/>
    </row>
    <row r="48" spans="1:13" ht="12" customHeight="1">
      <c r="A48" s="56" t="s">
        <v>44</v>
      </c>
      <c r="B48" s="58">
        <v>34</v>
      </c>
      <c r="C48" s="75" t="s">
        <v>44</v>
      </c>
      <c r="D48" s="66" t="s">
        <v>55</v>
      </c>
      <c r="E48" s="336" t="s">
        <v>63</v>
      </c>
      <c r="F48" s="337"/>
      <c r="G48" s="74" t="e">
        <f>#REF!</f>
        <v>#REF!</v>
      </c>
    </row>
    <row r="49" spans="1:8" ht="12" customHeight="1">
      <c r="A49" s="56" t="s">
        <v>44</v>
      </c>
      <c r="B49" s="58">
        <v>35</v>
      </c>
      <c r="C49" s="77" t="s">
        <v>44</v>
      </c>
      <c r="D49" s="70" t="s">
        <v>44</v>
      </c>
      <c r="E49" s="336" t="s">
        <v>64</v>
      </c>
      <c r="F49" s="337"/>
      <c r="G49" s="74" t="e">
        <f>#REF!</f>
        <v>#REF!</v>
      </c>
    </row>
    <row r="50" spans="1:8" ht="12" customHeight="1">
      <c r="A50" s="56" t="s">
        <v>44</v>
      </c>
      <c r="B50" s="58">
        <v>36</v>
      </c>
      <c r="C50" s="332" t="s">
        <v>187</v>
      </c>
      <c r="D50" s="323" t="s">
        <v>5</v>
      </c>
      <c r="E50" s="324"/>
      <c r="F50" s="324"/>
      <c r="G50" s="74"/>
    </row>
    <row r="51" spans="1:8" ht="12" customHeight="1">
      <c r="A51" s="56" t="s">
        <v>44</v>
      </c>
      <c r="B51" s="58">
        <v>37</v>
      </c>
      <c r="C51" s="333"/>
      <c r="D51" s="66" t="s">
        <v>55</v>
      </c>
      <c r="E51" s="378" t="s">
        <v>44</v>
      </c>
      <c r="F51" s="386"/>
      <c r="G51" s="74"/>
    </row>
    <row r="52" spans="1:8" ht="24.75" customHeight="1">
      <c r="A52" s="56" t="s">
        <v>44</v>
      </c>
      <c r="B52" s="58">
        <v>38</v>
      </c>
      <c r="C52" s="77" t="s">
        <v>44</v>
      </c>
      <c r="D52" s="70" t="s">
        <v>44</v>
      </c>
      <c r="E52" s="319" t="s">
        <v>188</v>
      </c>
      <c r="F52" s="320"/>
      <c r="G52" s="74" t="e">
        <f>#REF!</f>
        <v>#REF!</v>
      </c>
      <c r="H52" s="49"/>
    </row>
    <row r="53" spans="1:8" ht="12" customHeight="1">
      <c r="A53" s="56" t="s">
        <v>44</v>
      </c>
      <c r="B53" s="58">
        <v>43</v>
      </c>
      <c r="C53" s="323" t="s">
        <v>16</v>
      </c>
      <c r="D53" s="324"/>
      <c r="E53" s="324"/>
      <c r="F53" s="324"/>
      <c r="G53" s="74" t="e">
        <f>#REF!</f>
        <v>#REF!</v>
      </c>
    </row>
    <row r="54" spans="1:8" ht="12" customHeight="1">
      <c r="A54" s="56" t="s">
        <v>44</v>
      </c>
      <c r="B54" s="58">
        <v>44</v>
      </c>
      <c r="C54" s="323" t="s">
        <v>14</v>
      </c>
      <c r="D54" s="324"/>
      <c r="E54" s="324"/>
      <c r="F54" s="324"/>
      <c r="G54" s="74"/>
    </row>
    <row r="55" spans="1:8" ht="12" customHeight="1">
      <c r="A55" s="56" t="s">
        <v>44</v>
      </c>
      <c r="B55" s="58">
        <v>45</v>
      </c>
      <c r="C55" s="73" t="s">
        <v>137</v>
      </c>
      <c r="D55" s="323" t="s">
        <v>5</v>
      </c>
      <c r="E55" s="324"/>
      <c r="F55" s="324"/>
      <c r="G55" s="74"/>
    </row>
    <row r="56" spans="1:8" ht="12" customHeight="1">
      <c r="A56" s="56" t="s">
        <v>44</v>
      </c>
      <c r="B56" s="58">
        <v>46</v>
      </c>
      <c r="C56" s="75" t="s">
        <v>44</v>
      </c>
      <c r="D56" s="66" t="s">
        <v>55</v>
      </c>
      <c r="E56" s="378" t="s">
        <v>44</v>
      </c>
      <c r="F56" s="386"/>
      <c r="G56" s="74"/>
    </row>
    <row r="57" spans="1:8" ht="24.75" customHeight="1">
      <c r="A57" s="56" t="s">
        <v>44</v>
      </c>
      <c r="B57" s="58">
        <v>49</v>
      </c>
      <c r="C57" s="77" t="s">
        <v>44</v>
      </c>
      <c r="D57" s="70" t="s">
        <v>44</v>
      </c>
      <c r="E57" s="319" t="s">
        <v>4</v>
      </c>
      <c r="F57" s="320"/>
      <c r="G57" s="74" t="e">
        <f>#REF!</f>
        <v>#REF!</v>
      </c>
      <c r="H57" s="49"/>
    </row>
    <row r="58" spans="1:8" ht="12" customHeight="1">
      <c r="A58" s="56" t="s">
        <v>44</v>
      </c>
      <c r="B58" s="58">
        <v>50</v>
      </c>
      <c r="C58" s="77" t="s">
        <v>44</v>
      </c>
      <c r="D58" s="70" t="s">
        <v>44</v>
      </c>
      <c r="E58" s="319" t="s">
        <v>44</v>
      </c>
      <c r="F58" s="320"/>
      <c r="G58" s="74"/>
      <c r="H58" s="49"/>
    </row>
    <row r="59" spans="1:8" ht="12" customHeight="1">
      <c r="A59" s="56" t="s">
        <v>44</v>
      </c>
      <c r="B59" s="58">
        <v>51</v>
      </c>
      <c r="C59" s="323" t="s">
        <v>189</v>
      </c>
      <c r="D59" s="324"/>
      <c r="E59" s="324"/>
      <c r="F59" s="324"/>
      <c r="G59" s="74"/>
    </row>
    <row r="60" spans="1:8" ht="12" customHeight="1">
      <c r="A60" s="56" t="s">
        <v>44</v>
      </c>
      <c r="B60" s="58">
        <v>52</v>
      </c>
      <c r="C60" s="323" t="s">
        <v>17</v>
      </c>
      <c r="D60" s="324"/>
      <c r="E60" s="324"/>
      <c r="F60" s="324"/>
      <c r="G60" s="74" t="e">
        <f>#REF!</f>
        <v>#REF!</v>
      </c>
    </row>
    <row r="61" spans="1:8" ht="12" customHeight="1">
      <c r="A61" s="56" t="s">
        <v>44</v>
      </c>
      <c r="B61" s="58">
        <v>53</v>
      </c>
      <c r="C61" s="323" t="s">
        <v>190</v>
      </c>
      <c r="D61" s="324"/>
      <c r="E61" s="324"/>
      <c r="F61" s="324"/>
      <c r="G61" s="74"/>
    </row>
    <row r="62" spans="1:8" ht="12" customHeight="1">
      <c r="A62" s="56" t="s">
        <v>44</v>
      </c>
      <c r="B62" s="58">
        <v>54</v>
      </c>
      <c r="C62" s="323" t="s">
        <v>191</v>
      </c>
      <c r="D62" s="324"/>
      <c r="E62" s="324"/>
      <c r="F62" s="324"/>
      <c r="G62" s="74" t="e">
        <f>#REF!</f>
        <v>#REF!</v>
      </c>
    </row>
    <row r="63" spans="1:8" ht="12" customHeight="1">
      <c r="A63" s="56" t="s">
        <v>44</v>
      </c>
      <c r="B63" s="58">
        <v>55</v>
      </c>
      <c r="C63" s="323" t="s">
        <v>192</v>
      </c>
      <c r="D63" s="324"/>
      <c r="E63" s="324"/>
      <c r="F63" s="324"/>
      <c r="G63" s="74" t="e">
        <f>#REF!</f>
        <v>#REF!</v>
      </c>
    </row>
    <row r="64" spans="1:8" ht="12" customHeight="1">
      <c r="A64" s="56" t="s">
        <v>44</v>
      </c>
      <c r="B64" s="58">
        <v>56</v>
      </c>
      <c r="C64" s="332" t="s">
        <v>175</v>
      </c>
      <c r="D64" s="323" t="s">
        <v>5</v>
      </c>
      <c r="E64" s="324"/>
      <c r="F64" s="324"/>
      <c r="G64" s="74"/>
    </row>
    <row r="65" spans="1:11" ht="12" customHeight="1">
      <c r="A65" s="56" t="s">
        <v>44</v>
      </c>
      <c r="B65" s="58">
        <v>57</v>
      </c>
      <c r="C65" s="333"/>
      <c r="D65" s="66" t="s">
        <v>55</v>
      </c>
      <c r="E65" s="336" t="s">
        <v>91</v>
      </c>
      <c r="F65" s="337"/>
      <c r="G65" s="74" t="e">
        <f>#REF!</f>
        <v>#REF!</v>
      </c>
    </row>
    <row r="66" spans="1:11" ht="12" customHeight="1">
      <c r="A66" s="56" t="s">
        <v>44</v>
      </c>
      <c r="B66" s="58">
        <v>58</v>
      </c>
      <c r="C66" s="77" t="s">
        <v>44</v>
      </c>
      <c r="D66" s="70" t="s">
        <v>44</v>
      </c>
      <c r="E66" s="319" t="s">
        <v>193</v>
      </c>
      <c r="F66" s="320"/>
      <c r="G66" s="74"/>
      <c r="H66" s="49"/>
    </row>
    <row r="67" spans="1:11" ht="12" customHeight="1">
      <c r="A67" s="56" t="s">
        <v>44</v>
      </c>
      <c r="B67" s="58">
        <v>59</v>
      </c>
      <c r="C67" s="332" t="s">
        <v>102</v>
      </c>
      <c r="D67" s="323" t="s">
        <v>5</v>
      </c>
      <c r="E67" s="324"/>
      <c r="F67" s="324"/>
      <c r="G67" s="74"/>
    </row>
    <row r="68" spans="1:11" ht="12" customHeight="1">
      <c r="A68" s="56" t="s">
        <v>44</v>
      </c>
      <c r="B68" s="58">
        <v>60</v>
      </c>
      <c r="C68" s="333"/>
      <c r="D68" s="66" t="s">
        <v>55</v>
      </c>
      <c r="E68" s="378" t="s">
        <v>44</v>
      </c>
      <c r="F68" s="386"/>
      <c r="G68" s="74"/>
    </row>
    <row r="69" spans="1:11" ht="12" customHeight="1">
      <c r="A69" s="56" t="s">
        <v>44</v>
      </c>
      <c r="B69" s="58">
        <v>61</v>
      </c>
      <c r="C69" s="77" t="s">
        <v>44</v>
      </c>
      <c r="D69" s="70" t="s">
        <v>44</v>
      </c>
      <c r="E69" s="319" t="s">
        <v>194</v>
      </c>
      <c r="F69" s="320"/>
      <c r="G69" s="74" t="e">
        <f>#REF!</f>
        <v>#REF!</v>
      </c>
      <c r="H69" s="49"/>
    </row>
    <row r="70" spans="1:11" ht="22.5" customHeight="1">
      <c r="A70" s="56" t="s">
        <v>44</v>
      </c>
      <c r="B70" s="58">
        <v>62</v>
      </c>
      <c r="C70" s="77" t="s">
        <v>44</v>
      </c>
      <c r="D70" s="70" t="s">
        <v>44</v>
      </c>
      <c r="E70" s="319" t="s">
        <v>195</v>
      </c>
      <c r="F70" s="320"/>
      <c r="G70" s="74" t="e">
        <f>#REF!</f>
        <v>#REF!</v>
      </c>
      <c r="H70" s="49"/>
    </row>
    <row r="71" spans="1:11" ht="22.5" customHeight="1">
      <c r="A71" s="56" t="s">
        <v>44</v>
      </c>
      <c r="B71" s="58">
        <v>63</v>
      </c>
      <c r="C71" s="77" t="s">
        <v>44</v>
      </c>
      <c r="D71" s="70" t="s">
        <v>44</v>
      </c>
      <c r="E71" s="387" t="s">
        <v>196</v>
      </c>
      <c r="F71" s="388"/>
      <c r="G71" s="74" t="e">
        <f>#REF!</f>
        <v>#REF!</v>
      </c>
      <c r="H71" s="49"/>
    </row>
    <row r="72" spans="1:11" ht="22.5" customHeight="1">
      <c r="A72" s="56"/>
      <c r="B72" s="58"/>
      <c r="C72" s="77"/>
      <c r="D72" s="70"/>
      <c r="E72" s="387" t="s">
        <v>13</v>
      </c>
      <c r="F72" s="388"/>
      <c r="G72" s="74" t="e">
        <f>#REF!</f>
        <v>#REF!</v>
      </c>
      <c r="H72" s="49"/>
    </row>
    <row r="73" spans="1:11" ht="20.25" customHeight="1">
      <c r="A73" s="56"/>
      <c r="B73" s="58"/>
      <c r="C73" s="77"/>
      <c r="D73" s="70"/>
      <c r="E73" s="387" t="s">
        <v>8</v>
      </c>
      <c r="F73" s="388"/>
      <c r="G73" s="74" t="e">
        <f>#REF!</f>
        <v>#REF!</v>
      </c>
      <c r="H73" s="49"/>
    </row>
    <row r="74" spans="1:11" ht="12" customHeight="1">
      <c r="A74" s="56" t="s">
        <v>44</v>
      </c>
      <c r="B74" s="58">
        <v>64</v>
      </c>
      <c r="C74" s="77" t="s">
        <v>44</v>
      </c>
      <c r="D74" s="70" t="s">
        <v>44</v>
      </c>
      <c r="E74" s="319" t="s">
        <v>44</v>
      </c>
      <c r="F74" s="320"/>
      <c r="G74" s="74"/>
      <c r="H74" s="49"/>
    </row>
    <row r="75" spans="1:11" ht="12" customHeight="1">
      <c r="A75" s="56" t="s">
        <v>44</v>
      </c>
      <c r="B75" s="58">
        <v>65</v>
      </c>
      <c r="C75" s="332" t="s">
        <v>197</v>
      </c>
      <c r="D75" s="323" t="s">
        <v>5</v>
      </c>
      <c r="E75" s="324"/>
      <c r="F75" s="324"/>
      <c r="G75" s="74"/>
    </row>
    <row r="76" spans="1:11" ht="12" customHeight="1">
      <c r="A76" s="56" t="s">
        <v>44</v>
      </c>
      <c r="B76" s="58">
        <v>66</v>
      </c>
      <c r="C76" s="333"/>
      <c r="D76" s="66" t="s">
        <v>55</v>
      </c>
      <c r="E76" s="378" t="s">
        <v>44</v>
      </c>
      <c r="F76" s="386"/>
      <c r="G76" s="74"/>
    </row>
    <row r="77" spans="1:11" ht="12" customHeight="1">
      <c r="A77" s="56" t="s">
        <v>44</v>
      </c>
      <c r="B77" s="58">
        <v>67</v>
      </c>
      <c r="C77" s="77" t="s">
        <v>44</v>
      </c>
      <c r="D77" s="70" t="s">
        <v>44</v>
      </c>
      <c r="E77" s="319" t="s">
        <v>198</v>
      </c>
      <c r="F77" s="320"/>
      <c r="G77" s="81" t="e">
        <f>#REF!+#REF!</f>
        <v>#REF!</v>
      </c>
      <c r="H77" s="49"/>
    </row>
    <row r="78" spans="1:11" ht="15.75" customHeight="1">
      <c r="B78" s="49" t="s">
        <v>44</v>
      </c>
      <c r="C78" s="49" t="s">
        <v>44</v>
      </c>
      <c r="D78" s="49" t="s">
        <v>44</v>
      </c>
      <c r="E78" s="49" t="s">
        <v>44</v>
      </c>
      <c r="F78" s="49" t="s">
        <v>44</v>
      </c>
      <c r="G78" s="49" t="s">
        <v>44</v>
      </c>
      <c r="H78" s="49"/>
      <c r="I78" s="49"/>
      <c r="J78" s="49"/>
      <c r="K78" s="51"/>
    </row>
    <row r="79" spans="1:11" ht="15" customHeight="1">
      <c r="A79" s="49" t="s">
        <v>44</v>
      </c>
      <c r="B79" s="49" t="s">
        <v>44</v>
      </c>
      <c r="C79" s="49" t="s">
        <v>44</v>
      </c>
      <c r="D79" s="49" t="s">
        <v>44</v>
      </c>
      <c r="E79" s="49" t="s">
        <v>44</v>
      </c>
      <c r="F79" s="82" t="s">
        <v>44</v>
      </c>
      <c r="G79" s="82" t="s">
        <v>44</v>
      </c>
      <c r="H79" s="82"/>
      <c r="I79" s="82"/>
      <c r="J79" s="82"/>
      <c r="K79" s="51"/>
    </row>
    <row r="80" spans="1:11" ht="15" customHeight="1">
      <c r="B80" s="385" t="s">
        <v>199</v>
      </c>
      <c r="C80" s="385"/>
      <c r="D80" s="385"/>
      <c r="E80" s="385"/>
      <c r="F80" s="385"/>
      <c r="G80" s="83"/>
      <c r="H80" s="83"/>
      <c r="I80" s="82"/>
      <c r="J80" s="83"/>
      <c r="K80" s="51"/>
    </row>
    <row r="81" spans="2:11" ht="15" customHeight="1">
      <c r="B81" s="385" t="s">
        <v>44</v>
      </c>
      <c r="C81" s="385"/>
      <c r="D81" s="385"/>
      <c r="E81" s="385"/>
      <c r="F81" s="385"/>
      <c r="G81" s="84"/>
      <c r="H81" s="84"/>
      <c r="I81" s="83"/>
      <c r="J81" s="82"/>
      <c r="K81" s="51"/>
    </row>
    <row r="82" spans="2:11" ht="15.75" hidden="1" customHeight="1"/>
    <row r="83" spans="2:11" ht="15.75" hidden="1" customHeight="1"/>
    <row r="84" spans="2:11" ht="15" customHeight="1">
      <c r="B84" s="385" t="s">
        <v>200</v>
      </c>
      <c r="C84" s="385"/>
      <c r="D84" s="385"/>
      <c r="E84" s="385"/>
      <c r="F84" s="385"/>
      <c r="G84" s="385"/>
      <c r="H84" s="83"/>
      <c r="I84" s="83"/>
      <c r="J84" s="83"/>
      <c r="K84" s="51"/>
    </row>
    <row r="85" spans="2:11" ht="15.75" hidden="1" customHeight="1"/>
    <row r="86" spans="2:11" ht="15.75" hidden="1" customHeight="1"/>
    <row r="87" spans="2:11" ht="15.75" hidden="1" customHeight="1"/>
    <row r="88" spans="2:11" ht="15.75" hidden="1" customHeight="1"/>
    <row r="89" spans="2:11" ht="15.75" hidden="1" customHeight="1"/>
    <row r="90" spans="2:11" ht="15.75" hidden="1" customHeight="1"/>
    <row r="91" spans="2:11" ht="15.75" hidden="1" customHeight="1"/>
    <row r="92" spans="2:11" ht="15.75" customHeight="1"/>
    <row r="93" spans="2:11" ht="15.75" customHeight="1"/>
    <row r="94" spans="2:11" ht="15.75" customHeight="1"/>
    <row r="95" spans="2:11" ht="15.75" customHeight="1"/>
    <row r="96" spans="2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</sheetData>
  <mergeCells count="65">
    <mergeCell ref="B7:F7"/>
    <mergeCell ref="B1:G1"/>
    <mergeCell ref="B3:G3"/>
    <mergeCell ref="B4:G4"/>
    <mergeCell ref="B5:G5"/>
    <mergeCell ref="B6:G6"/>
    <mergeCell ref="E39:F39"/>
    <mergeCell ref="B22:B24"/>
    <mergeCell ref="C22:F24"/>
    <mergeCell ref="E28:F28"/>
    <mergeCell ref="C29:F29"/>
    <mergeCell ref="D30:F30"/>
    <mergeCell ref="E31:F31"/>
    <mergeCell ref="E32:F32"/>
    <mergeCell ref="E33:F33"/>
    <mergeCell ref="E36:F36"/>
    <mergeCell ref="D37:F37"/>
    <mergeCell ref="E38:F38"/>
    <mergeCell ref="C40:C41"/>
    <mergeCell ref="D40:F40"/>
    <mergeCell ref="E41:F41"/>
    <mergeCell ref="E42:F42"/>
    <mergeCell ref="C43:C45"/>
    <mergeCell ref="D43:F43"/>
    <mergeCell ref="E44:F44"/>
    <mergeCell ref="E45:F45"/>
    <mergeCell ref="C46:F46"/>
    <mergeCell ref="D47:F47"/>
    <mergeCell ref="E48:F48"/>
    <mergeCell ref="E49:F49"/>
    <mergeCell ref="C50:C51"/>
    <mergeCell ref="D50:F50"/>
    <mergeCell ref="E51:F51"/>
    <mergeCell ref="C63:F63"/>
    <mergeCell ref="E52:F52"/>
    <mergeCell ref="C53:F53"/>
    <mergeCell ref="C54:F54"/>
    <mergeCell ref="D55:F55"/>
    <mergeCell ref="E56:F56"/>
    <mergeCell ref="E57:F57"/>
    <mergeCell ref="E58:F58"/>
    <mergeCell ref="C59:F59"/>
    <mergeCell ref="C60:F60"/>
    <mergeCell ref="C61:F61"/>
    <mergeCell ref="C62:F62"/>
    <mergeCell ref="E74:F74"/>
    <mergeCell ref="C64:C65"/>
    <mergeCell ref="D64:F64"/>
    <mergeCell ref="E65:F65"/>
    <mergeCell ref="E66:F66"/>
    <mergeCell ref="C67:C68"/>
    <mergeCell ref="D67:F67"/>
    <mergeCell ref="E68:F68"/>
    <mergeCell ref="E69:F69"/>
    <mergeCell ref="E70:F70"/>
    <mergeCell ref="E71:F71"/>
    <mergeCell ref="E72:F72"/>
    <mergeCell ref="E73:F73"/>
    <mergeCell ref="B84:G84"/>
    <mergeCell ref="C75:C76"/>
    <mergeCell ref="D75:F75"/>
    <mergeCell ref="E76:F76"/>
    <mergeCell ref="E77:F77"/>
    <mergeCell ref="B80:F80"/>
    <mergeCell ref="B81:F81"/>
  </mergeCells>
  <dataValidations count="2">
    <dataValidation allowBlank="1" showInputMessage="1" showErrorMessage="1" prompt="Наименование на государственном языке заполняется автоматически в соответствии с КТРУ" sqref="B76 B49:B50 B95:B96"/>
    <dataValidation allowBlank="1" showInputMessage="1" showErrorMessage="1" prompt="Введите наименование на рус.языке" sqref="B53:B54 B48 B58:B60"/>
  </dataValidations>
  <pageMargins left="0.25" right="0.25" top="0.32" bottom="0.2" header="0.3" footer="0.2"/>
  <pageSetup paperSize="9" scale="8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"/>
  <sheetViews>
    <sheetView topLeftCell="C26" zoomScaleNormal="100" workbookViewId="0">
      <selection activeCell="I46" sqref="I46"/>
    </sheetView>
  </sheetViews>
  <sheetFormatPr defaultColWidth="9.140625" defaultRowHeight="15.75"/>
  <cols>
    <col min="1" max="1" width="4.140625" style="11" hidden="1" customWidth="1"/>
    <col min="2" max="2" width="8.42578125" style="11" customWidth="1"/>
    <col min="3" max="3" width="15.42578125" style="11" customWidth="1"/>
    <col min="4" max="4" width="12.42578125" style="11" customWidth="1"/>
    <col min="5" max="5" width="11" style="11" customWidth="1"/>
    <col min="6" max="6" width="36.42578125" style="11" customWidth="1"/>
    <col min="7" max="7" width="10" style="11" customWidth="1"/>
    <col min="8" max="8" width="13" style="11" customWidth="1"/>
    <col min="9" max="9" width="34" style="14" customWidth="1"/>
    <col min="10" max="12" width="3.42578125" style="11" hidden="1" customWidth="1"/>
    <col min="13" max="13" width="3.140625" style="11" hidden="1" customWidth="1"/>
    <col min="14" max="14" width="14.85546875" style="11" customWidth="1"/>
    <col min="15" max="15" width="13.42578125" style="11" bestFit="1" customWidth="1"/>
    <col min="16" max="16384" width="9.140625" style="11"/>
  </cols>
  <sheetData>
    <row r="1" spans="1:13" ht="14.25" customHeight="1">
      <c r="A1" s="10" t="s">
        <v>44</v>
      </c>
      <c r="B1" s="399" t="s">
        <v>45</v>
      </c>
      <c r="C1" s="399"/>
      <c r="D1" s="399"/>
      <c r="E1" s="399"/>
      <c r="F1" s="399"/>
      <c r="G1" s="399"/>
      <c r="H1" s="399"/>
      <c r="I1" s="399"/>
      <c r="M1" s="12"/>
    </row>
    <row r="2" spans="1:13" ht="14.25" customHeight="1">
      <c r="A2" s="10" t="s">
        <v>44</v>
      </c>
      <c r="B2" s="400" t="s">
        <v>46</v>
      </c>
      <c r="C2" s="400"/>
      <c r="D2" s="400"/>
      <c r="E2" s="400"/>
      <c r="F2" s="400"/>
      <c r="G2" s="400"/>
      <c r="H2" s="400"/>
      <c r="I2" s="400"/>
      <c r="M2" s="12"/>
    </row>
    <row r="3" spans="1:13">
      <c r="A3" s="10" t="s">
        <v>44</v>
      </c>
      <c r="B3" s="401" t="s">
        <v>47</v>
      </c>
      <c r="C3" s="401"/>
      <c r="D3" s="401"/>
      <c r="E3" s="401"/>
      <c r="F3" s="401"/>
      <c r="G3" s="401"/>
      <c r="H3" s="401"/>
      <c r="I3" s="401"/>
      <c r="M3" s="12"/>
    </row>
    <row r="4" spans="1:13" ht="30" customHeight="1">
      <c r="A4" s="10" t="s">
        <v>44</v>
      </c>
      <c r="B4" s="401" t="s">
        <v>48</v>
      </c>
      <c r="C4" s="401"/>
      <c r="D4" s="401"/>
      <c r="E4" s="401"/>
      <c r="F4" s="401"/>
      <c r="G4" s="401"/>
      <c r="H4" s="401"/>
      <c r="I4" s="401"/>
      <c r="M4" s="12"/>
    </row>
    <row r="5" spans="1:13" ht="12" customHeight="1">
      <c r="A5" s="10" t="s">
        <v>44</v>
      </c>
      <c r="B5" s="402" t="s">
        <v>49</v>
      </c>
      <c r="C5" s="402"/>
      <c r="D5" s="402"/>
      <c r="E5" s="402"/>
      <c r="F5" s="402"/>
      <c r="G5" s="402"/>
      <c r="H5" s="402"/>
      <c r="I5" s="13" t="s">
        <v>50</v>
      </c>
      <c r="M5" s="12"/>
    </row>
    <row r="6" spans="1:13" hidden="1"/>
    <row r="7" spans="1:13" hidden="1"/>
    <row r="8" spans="1:13" hidden="1"/>
    <row r="9" spans="1:13" hidden="1"/>
    <row r="10" spans="1:13" hidden="1"/>
    <row r="11" spans="1:13" hidden="1"/>
    <row r="12" spans="1:13" hidden="1"/>
    <row r="13" spans="1:13" hidden="1"/>
    <row r="14" spans="1:13" hidden="1"/>
    <row r="15" spans="1:13" hidden="1"/>
    <row r="16" spans="1:13" hidden="1"/>
    <row r="17" spans="1:14" hidden="1"/>
    <row r="18" spans="1:14" hidden="1"/>
    <row r="19" spans="1:14" hidden="1"/>
    <row r="20" spans="1:14" ht="12" customHeight="1">
      <c r="A20" s="15" t="s">
        <v>44</v>
      </c>
      <c r="B20" s="403" t="s">
        <v>0</v>
      </c>
      <c r="C20" s="406" t="s">
        <v>51</v>
      </c>
      <c r="D20" s="407"/>
      <c r="E20" s="407"/>
      <c r="F20" s="407"/>
      <c r="G20" s="407"/>
      <c r="H20" s="408"/>
      <c r="I20" s="415" t="s">
        <v>52</v>
      </c>
      <c r="J20" s="10"/>
      <c r="K20" s="10"/>
      <c r="L20" s="10"/>
      <c r="M20" s="12"/>
      <c r="N20" s="16"/>
    </row>
    <row r="21" spans="1:14" ht="12" customHeight="1">
      <c r="A21" s="17" t="s">
        <v>44</v>
      </c>
      <c r="B21" s="404"/>
      <c r="C21" s="409"/>
      <c r="D21" s="410"/>
      <c r="E21" s="410"/>
      <c r="F21" s="410"/>
      <c r="G21" s="410"/>
      <c r="H21" s="411"/>
      <c r="I21" s="404"/>
      <c r="J21" s="10"/>
      <c r="K21" s="10"/>
      <c r="L21" s="10"/>
      <c r="M21" s="12"/>
    </row>
    <row r="22" spans="1:14" ht="12" customHeight="1">
      <c r="A22" s="17" t="s">
        <v>44</v>
      </c>
      <c r="B22" s="405"/>
      <c r="C22" s="412"/>
      <c r="D22" s="413"/>
      <c r="E22" s="413"/>
      <c r="F22" s="413"/>
      <c r="G22" s="413"/>
      <c r="H22" s="414"/>
      <c r="I22" s="405"/>
      <c r="J22" s="10"/>
      <c r="K22" s="10"/>
      <c r="L22" s="10"/>
      <c r="M22" s="12"/>
    </row>
    <row r="23" spans="1:14" hidden="1"/>
    <row r="24" spans="1:14" hidden="1"/>
    <row r="25" spans="1:14" hidden="1"/>
    <row r="26" spans="1:14" ht="12" customHeight="1">
      <c r="A26" s="17" t="s">
        <v>44</v>
      </c>
      <c r="B26" s="18">
        <v>1</v>
      </c>
      <c r="C26" s="391">
        <v>2</v>
      </c>
      <c r="D26" s="392"/>
      <c r="E26" s="18">
        <v>3</v>
      </c>
      <c r="F26" s="18">
        <v>4</v>
      </c>
      <c r="G26" s="18">
        <v>5</v>
      </c>
      <c r="H26" s="18">
        <v>6</v>
      </c>
      <c r="I26" s="18">
        <v>10</v>
      </c>
    </row>
    <row r="27" spans="1:14" ht="12" customHeight="1">
      <c r="A27" s="15" t="s">
        <v>44</v>
      </c>
      <c r="B27" s="19">
        <v>1</v>
      </c>
      <c r="C27" s="393" t="s">
        <v>53</v>
      </c>
      <c r="D27" s="394"/>
      <c r="E27" s="394"/>
      <c r="F27" s="394"/>
      <c r="G27" s="394"/>
      <c r="H27" s="395"/>
      <c r="I27" s="20"/>
      <c r="N27" s="16"/>
    </row>
    <row r="28" spans="1:14" ht="26.25" customHeight="1">
      <c r="A28" s="15" t="s">
        <v>44</v>
      </c>
      <c r="B28" s="21">
        <v>2</v>
      </c>
      <c r="C28" s="22" t="s">
        <v>54</v>
      </c>
      <c r="D28" s="23" t="s">
        <v>44</v>
      </c>
      <c r="E28" s="393" t="s">
        <v>5</v>
      </c>
      <c r="F28" s="394"/>
      <c r="G28" s="394"/>
      <c r="H28" s="395"/>
      <c r="I28" s="20" t="e">
        <f>SUM(I29:I190)</f>
        <v>#REF!</v>
      </c>
      <c r="N28" s="153" t="e">
        <f>#REF!</f>
        <v>#REF!</v>
      </c>
    </row>
    <row r="29" spans="1:14" ht="34.5" customHeight="1">
      <c r="A29" s="15" t="s">
        <v>44</v>
      </c>
      <c r="B29" s="21">
        <v>3</v>
      </c>
      <c r="C29" s="24" t="s">
        <v>44</v>
      </c>
      <c r="D29" s="25" t="s">
        <v>44</v>
      </c>
      <c r="E29" s="26" t="s">
        <v>55</v>
      </c>
      <c r="F29" s="396" t="s">
        <v>56</v>
      </c>
      <c r="G29" s="397"/>
      <c r="H29" s="398"/>
      <c r="I29" s="20" t="e">
        <f>#REF!</f>
        <v>#REF!</v>
      </c>
      <c r="N29" s="154" t="e">
        <f>I28-N28</f>
        <v>#REF!</v>
      </c>
    </row>
    <row r="30" spans="1:14" ht="12" customHeight="1">
      <c r="A30" s="15" t="s">
        <v>44</v>
      </c>
      <c r="B30" s="21">
        <v>4</v>
      </c>
      <c r="C30" s="24" t="s">
        <v>44</v>
      </c>
      <c r="D30" s="25" t="s">
        <v>44</v>
      </c>
      <c r="E30" s="27" t="s">
        <v>44</v>
      </c>
      <c r="F30" s="396" t="s">
        <v>57</v>
      </c>
      <c r="G30" s="397"/>
      <c r="H30" s="398"/>
      <c r="I30" s="20" t="e">
        <f>#REF!</f>
        <v>#REF!</v>
      </c>
      <c r="N30" s="16"/>
    </row>
    <row r="31" spans="1:14" ht="12" customHeight="1">
      <c r="A31" s="15" t="s">
        <v>44</v>
      </c>
      <c r="B31" s="21">
        <v>5</v>
      </c>
      <c r="C31" s="24" t="s">
        <v>44</v>
      </c>
      <c r="D31" s="25" t="s">
        <v>44</v>
      </c>
      <c r="E31" s="27" t="s">
        <v>44</v>
      </c>
      <c r="F31" s="396" t="s">
        <v>58</v>
      </c>
      <c r="G31" s="397"/>
      <c r="H31" s="398"/>
      <c r="I31" s="20"/>
    </row>
    <row r="32" spans="1:14" ht="12" customHeight="1">
      <c r="A32" s="15" t="s">
        <v>44</v>
      </c>
      <c r="B32" s="21">
        <v>6</v>
      </c>
      <c r="C32" s="28" t="s">
        <v>44</v>
      </c>
      <c r="D32" s="29" t="s">
        <v>44</v>
      </c>
      <c r="E32" s="30" t="s">
        <v>44</v>
      </c>
      <c r="F32" s="416" t="s">
        <v>59</v>
      </c>
      <c r="G32" s="417"/>
      <c r="H32" s="418"/>
      <c r="I32" s="20" t="e">
        <f>#REF!+#REF!</f>
        <v>#REF!</v>
      </c>
      <c r="J32" s="10"/>
    </row>
    <row r="33" spans="1:15" ht="15.75" hidden="1" customHeight="1">
      <c r="F33" s="31" t="s">
        <v>60</v>
      </c>
      <c r="G33" s="31" t="s">
        <v>60</v>
      </c>
      <c r="H33" s="31" t="s">
        <v>60</v>
      </c>
      <c r="I33" s="32"/>
    </row>
    <row r="34" spans="1:15" ht="12" customHeight="1">
      <c r="A34" s="15" t="s">
        <v>44</v>
      </c>
      <c r="B34" s="21">
        <v>7</v>
      </c>
      <c r="C34" s="419" t="s">
        <v>61</v>
      </c>
      <c r="D34" s="420"/>
      <c r="E34" s="393" t="s">
        <v>5</v>
      </c>
      <c r="F34" s="394"/>
      <c r="G34" s="394"/>
      <c r="H34" s="395"/>
      <c r="I34" s="32"/>
    </row>
    <row r="35" spans="1:15" ht="12" customHeight="1">
      <c r="A35" s="15" t="s">
        <v>44</v>
      </c>
      <c r="B35" s="21">
        <v>8</v>
      </c>
      <c r="C35" s="421"/>
      <c r="D35" s="422"/>
      <c r="E35" s="26" t="s">
        <v>55</v>
      </c>
      <c r="F35" s="396" t="s">
        <v>44</v>
      </c>
      <c r="G35" s="397"/>
      <c r="H35" s="398"/>
      <c r="I35" s="32"/>
    </row>
    <row r="36" spans="1:15" hidden="1">
      <c r="I36" s="33"/>
    </row>
    <row r="37" spans="1:15" ht="12" customHeight="1">
      <c r="A37" s="15" t="s">
        <v>44</v>
      </c>
      <c r="B37" s="21">
        <v>10</v>
      </c>
      <c r="C37" s="423" t="s">
        <v>62</v>
      </c>
      <c r="D37" s="424"/>
      <c r="E37" s="393" t="s">
        <v>5</v>
      </c>
      <c r="F37" s="394"/>
      <c r="G37" s="394"/>
      <c r="H37" s="395"/>
      <c r="I37" s="32"/>
    </row>
    <row r="38" spans="1:15" ht="12" customHeight="1">
      <c r="A38" s="15" t="s">
        <v>44</v>
      </c>
      <c r="B38" s="21">
        <v>11</v>
      </c>
      <c r="C38" s="425"/>
      <c r="D38" s="426"/>
      <c r="E38" s="429" t="s">
        <v>55</v>
      </c>
      <c r="F38" s="396" t="s">
        <v>63</v>
      </c>
      <c r="G38" s="397"/>
      <c r="H38" s="398"/>
      <c r="I38" s="32" t="e">
        <f>#REF!</f>
        <v>#REF!</v>
      </c>
    </row>
    <row r="39" spans="1:15" ht="12" customHeight="1">
      <c r="A39" s="15" t="s">
        <v>44</v>
      </c>
      <c r="B39" s="21">
        <v>12</v>
      </c>
      <c r="C39" s="427"/>
      <c r="D39" s="428"/>
      <c r="E39" s="430"/>
      <c r="F39" s="396" t="s">
        <v>64</v>
      </c>
      <c r="G39" s="397"/>
      <c r="H39" s="398"/>
      <c r="I39" s="32" t="e">
        <f>#REF!</f>
        <v>#REF!</v>
      </c>
    </row>
    <row r="40" spans="1:15" ht="12" customHeight="1">
      <c r="A40" s="15" t="s">
        <v>44</v>
      </c>
      <c r="B40" s="21">
        <v>13</v>
      </c>
      <c r="C40" s="419" t="s">
        <v>65</v>
      </c>
      <c r="D40" s="420"/>
      <c r="E40" s="393" t="s">
        <v>5</v>
      </c>
      <c r="F40" s="394"/>
      <c r="G40" s="394"/>
      <c r="H40" s="395"/>
      <c r="I40" s="32"/>
    </row>
    <row r="41" spans="1:15" ht="17.25" customHeight="1">
      <c r="A41" s="15" t="s">
        <v>44</v>
      </c>
      <c r="B41" s="21">
        <v>14</v>
      </c>
      <c r="C41" s="421"/>
      <c r="D41" s="422"/>
      <c r="E41" s="26" t="s">
        <v>55</v>
      </c>
      <c r="F41" s="396" t="s">
        <v>44</v>
      </c>
      <c r="G41" s="397"/>
      <c r="H41" s="398"/>
      <c r="I41" s="32"/>
    </row>
    <row r="42" spans="1:15" ht="12" customHeight="1">
      <c r="A42" s="15" t="s">
        <v>44</v>
      </c>
      <c r="B42" s="21">
        <v>15</v>
      </c>
      <c r="C42" s="28" t="s">
        <v>44</v>
      </c>
      <c r="D42" s="29" t="s">
        <v>44</v>
      </c>
      <c r="E42" s="30" t="s">
        <v>44</v>
      </c>
      <c r="F42" s="416" t="s">
        <v>66</v>
      </c>
      <c r="G42" s="417"/>
      <c r="H42" s="418"/>
      <c r="I42" s="32" t="e">
        <f>#REF!</f>
        <v>#REF!</v>
      </c>
      <c r="J42" s="10"/>
    </row>
    <row r="43" spans="1:15" hidden="1">
      <c r="I43" s="33"/>
    </row>
    <row r="44" spans="1:15" ht="12" customHeight="1">
      <c r="A44" s="15" t="s">
        <v>44</v>
      </c>
      <c r="B44" s="21">
        <v>17</v>
      </c>
      <c r="C44" s="393" t="s">
        <v>67</v>
      </c>
      <c r="D44" s="394"/>
      <c r="E44" s="394"/>
      <c r="F44" s="394"/>
      <c r="G44" s="394"/>
      <c r="H44" s="395"/>
      <c r="I44" s="32"/>
    </row>
    <row r="45" spans="1:15" ht="12" customHeight="1">
      <c r="A45" s="15" t="s">
        <v>44</v>
      </c>
      <c r="B45" s="21">
        <v>18</v>
      </c>
      <c r="C45" s="431" t="s">
        <v>68</v>
      </c>
      <c r="D45" s="432"/>
      <c r="E45" s="393" t="s">
        <v>5</v>
      </c>
      <c r="F45" s="394"/>
      <c r="G45" s="394"/>
      <c r="H45" s="395"/>
      <c r="I45" s="32"/>
    </row>
    <row r="46" spans="1:15" ht="30" customHeight="1">
      <c r="A46" s="15" t="s">
        <v>44</v>
      </c>
      <c r="B46" s="21">
        <v>19</v>
      </c>
      <c r="C46" s="433"/>
      <c r="D46" s="434"/>
      <c r="E46" s="429" t="s">
        <v>55</v>
      </c>
      <c r="F46" s="396" t="s">
        <v>69</v>
      </c>
      <c r="G46" s="397"/>
      <c r="H46" s="398"/>
      <c r="I46" s="127" t="e">
        <f>#REF!+#REF!</f>
        <v>#REF!</v>
      </c>
      <c r="N46" s="35"/>
      <c r="O46" s="41"/>
    </row>
    <row r="47" spans="1:15" ht="21.75" customHeight="1">
      <c r="A47" s="15" t="s">
        <v>44</v>
      </c>
      <c r="B47" s="21">
        <v>20</v>
      </c>
      <c r="C47" s="433"/>
      <c r="D47" s="434"/>
      <c r="E47" s="437"/>
      <c r="F47" s="396" t="s">
        <v>70</v>
      </c>
      <c r="G47" s="397"/>
      <c r="H47" s="398"/>
      <c r="I47" s="127" t="e">
        <f>#REF!+#REF!-#REF!</f>
        <v>#REF!</v>
      </c>
      <c r="N47" s="35"/>
      <c r="O47" s="41"/>
    </row>
    <row r="48" spans="1:15" ht="21" customHeight="1">
      <c r="A48" s="15" t="s">
        <v>44</v>
      </c>
      <c r="B48" s="21">
        <v>21</v>
      </c>
      <c r="C48" s="433"/>
      <c r="D48" s="434"/>
      <c r="E48" s="437"/>
      <c r="F48" s="396" t="s">
        <v>71</v>
      </c>
      <c r="G48" s="397"/>
      <c r="H48" s="398"/>
      <c r="I48" s="127" t="e">
        <f>#REF!+#REF!</f>
        <v>#REF!</v>
      </c>
      <c r="N48" s="35"/>
    </row>
    <row r="49" spans="1:14" ht="30.75" customHeight="1">
      <c r="A49" s="15" t="s">
        <v>44</v>
      </c>
      <c r="B49" s="21">
        <v>22</v>
      </c>
      <c r="C49" s="435"/>
      <c r="D49" s="436"/>
      <c r="E49" s="430"/>
      <c r="F49" s="396" t="s">
        <v>72</v>
      </c>
      <c r="G49" s="397"/>
      <c r="H49" s="398"/>
      <c r="I49" s="34" t="e">
        <f>#REF!</f>
        <v>#REF!</v>
      </c>
      <c r="N49" s="35"/>
    </row>
    <row r="50" spans="1:14" ht="12" customHeight="1">
      <c r="A50" s="15" t="s">
        <v>44</v>
      </c>
      <c r="B50" s="21">
        <v>23</v>
      </c>
      <c r="C50" s="438" t="s">
        <v>73</v>
      </c>
      <c r="D50" s="439"/>
      <c r="E50" s="393" t="s">
        <v>5</v>
      </c>
      <c r="F50" s="394"/>
      <c r="G50" s="394"/>
      <c r="H50" s="395"/>
      <c r="I50" s="32"/>
    </row>
    <row r="51" spans="1:14" ht="12" customHeight="1">
      <c r="A51" s="15" t="s">
        <v>44</v>
      </c>
      <c r="B51" s="21">
        <v>24</v>
      </c>
      <c r="C51" s="440"/>
      <c r="D51" s="441"/>
      <c r="E51" s="26" t="s">
        <v>55</v>
      </c>
      <c r="F51" s="396" t="s">
        <v>23</v>
      </c>
      <c r="G51" s="397"/>
      <c r="H51" s="398"/>
      <c r="I51" s="36" t="e">
        <f>#REF!</f>
        <v>#REF!</v>
      </c>
      <c r="N51" s="35"/>
    </row>
    <row r="52" spans="1:14" ht="12" customHeight="1">
      <c r="A52" s="15" t="s">
        <v>44</v>
      </c>
      <c r="B52" s="21">
        <v>25</v>
      </c>
      <c r="C52" s="37" t="s">
        <v>44</v>
      </c>
      <c r="D52" s="38" t="s">
        <v>44</v>
      </c>
      <c r="E52" s="27" t="s">
        <v>44</v>
      </c>
      <c r="F52" s="396" t="s">
        <v>74</v>
      </c>
      <c r="G52" s="397"/>
      <c r="H52" s="398"/>
      <c r="I52" s="32"/>
      <c r="N52" s="35"/>
    </row>
    <row r="53" spans="1:14" hidden="1">
      <c r="I53" s="33"/>
    </row>
    <row r="54" spans="1:14" ht="12" customHeight="1">
      <c r="A54" s="15" t="s">
        <v>44</v>
      </c>
      <c r="B54" s="21">
        <v>27</v>
      </c>
      <c r="C54" s="419" t="s">
        <v>75</v>
      </c>
      <c r="D54" s="420"/>
      <c r="E54" s="393" t="s">
        <v>5</v>
      </c>
      <c r="F54" s="394"/>
      <c r="G54" s="394"/>
      <c r="H54" s="395"/>
      <c r="I54" s="32"/>
    </row>
    <row r="55" spans="1:14" ht="12" customHeight="1">
      <c r="A55" s="15" t="s">
        <v>44</v>
      </c>
      <c r="B55" s="21">
        <v>28</v>
      </c>
      <c r="C55" s="421"/>
      <c r="D55" s="422"/>
      <c r="E55" s="26" t="s">
        <v>55</v>
      </c>
      <c r="F55" s="396" t="s">
        <v>76</v>
      </c>
      <c r="G55" s="397"/>
      <c r="H55" s="398"/>
      <c r="I55" s="32"/>
    </row>
    <row r="56" spans="1:14" ht="12" customHeight="1">
      <c r="A56" s="15" t="s">
        <v>44</v>
      </c>
      <c r="B56" s="21">
        <v>29</v>
      </c>
      <c r="C56" s="421"/>
      <c r="D56" s="422"/>
      <c r="E56" s="27" t="s">
        <v>44</v>
      </c>
      <c r="F56" s="396" t="s">
        <v>77</v>
      </c>
      <c r="G56" s="397"/>
      <c r="H56" s="398"/>
      <c r="I56" s="32"/>
    </row>
    <row r="57" spans="1:14" ht="12" customHeight="1">
      <c r="A57" s="15" t="s">
        <v>44</v>
      </c>
      <c r="B57" s="21">
        <v>30</v>
      </c>
      <c r="C57" s="421"/>
      <c r="D57" s="422"/>
      <c r="E57" s="27" t="s">
        <v>44</v>
      </c>
      <c r="F57" s="396" t="s">
        <v>78</v>
      </c>
      <c r="G57" s="397"/>
      <c r="H57" s="398"/>
      <c r="I57" s="32"/>
    </row>
    <row r="58" spans="1:14" ht="12" customHeight="1">
      <c r="A58" s="15" t="s">
        <v>44</v>
      </c>
      <c r="B58" s="21">
        <v>31</v>
      </c>
      <c r="C58" s="24" t="s">
        <v>44</v>
      </c>
      <c r="D58" s="25" t="s">
        <v>44</v>
      </c>
      <c r="E58" s="27" t="s">
        <v>44</v>
      </c>
      <c r="F58" s="396" t="s">
        <v>79</v>
      </c>
      <c r="G58" s="397"/>
      <c r="H58" s="398"/>
      <c r="I58" s="32" t="e">
        <f>#REF!+#REF!</f>
        <v>#REF!</v>
      </c>
    </row>
    <row r="59" spans="1:14" hidden="1">
      <c r="I59" s="33"/>
    </row>
    <row r="60" spans="1:14" ht="12" customHeight="1">
      <c r="A60" s="15" t="s">
        <v>44</v>
      </c>
      <c r="B60" s="21">
        <v>33</v>
      </c>
      <c r="C60" s="393" t="s">
        <v>80</v>
      </c>
      <c r="D60" s="394"/>
      <c r="E60" s="394"/>
      <c r="F60" s="394"/>
      <c r="G60" s="394"/>
      <c r="H60" s="395"/>
      <c r="I60" s="32"/>
    </row>
    <row r="61" spans="1:14" ht="12" customHeight="1">
      <c r="A61" s="15" t="s">
        <v>44</v>
      </c>
      <c r="B61" s="21">
        <v>34</v>
      </c>
      <c r="C61" s="419" t="s">
        <v>81</v>
      </c>
      <c r="D61" s="420"/>
      <c r="E61" s="393" t="s">
        <v>5</v>
      </c>
      <c r="F61" s="394"/>
      <c r="G61" s="394"/>
      <c r="H61" s="395"/>
      <c r="I61" s="32"/>
    </row>
    <row r="62" spans="1:14" ht="12" customHeight="1">
      <c r="A62" s="15" t="s">
        <v>44</v>
      </c>
      <c r="B62" s="21">
        <v>35</v>
      </c>
      <c r="C62" s="421"/>
      <c r="D62" s="422"/>
      <c r="E62" s="26" t="s">
        <v>55</v>
      </c>
      <c r="F62" s="26" t="s">
        <v>82</v>
      </c>
      <c r="G62" s="442" t="s">
        <v>5</v>
      </c>
      <c r="H62" s="443"/>
      <c r="I62" s="32"/>
    </row>
    <row r="63" spans="1:14" ht="12" customHeight="1">
      <c r="A63" s="15" t="s">
        <v>44</v>
      </c>
      <c r="B63" s="21">
        <v>36</v>
      </c>
      <c r="C63" s="421"/>
      <c r="D63" s="422"/>
      <c r="E63" s="27" t="s">
        <v>44</v>
      </c>
      <c r="F63" s="27" t="s">
        <v>44</v>
      </c>
      <c r="G63" s="26" t="s">
        <v>55</v>
      </c>
      <c r="H63" s="17" t="s">
        <v>83</v>
      </c>
      <c r="I63" s="32"/>
    </row>
    <row r="64" spans="1:14" ht="12" customHeight="1">
      <c r="A64" s="15" t="s">
        <v>44</v>
      </c>
      <c r="B64" s="21">
        <v>37</v>
      </c>
      <c r="C64" s="24" t="s">
        <v>44</v>
      </c>
      <c r="D64" s="25" t="s">
        <v>44</v>
      </c>
      <c r="E64" s="27" t="s">
        <v>44</v>
      </c>
      <c r="F64" s="27" t="s">
        <v>44</v>
      </c>
      <c r="G64" s="27" t="s">
        <v>44</v>
      </c>
      <c r="H64" s="15" t="s">
        <v>84</v>
      </c>
      <c r="I64" s="32"/>
    </row>
    <row r="65" spans="1:14" hidden="1">
      <c r="I65" s="33"/>
    </row>
    <row r="66" spans="1:14" ht="12" customHeight="1">
      <c r="A66" s="15" t="s">
        <v>44</v>
      </c>
      <c r="B66" s="21">
        <v>39</v>
      </c>
      <c r="C66" s="24" t="s">
        <v>44</v>
      </c>
      <c r="D66" s="25" t="s">
        <v>44</v>
      </c>
      <c r="E66" s="27" t="s">
        <v>44</v>
      </c>
      <c r="F66" s="26" t="s">
        <v>85</v>
      </c>
      <c r="G66" s="442" t="s">
        <v>5</v>
      </c>
      <c r="H66" s="443"/>
      <c r="I66" s="32"/>
    </row>
    <row r="67" spans="1:14" ht="12" customHeight="1">
      <c r="A67" s="15" t="s">
        <v>44</v>
      </c>
      <c r="B67" s="21">
        <v>40</v>
      </c>
      <c r="C67" s="24" t="s">
        <v>44</v>
      </c>
      <c r="D67" s="25" t="s">
        <v>44</v>
      </c>
      <c r="E67" s="27" t="s">
        <v>44</v>
      </c>
      <c r="F67" s="27" t="s">
        <v>44</v>
      </c>
      <c r="G67" s="26" t="s">
        <v>55</v>
      </c>
      <c r="H67" s="17" t="s">
        <v>83</v>
      </c>
      <c r="I67" s="32"/>
    </row>
    <row r="68" spans="1:14" ht="12" customHeight="1">
      <c r="A68" s="15" t="s">
        <v>44</v>
      </c>
      <c r="B68" s="21">
        <v>41</v>
      </c>
      <c r="C68" s="24" t="s">
        <v>44</v>
      </c>
      <c r="D68" s="25" t="s">
        <v>44</v>
      </c>
      <c r="E68" s="27" t="s">
        <v>44</v>
      </c>
      <c r="F68" s="27" t="s">
        <v>44</v>
      </c>
      <c r="G68" s="27" t="s">
        <v>44</v>
      </c>
      <c r="H68" s="15" t="s">
        <v>84</v>
      </c>
      <c r="I68" s="32"/>
    </row>
    <row r="69" spans="1:14" hidden="1">
      <c r="I69" s="33"/>
    </row>
    <row r="70" spans="1:14" ht="12" customHeight="1">
      <c r="A70" s="15" t="s">
        <v>44</v>
      </c>
      <c r="B70" s="21">
        <v>43</v>
      </c>
      <c r="C70" s="24" t="s">
        <v>44</v>
      </c>
      <c r="D70" s="25" t="s">
        <v>44</v>
      </c>
      <c r="E70" s="27" t="s">
        <v>44</v>
      </c>
      <c r="F70" s="26" t="s">
        <v>86</v>
      </c>
      <c r="G70" s="442" t="s">
        <v>5</v>
      </c>
      <c r="H70" s="443"/>
      <c r="I70" s="32"/>
    </row>
    <row r="71" spans="1:14" ht="12" customHeight="1">
      <c r="A71" s="15" t="s">
        <v>44</v>
      </c>
      <c r="B71" s="21">
        <v>44</v>
      </c>
      <c r="C71" s="24" t="s">
        <v>44</v>
      </c>
      <c r="D71" s="25" t="s">
        <v>44</v>
      </c>
      <c r="E71" s="27" t="s">
        <v>44</v>
      </c>
      <c r="F71" s="27" t="s">
        <v>44</v>
      </c>
      <c r="G71" s="26" t="s">
        <v>55</v>
      </c>
      <c r="H71" s="17" t="s">
        <v>83</v>
      </c>
      <c r="I71" s="32"/>
    </row>
    <row r="72" spans="1:14" ht="12" customHeight="1">
      <c r="A72" s="15" t="s">
        <v>44</v>
      </c>
      <c r="B72" s="21">
        <v>45</v>
      </c>
      <c r="C72" s="24" t="s">
        <v>44</v>
      </c>
      <c r="D72" s="25" t="s">
        <v>44</v>
      </c>
      <c r="E72" s="27" t="s">
        <v>44</v>
      </c>
      <c r="F72" s="27" t="s">
        <v>44</v>
      </c>
      <c r="G72" s="27" t="s">
        <v>44</v>
      </c>
      <c r="H72" s="15" t="s">
        <v>84</v>
      </c>
      <c r="I72" s="32"/>
    </row>
    <row r="73" spans="1:14" hidden="1">
      <c r="I73" s="33"/>
    </row>
    <row r="74" spans="1:14" ht="12" customHeight="1">
      <c r="A74" s="15" t="s">
        <v>44</v>
      </c>
      <c r="B74" s="21">
        <v>47</v>
      </c>
      <c r="C74" s="24" t="s">
        <v>44</v>
      </c>
      <c r="D74" s="25" t="s">
        <v>44</v>
      </c>
      <c r="E74" s="27" t="s">
        <v>44</v>
      </c>
      <c r="F74" s="26" t="s">
        <v>87</v>
      </c>
      <c r="G74" s="442" t="s">
        <v>5</v>
      </c>
      <c r="H74" s="443"/>
      <c r="I74" s="32"/>
    </row>
    <row r="75" spans="1:14" ht="12" customHeight="1">
      <c r="A75" s="15" t="s">
        <v>44</v>
      </c>
      <c r="B75" s="21">
        <v>48</v>
      </c>
      <c r="C75" s="24" t="s">
        <v>44</v>
      </c>
      <c r="D75" s="25" t="s">
        <v>44</v>
      </c>
      <c r="E75" s="27" t="s">
        <v>44</v>
      </c>
      <c r="F75" s="27" t="s">
        <v>44</v>
      </c>
      <c r="G75" s="26" t="s">
        <v>55</v>
      </c>
      <c r="H75" s="17" t="s">
        <v>83</v>
      </c>
      <c r="I75" s="32"/>
    </row>
    <row r="76" spans="1:14" ht="12" customHeight="1">
      <c r="A76" s="15" t="s">
        <v>44</v>
      </c>
      <c r="B76" s="21">
        <v>49</v>
      </c>
      <c r="C76" s="24" t="s">
        <v>44</v>
      </c>
      <c r="D76" s="25" t="s">
        <v>44</v>
      </c>
      <c r="E76" s="27" t="s">
        <v>44</v>
      </c>
      <c r="F76" s="27" t="s">
        <v>44</v>
      </c>
      <c r="G76" s="27" t="s">
        <v>44</v>
      </c>
      <c r="H76" s="15" t="s">
        <v>84</v>
      </c>
      <c r="I76" s="32"/>
    </row>
    <row r="77" spans="1:14" hidden="1">
      <c r="I77" s="33"/>
    </row>
    <row r="78" spans="1:14" ht="12" customHeight="1">
      <c r="A78" s="15" t="s">
        <v>44</v>
      </c>
      <c r="B78" s="21">
        <v>51</v>
      </c>
      <c r="C78" s="419" t="s">
        <v>88</v>
      </c>
      <c r="D78" s="420"/>
      <c r="E78" s="393" t="s">
        <v>5</v>
      </c>
      <c r="F78" s="394"/>
      <c r="G78" s="394"/>
      <c r="H78" s="395"/>
      <c r="I78" s="32"/>
    </row>
    <row r="79" spans="1:14" ht="12" customHeight="1">
      <c r="A79" s="15" t="s">
        <v>44</v>
      </c>
      <c r="B79" s="21">
        <v>52</v>
      </c>
      <c r="C79" s="421"/>
      <c r="D79" s="422"/>
      <c r="E79" s="26" t="s">
        <v>55</v>
      </c>
      <c r="F79" s="396" t="s">
        <v>89</v>
      </c>
      <c r="G79" s="397"/>
      <c r="H79" s="398"/>
      <c r="I79" s="32"/>
    </row>
    <row r="80" spans="1:14" ht="12" customHeight="1">
      <c r="A80" s="15" t="s">
        <v>44</v>
      </c>
      <c r="B80" s="21">
        <v>53</v>
      </c>
      <c r="C80" s="24" t="s">
        <v>44</v>
      </c>
      <c r="D80" s="25" t="s">
        <v>44</v>
      </c>
      <c r="E80" s="27" t="s">
        <v>44</v>
      </c>
      <c r="F80" s="396" t="s">
        <v>24</v>
      </c>
      <c r="G80" s="397"/>
      <c r="H80" s="398"/>
      <c r="I80" s="36" t="e">
        <f>#REF!</f>
        <v>#REF!</v>
      </c>
      <c r="N80" s="35"/>
    </row>
    <row r="81" spans="1:14" ht="12" customHeight="1">
      <c r="A81" s="15" t="s">
        <v>44</v>
      </c>
      <c r="B81" s="21">
        <v>54</v>
      </c>
      <c r="C81" s="24" t="s">
        <v>44</v>
      </c>
      <c r="D81" s="25" t="s">
        <v>44</v>
      </c>
      <c r="E81" s="27" t="s">
        <v>44</v>
      </c>
      <c r="F81" s="396" t="s">
        <v>90</v>
      </c>
      <c r="G81" s="397"/>
      <c r="H81" s="398"/>
      <c r="I81" s="32"/>
      <c r="N81" s="35"/>
    </row>
    <row r="82" spans="1:14" ht="12" customHeight="1">
      <c r="A82" s="15" t="s">
        <v>44</v>
      </c>
      <c r="B82" s="21">
        <v>55</v>
      </c>
      <c r="C82" s="24" t="s">
        <v>44</v>
      </c>
      <c r="D82" s="25" t="s">
        <v>44</v>
      </c>
      <c r="E82" s="27" t="s">
        <v>44</v>
      </c>
      <c r="F82" s="429" t="s">
        <v>91</v>
      </c>
      <c r="G82" s="442" t="s">
        <v>5</v>
      </c>
      <c r="H82" s="443"/>
      <c r="I82" s="32"/>
    </row>
    <row r="83" spans="1:14" ht="24" customHeight="1">
      <c r="A83" s="15" t="s">
        <v>44</v>
      </c>
      <c r="B83" s="21">
        <v>56</v>
      </c>
      <c r="C83" s="24" t="s">
        <v>44</v>
      </c>
      <c r="D83" s="25" t="s">
        <v>44</v>
      </c>
      <c r="E83" s="27" t="s">
        <v>44</v>
      </c>
      <c r="F83" s="437"/>
      <c r="G83" s="429" t="s">
        <v>55</v>
      </c>
      <c r="H83" s="15" t="s">
        <v>91</v>
      </c>
      <c r="I83" s="32" t="e">
        <f>#REF!</f>
        <v>#REF!</v>
      </c>
    </row>
    <row r="84" spans="1:14" ht="35.25" customHeight="1">
      <c r="A84" s="15" t="s">
        <v>44</v>
      </c>
      <c r="B84" s="21">
        <v>57</v>
      </c>
      <c r="C84" s="24" t="s">
        <v>44</v>
      </c>
      <c r="D84" s="25" t="s">
        <v>44</v>
      </c>
      <c r="E84" s="27" t="s">
        <v>44</v>
      </c>
      <c r="F84" s="430"/>
      <c r="G84" s="430"/>
      <c r="H84" s="15" t="s">
        <v>92</v>
      </c>
      <c r="I84" s="32" t="e">
        <f>#REF!</f>
        <v>#REF!</v>
      </c>
    </row>
    <row r="85" spans="1:14" ht="12" customHeight="1">
      <c r="A85" s="15" t="s">
        <v>44</v>
      </c>
      <c r="B85" s="21">
        <v>58</v>
      </c>
      <c r="C85" s="24" t="s">
        <v>44</v>
      </c>
      <c r="D85" s="25" t="s">
        <v>44</v>
      </c>
      <c r="E85" s="27" t="s">
        <v>44</v>
      </c>
      <c r="F85" s="396" t="s">
        <v>9</v>
      </c>
      <c r="G85" s="397"/>
      <c r="H85" s="398"/>
      <c r="I85" s="32" t="e">
        <f>#REF!</f>
        <v>#REF!</v>
      </c>
    </row>
    <row r="86" spans="1:14" ht="12" customHeight="1">
      <c r="A86" s="15" t="s">
        <v>44</v>
      </c>
      <c r="B86" s="21">
        <v>59</v>
      </c>
      <c r="C86" s="24" t="s">
        <v>44</v>
      </c>
      <c r="D86" s="25" t="s">
        <v>44</v>
      </c>
      <c r="E86" s="27" t="s">
        <v>44</v>
      </c>
      <c r="F86" s="396" t="s">
        <v>10</v>
      </c>
      <c r="G86" s="397"/>
      <c r="H86" s="398"/>
      <c r="I86" s="32" t="e">
        <f>#REF!</f>
        <v>#REF!</v>
      </c>
    </row>
    <row r="87" spans="1:14" ht="12" customHeight="1">
      <c r="A87" s="15" t="s">
        <v>44</v>
      </c>
      <c r="B87" s="21">
        <v>60</v>
      </c>
      <c r="C87" s="24" t="s">
        <v>44</v>
      </c>
      <c r="D87" s="25" t="s">
        <v>44</v>
      </c>
      <c r="E87" s="27" t="s">
        <v>44</v>
      </c>
      <c r="F87" s="396" t="s">
        <v>11</v>
      </c>
      <c r="G87" s="397"/>
      <c r="H87" s="398"/>
      <c r="I87" s="32" t="e">
        <f>#REF!</f>
        <v>#REF!</v>
      </c>
    </row>
    <row r="88" spans="1:14" ht="12" customHeight="1">
      <c r="A88" s="15" t="s">
        <v>44</v>
      </c>
      <c r="B88" s="21">
        <v>61</v>
      </c>
      <c r="C88" s="24" t="s">
        <v>44</v>
      </c>
      <c r="D88" s="25" t="s">
        <v>44</v>
      </c>
      <c r="E88" s="27" t="s">
        <v>44</v>
      </c>
      <c r="F88" s="396" t="s">
        <v>93</v>
      </c>
      <c r="G88" s="397"/>
      <c r="H88" s="398"/>
      <c r="I88" s="32"/>
    </row>
    <row r="89" spans="1:14" ht="12" customHeight="1">
      <c r="A89" s="15" t="s">
        <v>44</v>
      </c>
      <c r="B89" s="21">
        <v>62</v>
      </c>
      <c r="C89" s="28" t="s">
        <v>44</v>
      </c>
      <c r="D89" s="29" t="s">
        <v>44</v>
      </c>
      <c r="E89" s="30" t="s">
        <v>44</v>
      </c>
      <c r="F89" s="416" t="s">
        <v>94</v>
      </c>
      <c r="G89" s="417"/>
      <c r="H89" s="418"/>
      <c r="I89" s="32"/>
      <c r="J89" s="10"/>
    </row>
    <row r="90" spans="1:14" ht="12" customHeight="1">
      <c r="A90" s="15" t="s">
        <v>44</v>
      </c>
      <c r="B90" s="21">
        <v>62</v>
      </c>
      <c r="C90" s="28" t="s">
        <v>44</v>
      </c>
      <c r="D90" s="29" t="s">
        <v>44</v>
      </c>
      <c r="E90" s="30" t="s">
        <v>44</v>
      </c>
      <c r="F90" s="416"/>
      <c r="G90" s="417"/>
      <c r="H90" s="418"/>
      <c r="I90" s="39"/>
      <c r="J90" s="10"/>
    </row>
    <row r="91" spans="1:14" hidden="1">
      <c r="I91" s="33"/>
    </row>
    <row r="92" spans="1:14" ht="12" customHeight="1">
      <c r="A92" s="15" t="s">
        <v>44</v>
      </c>
      <c r="B92" s="21">
        <v>63</v>
      </c>
      <c r="C92" s="419" t="s">
        <v>95</v>
      </c>
      <c r="D92" s="420"/>
      <c r="E92" s="393" t="s">
        <v>5</v>
      </c>
      <c r="F92" s="394"/>
      <c r="G92" s="394"/>
      <c r="H92" s="395"/>
      <c r="I92" s="32"/>
    </row>
    <row r="93" spans="1:14" ht="12" customHeight="1">
      <c r="A93" s="15" t="s">
        <v>44</v>
      </c>
      <c r="B93" s="21">
        <v>64</v>
      </c>
      <c r="C93" s="24" t="s">
        <v>44</v>
      </c>
      <c r="D93" s="25" t="s">
        <v>44</v>
      </c>
      <c r="E93" s="429" t="s">
        <v>55</v>
      </c>
      <c r="F93" s="396" t="s">
        <v>44</v>
      </c>
      <c r="G93" s="397"/>
      <c r="H93" s="398"/>
      <c r="I93" s="32"/>
    </row>
    <row r="94" spans="1:14" ht="12" customHeight="1">
      <c r="A94" s="15" t="s">
        <v>44</v>
      </c>
      <c r="B94" s="21">
        <v>65</v>
      </c>
      <c r="C94" s="28" t="s">
        <v>44</v>
      </c>
      <c r="D94" s="29" t="s">
        <v>44</v>
      </c>
      <c r="E94" s="430"/>
      <c r="F94" s="416" t="s">
        <v>96</v>
      </c>
      <c r="G94" s="417"/>
      <c r="H94" s="418"/>
      <c r="I94" s="32"/>
      <c r="J94" s="10"/>
    </row>
    <row r="95" spans="1:14" hidden="1">
      <c r="I95" s="33"/>
    </row>
    <row r="96" spans="1:14" ht="12" customHeight="1">
      <c r="A96" s="15" t="s">
        <v>44</v>
      </c>
      <c r="B96" s="21">
        <v>66</v>
      </c>
      <c r="C96" s="419" t="s">
        <v>97</v>
      </c>
      <c r="D96" s="420"/>
      <c r="E96" s="393" t="s">
        <v>5</v>
      </c>
      <c r="F96" s="394"/>
      <c r="G96" s="394"/>
      <c r="H96" s="395"/>
      <c r="I96" s="32"/>
    </row>
    <row r="97" spans="1:10" ht="12" customHeight="1">
      <c r="A97" s="15" t="s">
        <v>44</v>
      </c>
      <c r="B97" s="21">
        <v>67</v>
      </c>
      <c r="C97" s="24" t="s">
        <v>44</v>
      </c>
      <c r="D97" s="25" t="s">
        <v>44</v>
      </c>
      <c r="E97" s="26" t="s">
        <v>55</v>
      </c>
      <c r="F97" s="396" t="s">
        <v>98</v>
      </c>
      <c r="G97" s="397"/>
      <c r="H97" s="398"/>
      <c r="I97" s="32"/>
    </row>
    <row r="98" spans="1:10" ht="12" customHeight="1">
      <c r="A98" s="15" t="s">
        <v>44</v>
      </c>
      <c r="B98" s="21">
        <v>68</v>
      </c>
      <c r="C98" s="24" t="s">
        <v>44</v>
      </c>
      <c r="D98" s="25" t="s">
        <v>44</v>
      </c>
      <c r="E98" s="27" t="s">
        <v>44</v>
      </c>
      <c r="F98" s="396" t="s">
        <v>99</v>
      </c>
      <c r="G98" s="397"/>
      <c r="H98" s="398"/>
      <c r="I98" s="32"/>
    </row>
    <row r="99" spans="1:10" ht="12" customHeight="1">
      <c r="A99" s="15" t="s">
        <v>44</v>
      </c>
      <c r="B99" s="21">
        <v>69</v>
      </c>
      <c r="C99" s="24" t="s">
        <v>44</v>
      </c>
      <c r="D99" s="25" t="s">
        <v>44</v>
      </c>
      <c r="E99" s="27" t="s">
        <v>44</v>
      </c>
      <c r="F99" s="396" t="s">
        <v>12</v>
      </c>
      <c r="G99" s="397"/>
      <c r="H99" s="398"/>
      <c r="I99" s="32" t="e">
        <f>#REF!</f>
        <v>#REF!</v>
      </c>
    </row>
    <row r="100" spans="1:10" ht="12" customHeight="1">
      <c r="A100" s="15" t="s">
        <v>44</v>
      </c>
      <c r="B100" s="21">
        <v>70</v>
      </c>
      <c r="C100" s="24" t="s">
        <v>44</v>
      </c>
      <c r="D100" s="25" t="s">
        <v>44</v>
      </c>
      <c r="E100" s="27" t="s">
        <v>44</v>
      </c>
      <c r="F100" s="396" t="s">
        <v>100</v>
      </c>
      <c r="G100" s="397"/>
      <c r="H100" s="398"/>
      <c r="I100" s="32"/>
    </row>
    <row r="101" spans="1:10" ht="12" customHeight="1">
      <c r="A101" s="15" t="s">
        <v>44</v>
      </c>
      <c r="B101" s="21">
        <v>71</v>
      </c>
      <c r="C101" s="28" t="s">
        <v>44</v>
      </c>
      <c r="D101" s="29" t="s">
        <v>44</v>
      </c>
      <c r="E101" s="30" t="s">
        <v>44</v>
      </c>
      <c r="F101" s="416" t="s">
        <v>44</v>
      </c>
      <c r="G101" s="417"/>
      <c r="H101" s="418"/>
      <c r="I101" s="32"/>
      <c r="J101" s="10"/>
    </row>
    <row r="102" spans="1:10" ht="12" customHeight="1">
      <c r="A102" s="15" t="s">
        <v>44</v>
      </c>
      <c r="B102" s="21">
        <v>71</v>
      </c>
      <c r="C102" s="28" t="s">
        <v>44</v>
      </c>
      <c r="D102" s="29" t="s">
        <v>44</v>
      </c>
      <c r="E102" s="30" t="s">
        <v>44</v>
      </c>
      <c r="F102" s="416" t="s">
        <v>44</v>
      </c>
      <c r="G102" s="417"/>
      <c r="H102" s="418"/>
      <c r="I102" s="32"/>
      <c r="J102" s="10"/>
    </row>
    <row r="103" spans="1:10" hidden="1">
      <c r="I103" s="33"/>
    </row>
    <row r="104" spans="1:10" ht="12" customHeight="1">
      <c r="A104" s="15" t="s">
        <v>44</v>
      </c>
      <c r="B104" s="21">
        <v>72</v>
      </c>
      <c r="C104" s="393" t="s">
        <v>19</v>
      </c>
      <c r="D104" s="394"/>
      <c r="E104" s="394"/>
      <c r="F104" s="394"/>
      <c r="G104" s="394"/>
      <c r="H104" s="395"/>
      <c r="I104" s="32" t="e">
        <f>#REF!</f>
        <v>#REF!</v>
      </c>
    </row>
    <row r="105" spans="1:10" ht="12" customHeight="1">
      <c r="A105" s="15" t="s">
        <v>44</v>
      </c>
      <c r="B105" s="21">
        <v>73</v>
      </c>
      <c r="C105" s="393" t="s">
        <v>101</v>
      </c>
      <c r="D105" s="394"/>
      <c r="E105" s="394"/>
      <c r="F105" s="394"/>
      <c r="G105" s="394"/>
      <c r="H105" s="395"/>
      <c r="I105" s="32"/>
    </row>
    <row r="106" spans="1:10" ht="12" customHeight="1">
      <c r="A106" s="15" t="s">
        <v>44</v>
      </c>
      <c r="B106" s="21">
        <v>74</v>
      </c>
      <c r="C106" s="419" t="s">
        <v>102</v>
      </c>
      <c r="D106" s="420"/>
      <c r="E106" s="393" t="s">
        <v>5</v>
      </c>
      <c r="F106" s="394"/>
      <c r="G106" s="394"/>
      <c r="H106" s="395"/>
      <c r="I106" s="32"/>
    </row>
    <row r="107" spans="1:10" ht="18.75" customHeight="1">
      <c r="A107" s="15" t="s">
        <v>44</v>
      </c>
      <c r="B107" s="21">
        <v>75</v>
      </c>
      <c r="C107" s="421"/>
      <c r="D107" s="422"/>
      <c r="E107" s="26" t="s">
        <v>55</v>
      </c>
      <c r="F107" s="396" t="s">
        <v>13</v>
      </c>
      <c r="G107" s="397"/>
      <c r="H107" s="398"/>
      <c r="I107" s="32" t="e">
        <f>#REF!</f>
        <v>#REF!</v>
      </c>
    </row>
    <row r="108" spans="1:10" ht="18" customHeight="1">
      <c r="A108" s="15" t="s">
        <v>44</v>
      </c>
      <c r="B108" s="21">
        <v>76</v>
      </c>
      <c r="C108" s="28" t="s">
        <v>44</v>
      </c>
      <c r="D108" s="29" t="s">
        <v>44</v>
      </c>
      <c r="E108" s="30" t="s">
        <v>44</v>
      </c>
      <c r="F108" s="416" t="s">
        <v>103</v>
      </c>
      <c r="G108" s="417"/>
      <c r="H108" s="418"/>
      <c r="I108" s="32" t="e">
        <f>#REF!</f>
        <v>#REF!</v>
      </c>
      <c r="J108" s="10"/>
    </row>
    <row r="109" spans="1:10" ht="18.75" customHeight="1">
      <c r="A109" s="15" t="s">
        <v>44</v>
      </c>
      <c r="B109" s="21">
        <v>76</v>
      </c>
      <c r="C109" s="28" t="s">
        <v>44</v>
      </c>
      <c r="D109" s="29" t="s">
        <v>44</v>
      </c>
      <c r="E109" s="30" t="s">
        <v>44</v>
      </c>
      <c r="F109" s="416" t="s">
        <v>104</v>
      </c>
      <c r="G109" s="417"/>
      <c r="H109" s="418"/>
      <c r="I109" s="32" t="e">
        <f>#REF!</f>
        <v>#REF!</v>
      </c>
      <c r="J109" s="10"/>
    </row>
    <row r="110" spans="1:10" ht="18" customHeight="1">
      <c r="A110" s="15" t="s">
        <v>44</v>
      </c>
      <c r="B110" s="21">
        <v>76</v>
      </c>
      <c r="C110" s="28" t="s">
        <v>44</v>
      </c>
      <c r="D110" s="29" t="s">
        <v>44</v>
      </c>
      <c r="E110" s="30" t="s">
        <v>44</v>
      </c>
      <c r="F110" s="416" t="s">
        <v>8</v>
      </c>
      <c r="G110" s="417"/>
      <c r="H110" s="418"/>
      <c r="I110" s="32" t="e">
        <f>#REF!</f>
        <v>#REF!</v>
      </c>
      <c r="J110" s="10"/>
    </row>
    <row r="111" spans="1:10" hidden="1">
      <c r="I111" s="33"/>
    </row>
    <row r="112" spans="1:10" ht="12" customHeight="1">
      <c r="A112" s="15" t="s">
        <v>44</v>
      </c>
      <c r="B112" s="21">
        <v>77</v>
      </c>
      <c r="C112" s="419" t="s">
        <v>105</v>
      </c>
      <c r="D112" s="420"/>
      <c r="E112" s="393" t="s">
        <v>5</v>
      </c>
      <c r="F112" s="394"/>
      <c r="G112" s="394"/>
      <c r="H112" s="395"/>
      <c r="I112" s="32"/>
    </row>
    <row r="113" spans="1:9" ht="12" customHeight="1">
      <c r="A113" s="15" t="s">
        <v>44</v>
      </c>
      <c r="B113" s="21">
        <v>78</v>
      </c>
      <c r="C113" s="24" t="s">
        <v>44</v>
      </c>
      <c r="D113" s="25" t="s">
        <v>44</v>
      </c>
      <c r="E113" s="26" t="s">
        <v>55</v>
      </c>
      <c r="F113" s="396" t="s">
        <v>106</v>
      </c>
      <c r="G113" s="397"/>
      <c r="H113" s="398"/>
      <c r="I113" s="32" t="e">
        <f>#REF!</f>
        <v>#REF!</v>
      </c>
    </row>
    <row r="114" spans="1:9" ht="12" customHeight="1">
      <c r="A114" s="15" t="s">
        <v>44</v>
      </c>
      <c r="B114" s="21">
        <v>79</v>
      </c>
      <c r="C114" s="28" t="s">
        <v>44</v>
      </c>
      <c r="D114" s="29" t="s">
        <v>44</v>
      </c>
      <c r="E114" s="30" t="s">
        <v>44</v>
      </c>
      <c r="F114" s="396" t="s">
        <v>107</v>
      </c>
      <c r="G114" s="397"/>
      <c r="H114" s="398"/>
      <c r="I114" s="32"/>
    </row>
    <row r="115" spans="1:9" ht="12" customHeight="1">
      <c r="A115" s="15" t="s">
        <v>44</v>
      </c>
      <c r="B115" s="21">
        <v>80</v>
      </c>
      <c r="C115" s="393" t="s">
        <v>108</v>
      </c>
      <c r="D115" s="394"/>
      <c r="E115" s="394"/>
      <c r="F115" s="394"/>
      <c r="G115" s="394"/>
      <c r="H115" s="395"/>
      <c r="I115" s="32"/>
    </row>
    <row r="116" spans="1:9" ht="12" customHeight="1">
      <c r="A116" s="15" t="s">
        <v>44</v>
      </c>
      <c r="B116" s="21">
        <v>81</v>
      </c>
      <c r="C116" s="419" t="s">
        <v>109</v>
      </c>
      <c r="D116" s="420"/>
      <c r="E116" s="393" t="s">
        <v>5</v>
      </c>
      <c r="F116" s="394"/>
      <c r="G116" s="394"/>
      <c r="H116" s="395"/>
      <c r="I116" s="32"/>
    </row>
    <row r="117" spans="1:9" ht="12" customHeight="1">
      <c r="A117" s="15" t="s">
        <v>44</v>
      </c>
      <c r="B117" s="21">
        <v>82</v>
      </c>
      <c r="C117" s="421"/>
      <c r="D117" s="422"/>
      <c r="E117" s="26" t="s">
        <v>55</v>
      </c>
      <c r="F117" s="396" t="s">
        <v>110</v>
      </c>
      <c r="G117" s="397"/>
      <c r="H117" s="398"/>
      <c r="I117" s="32"/>
    </row>
    <row r="118" spans="1:9" ht="12" customHeight="1">
      <c r="A118" s="15" t="s">
        <v>44</v>
      </c>
      <c r="B118" s="21">
        <v>83</v>
      </c>
      <c r="C118" s="24" t="s">
        <v>44</v>
      </c>
      <c r="D118" s="25" t="s">
        <v>44</v>
      </c>
      <c r="E118" s="27" t="s">
        <v>44</v>
      </c>
      <c r="F118" s="396" t="s">
        <v>111</v>
      </c>
      <c r="G118" s="397"/>
      <c r="H118" s="398"/>
      <c r="I118" s="32"/>
    </row>
    <row r="119" spans="1:9" hidden="1">
      <c r="I119" s="33"/>
    </row>
    <row r="120" spans="1:9" ht="12" customHeight="1">
      <c r="A120" s="15" t="s">
        <v>44</v>
      </c>
      <c r="B120" s="21">
        <v>85</v>
      </c>
      <c r="C120" s="419" t="s">
        <v>112</v>
      </c>
      <c r="D120" s="420"/>
      <c r="E120" s="393" t="s">
        <v>5</v>
      </c>
      <c r="F120" s="394"/>
      <c r="G120" s="394"/>
      <c r="H120" s="395"/>
      <c r="I120" s="32"/>
    </row>
    <row r="121" spans="1:9" ht="12" customHeight="1">
      <c r="A121" s="15" t="s">
        <v>44</v>
      </c>
      <c r="B121" s="21">
        <v>86</v>
      </c>
      <c r="C121" s="421"/>
      <c r="D121" s="422"/>
      <c r="E121" s="26" t="s">
        <v>55</v>
      </c>
      <c r="F121" s="396" t="s">
        <v>113</v>
      </c>
      <c r="G121" s="397"/>
      <c r="H121" s="398"/>
      <c r="I121" s="32"/>
    </row>
    <row r="122" spans="1:9" ht="12" customHeight="1">
      <c r="A122" s="15" t="s">
        <v>44</v>
      </c>
      <c r="B122" s="21">
        <v>87</v>
      </c>
      <c r="C122" s="24" t="s">
        <v>44</v>
      </c>
      <c r="D122" s="25" t="s">
        <v>44</v>
      </c>
      <c r="E122" s="27" t="s">
        <v>44</v>
      </c>
      <c r="F122" s="396" t="s">
        <v>111</v>
      </c>
      <c r="G122" s="397"/>
      <c r="H122" s="398"/>
      <c r="I122" s="32"/>
    </row>
    <row r="123" spans="1:9" ht="12" customHeight="1">
      <c r="A123" s="15" t="s">
        <v>44</v>
      </c>
      <c r="B123" s="21">
        <v>88</v>
      </c>
      <c r="C123" s="24" t="s">
        <v>44</v>
      </c>
      <c r="D123" s="25" t="s">
        <v>44</v>
      </c>
      <c r="E123" s="27" t="s">
        <v>44</v>
      </c>
      <c r="F123" s="396" t="s">
        <v>114</v>
      </c>
      <c r="G123" s="397"/>
      <c r="H123" s="398"/>
      <c r="I123" s="32"/>
    </row>
    <row r="124" spans="1:9" ht="12" customHeight="1">
      <c r="A124" s="15" t="s">
        <v>44</v>
      </c>
      <c r="B124" s="21">
        <v>89</v>
      </c>
      <c r="C124" s="24" t="s">
        <v>44</v>
      </c>
      <c r="D124" s="25" t="s">
        <v>44</v>
      </c>
      <c r="E124" s="27" t="s">
        <v>44</v>
      </c>
      <c r="F124" s="396" t="s">
        <v>115</v>
      </c>
      <c r="G124" s="397"/>
      <c r="H124" s="398"/>
      <c r="I124" s="32"/>
    </row>
    <row r="125" spans="1:9" hidden="1">
      <c r="I125" s="33"/>
    </row>
    <row r="126" spans="1:9" ht="12" customHeight="1">
      <c r="A126" s="15" t="s">
        <v>44</v>
      </c>
      <c r="B126" s="21">
        <v>91</v>
      </c>
      <c r="C126" s="393" t="s">
        <v>116</v>
      </c>
      <c r="D126" s="394"/>
      <c r="E126" s="394"/>
      <c r="F126" s="394"/>
      <c r="G126" s="394"/>
      <c r="H126" s="395"/>
      <c r="I126" s="32"/>
    </row>
    <row r="127" spans="1:9" ht="12" customHeight="1">
      <c r="A127" s="15" t="s">
        <v>44</v>
      </c>
      <c r="B127" s="21">
        <v>92</v>
      </c>
      <c r="C127" s="419" t="s">
        <v>117</v>
      </c>
      <c r="D127" s="420"/>
      <c r="E127" s="393" t="s">
        <v>5</v>
      </c>
      <c r="F127" s="394"/>
      <c r="G127" s="394"/>
      <c r="H127" s="395"/>
      <c r="I127" s="32"/>
    </row>
    <row r="128" spans="1:9" ht="12" customHeight="1">
      <c r="A128" s="15" t="s">
        <v>44</v>
      </c>
      <c r="B128" s="21">
        <v>93</v>
      </c>
      <c r="C128" s="421"/>
      <c r="D128" s="422"/>
      <c r="E128" s="26" t="s">
        <v>55</v>
      </c>
      <c r="F128" s="444" t="s">
        <v>44</v>
      </c>
      <c r="G128" s="445"/>
      <c r="H128" s="446"/>
      <c r="I128" s="40"/>
    </row>
    <row r="129" spans="1:14" hidden="1">
      <c r="I129" s="33"/>
    </row>
    <row r="130" spans="1:14" ht="12" customHeight="1">
      <c r="A130" s="15" t="s">
        <v>44</v>
      </c>
      <c r="B130" s="21">
        <v>95</v>
      </c>
      <c r="C130" s="393" t="s">
        <v>118</v>
      </c>
      <c r="D130" s="394"/>
      <c r="E130" s="394"/>
      <c r="F130" s="394"/>
      <c r="G130" s="394"/>
      <c r="H130" s="395"/>
      <c r="I130" s="32"/>
    </row>
    <row r="131" spans="1:14" ht="12" customHeight="1">
      <c r="A131" s="15" t="s">
        <v>44</v>
      </c>
      <c r="B131" s="21">
        <v>96</v>
      </c>
      <c r="C131" s="393" t="s">
        <v>119</v>
      </c>
      <c r="D131" s="394"/>
      <c r="E131" s="394"/>
      <c r="F131" s="394"/>
      <c r="G131" s="394"/>
      <c r="H131" s="395"/>
      <c r="I131" s="32"/>
    </row>
    <row r="132" spans="1:14" ht="12" customHeight="1">
      <c r="A132" s="15" t="s">
        <v>44</v>
      </c>
      <c r="B132" s="21">
        <v>97</v>
      </c>
      <c r="C132" s="419" t="s">
        <v>120</v>
      </c>
      <c r="D132" s="420"/>
      <c r="E132" s="393" t="s">
        <v>5</v>
      </c>
      <c r="F132" s="394"/>
      <c r="G132" s="394"/>
      <c r="H132" s="395"/>
      <c r="I132" s="32"/>
    </row>
    <row r="133" spans="1:14" ht="12" customHeight="1">
      <c r="A133" s="15" t="s">
        <v>44</v>
      </c>
      <c r="B133" s="21">
        <v>98</v>
      </c>
      <c r="C133" s="421"/>
      <c r="D133" s="422"/>
      <c r="E133" s="26" t="s">
        <v>55</v>
      </c>
      <c r="F133" s="396" t="s">
        <v>121</v>
      </c>
      <c r="G133" s="397"/>
      <c r="H133" s="398"/>
      <c r="I133" s="32"/>
    </row>
    <row r="134" spans="1:14" ht="12" customHeight="1">
      <c r="A134" s="15" t="s">
        <v>44</v>
      </c>
      <c r="B134" s="21">
        <v>99</v>
      </c>
      <c r="C134" s="421"/>
      <c r="D134" s="422"/>
      <c r="E134" s="27" t="s">
        <v>44</v>
      </c>
      <c r="F134" s="396" t="s">
        <v>122</v>
      </c>
      <c r="G134" s="397"/>
      <c r="H134" s="398"/>
      <c r="I134" s="32"/>
    </row>
    <row r="135" spans="1:14" ht="12" customHeight="1">
      <c r="A135" s="15" t="s">
        <v>44</v>
      </c>
      <c r="B135" s="21">
        <v>100</v>
      </c>
      <c r="C135" s="421"/>
      <c r="D135" s="422"/>
      <c r="E135" s="27" t="s">
        <v>44</v>
      </c>
      <c r="F135" s="396" t="s">
        <v>123</v>
      </c>
      <c r="G135" s="397"/>
      <c r="H135" s="398"/>
      <c r="I135" s="32"/>
    </row>
    <row r="136" spans="1:14" ht="12" customHeight="1">
      <c r="A136" s="15" t="s">
        <v>44</v>
      </c>
      <c r="B136" s="21">
        <v>101</v>
      </c>
      <c r="C136" s="24" t="s">
        <v>44</v>
      </c>
      <c r="D136" s="25" t="s">
        <v>44</v>
      </c>
      <c r="E136" s="27" t="s">
        <v>44</v>
      </c>
      <c r="F136" s="396" t="s">
        <v>124</v>
      </c>
      <c r="G136" s="397"/>
      <c r="H136" s="398"/>
      <c r="I136" s="32"/>
    </row>
    <row r="137" spans="1:14" ht="12" customHeight="1">
      <c r="A137" s="15" t="s">
        <v>44</v>
      </c>
      <c r="B137" s="21">
        <v>102</v>
      </c>
      <c r="C137" s="24" t="s">
        <v>44</v>
      </c>
      <c r="D137" s="25" t="s">
        <v>44</v>
      </c>
      <c r="E137" s="27" t="s">
        <v>44</v>
      </c>
      <c r="F137" s="396" t="s">
        <v>125</v>
      </c>
      <c r="G137" s="397"/>
      <c r="H137" s="398"/>
      <c r="I137" s="32"/>
    </row>
    <row r="138" spans="1:14" ht="12" customHeight="1">
      <c r="A138" s="15" t="s">
        <v>44</v>
      </c>
      <c r="B138" s="21">
        <v>103</v>
      </c>
      <c r="C138" s="24" t="s">
        <v>44</v>
      </c>
      <c r="D138" s="25" t="s">
        <v>44</v>
      </c>
      <c r="E138" s="27" t="s">
        <v>44</v>
      </c>
      <c r="F138" s="396" t="s">
        <v>126</v>
      </c>
      <c r="G138" s="397"/>
      <c r="H138" s="398"/>
      <c r="I138" s="32"/>
    </row>
    <row r="139" spans="1:14" hidden="1">
      <c r="I139" s="33"/>
    </row>
    <row r="140" spans="1:14" ht="12" customHeight="1">
      <c r="A140" s="15" t="s">
        <v>44</v>
      </c>
      <c r="B140" s="21">
        <v>105</v>
      </c>
      <c r="C140" s="423" t="s">
        <v>127</v>
      </c>
      <c r="D140" s="424"/>
      <c r="E140" s="393" t="s">
        <v>5</v>
      </c>
      <c r="F140" s="394"/>
      <c r="G140" s="394"/>
      <c r="H140" s="395"/>
      <c r="I140" s="32"/>
    </row>
    <row r="141" spans="1:14" ht="12" customHeight="1">
      <c r="A141" s="15" t="s">
        <v>44</v>
      </c>
      <c r="B141" s="21">
        <v>106</v>
      </c>
      <c r="C141" s="425"/>
      <c r="D141" s="426"/>
      <c r="E141" s="429" t="s">
        <v>55</v>
      </c>
      <c r="F141" s="396" t="s">
        <v>128</v>
      </c>
      <c r="G141" s="397"/>
      <c r="H141" s="398"/>
      <c r="I141" s="32" t="e">
        <f>#REF!+#REF!</f>
        <v>#REF!</v>
      </c>
    </row>
    <row r="142" spans="1:14" ht="12" customHeight="1">
      <c r="A142" s="15" t="s">
        <v>44</v>
      </c>
      <c r="B142" s="21">
        <v>107</v>
      </c>
      <c r="C142" s="427"/>
      <c r="D142" s="428"/>
      <c r="E142" s="430"/>
      <c r="F142" s="396" t="s">
        <v>129</v>
      </c>
      <c r="G142" s="397"/>
      <c r="H142" s="398"/>
      <c r="I142" s="32" t="e">
        <f>#REF!</f>
        <v>#REF!</v>
      </c>
      <c r="N142" s="35"/>
    </row>
    <row r="143" spans="1:14" ht="12" customHeight="1">
      <c r="A143" s="15" t="s">
        <v>44</v>
      </c>
      <c r="B143" s="21">
        <v>108</v>
      </c>
      <c r="C143" s="393" t="s">
        <v>22</v>
      </c>
      <c r="D143" s="394"/>
      <c r="E143" s="394"/>
      <c r="F143" s="394"/>
      <c r="G143" s="394"/>
      <c r="H143" s="395"/>
      <c r="I143" s="32" t="e">
        <f>#REF!</f>
        <v>#REF!</v>
      </c>
      <c r="N143" s="41"/>
    </row>
    <row r="144" spans="1:14" ht="12" customHeight="1">
      <c r="A144" s="15" t="s">
        <v>44</v>
      </c>
      <c r="B144" s="21">
        <v>109</v>
      </c>
      <c r="C144" s="22" t="s">
        <v>130</v>
      </c>
      <c r="D144" s="23" t="s">
        <v>44</v>
      </c>
      <c r="E144" s="393" t="s">
        <v>5</v>
      </c>
      <c r="F144" s="394"/>
      <c r="G144" s="394"/>
      <c r="H144" s="395"/>
      <c r="I144" s="32"/>
    </row>
    <row r="145" spans="1:10" ht="12" customHeight="1">
      <c r="A145" s="15" t="s">
        <v>44</v>
      </c>
      <c r="B145" s="21">
        <v>110</v>
      </c>
      <c r="C145" s="24" t="s">
        <v>44</v>
      </c>
      <c r="D145" s="25" t="s">
        <v>44</v>
      </c>
      <c r="E145" s="26" t="s">
        <v>55</v>
      </c>
      <c r="F145" s="396" t="s">
        <v>131</v>
      </c>
      <c r="G145" s="397"/>
      <c r="H145" s="398"/>
      <c r="I145" s="32" t="e">
        <f>#REF!</f>
        <v>#REF!</v>
      </c>
    </row>
    <row r="146" spans="1:10" ht="12" customHeight="1">
      <c r="A146" s="15" t="s">
        <v>44</v>
      </c>
      <c r="B146" s="21">
        <v>111</v>
      </c>
      <c r="C146" s="24" t="s">
        <v>44</v>
      </c>
      <c r="D146" s="25" t="s">
        <v>44</v>
      </c>
      <c r="E146" s="27" t="s">
        <v>44</v>
      </c>
      <c r="F146" s="396" t="s">
        <v>132</v>
      </c>
      <c r="G146" s="397"/>
      <c r="H146" s="398"/>
      <c r="I146" s="32" t="e">
        <f>#REF!</f>
        <v>#REF!</v>
      </c>
    </row>
    <row r="147" spans="1:10" ht="12" customHeight="1">
      <c r="A147" s="15" t="s">
        <v>44</v>
      </c>
      <c r="B147" s="21">
        <v>112</v>
      </c>
      <c r="C147" s="24" t="s">
        <v>44</v>
      </c>
      <c r="D147" s="25" t="s">
        <v>44</v>
      </c>
      <c r="E147" s="27" t="s">
        <v>44</v>
      </c>
      <c r="F147" s="396" t="s">
        <v>64</v>
      </c>
      <c r="G147" s="397"/>
      <c r="H147" s="398"/>
      <c r="I147" s="32"/>
    </row>
    <row r="148" spans="1:10" ht="12" customHeight="1">
      <c r="A148" s="15" t="s">
        <v>44</v>
      </c>
      <c r="B148" s="21">
        <v>113</v>
      </c>
      <c r="C148" s="28" t="s">
        <v>44</v>
      </c>
      <c r="D148" s="29" t="s">
        <v>44</v>
      </c>
      <c r="E148" s="30" t="s">
        <v>44</v>
      </c>
      <c r="F148" s="416" t="s">
        <v>133</v>
      </c>
      <c r="G148" s="417"/>
      <c r="H148" s="418"/>
      <c r="I148" s="32" t="e">
        <f>#REF!</f>
        <v>#REF!</v>
      </c>
      <c r="J148" s="10"/>
    </row>
    <row r="149" spans="1:10" ht="12" customHeight="1">
      <c r="A149" s="15" t="s">
        <v>44</v>
      </c>
      <c r="B149" s="21">
        <v>113</v>
      </c>
      <c r="C149" s="28" t="s">
        <v>44</v>
      </c>
      <c r="D149" s="29" t="s">
        <v>44</v>
      </c>
      <c r="E149" s="30" t="s">
        <v>44</v>
      </c>
      <c r="F149" s="416" t="s">
        <v>134</v>
      </c>
      <c r="G149" s="417"/>
      <c r="H149" s="418"/>
      <c r="I149" s="32" t="e">
        <f>#REF!</f>
        <v>#REF!</v>
      </c>
      <c r="J149" s="10"/>
    </row>
    <row r="150" spans="1:10" ht="12" customHeight="1">
      <c r="A150" s="15" t="s">
        <v>44</v>
      </c>
      <c r="B150" s="21">
        <v>113</v>
      </c>
      <c r="C150" s="28" t="s">
        <v>44</v>
      </c>
      <c r="D150" s="29" t="s">
        <v>44</v>
      </c>
      <c r="E150" s="30" t="s">
        <v>44</v>
      </c>
      <c r="F150" s="416" t="s">
        <v>135</v>
      </c>
      <c r="G150" s="417"/>
      <c r="H150" s="418"/>
      <c r="I150" s="32"/>
      <c r="J150" s="10"/>
    </row>
    <row r="151" spans="1:10" ht="12" customHeight="1">
      <c r="A151" s="15" t="s">
        <v>44</v>
      </c>
      <c r="B151" s="21">
        <v>113</v>
      </c>
      <c r="C151" s="28" t="s">
        <v>44</v>
      </c>
      <c r="D151" s="29" t="s">
        <v>44</v>
      </c>
      <c r="E151" s="30" t="s">
        <v>44</v>
      </c>
      <c r="F151" s="416" t="s">
        <v>136</v>
      </c>
      <c r="G151" s="417"/>
      <c r="H151" s="418"/>
      <c r="I151" s="32" t="e">
        <f>#REF!</f>
        <v>#REF!</v>
      </c>
      <c r="J151" s="10"/>
    </row>
    <row r="152" spans="1:10" hidden="1">
      <c r="I152" s="33"/>
    </row>
    <row r="153" spans="1:10" ht="12" customHeight="1">
      <c r="A153" s="15" t="s">
        <v>44</v>
      </c>
      <c r="B153" s="21">
        <v>114</v>
      </c>
      <c r="C153" s="419" t="s">
        <v>137</v>
      </c>
      <c r="D153" s="420"/>
      <c r="E153" s="393" t="s">
        <v>5</v>
      </c>
      <c r="F153" s="394"/>
      <c r="G153" s="394"/>
      <c r="H153" s="395"/>
      <c r="I153" s="32"/>
    </row>
    <row r="154" spans="1:10" ht="12" customHeight="1">
      <c r="A154" s="15" t="s">
        <v>44</v>
      </c>
      <c r="B154" s="21">
        <v>115</v>
      </c>
      <c r="C154" s="421"/>
      <c r="D154" s="422"/>
      <c r="E154" s="26" t="s">
        <v>55</v>
      </c>
      <c r="F154" s="444" t="s">
        <v>44</v>
      </c>
      <c r="G154" s="445"/>
      <c r="H154" s="446"/>
      <c r="I154" s="40"/>
    </row>
    <row r="155" spans="1:10" ht="12" customHeight="1">
      <c r="A155" s="15" t="s">
        <v>44</v>
      </c>
      <c r="B155" s="21">
        <v>116</v>
      </c>
      <c r="C155" s="28" t="s">
        <v>44</v>
      </c>
      <c r="D155" s="29" t="s">
        <v>44</v>
      </c>
      <c r="E155" s="30" t="s">
        <v>44</v>
      </c>
      <c r="F155" s="416" t="s">
        <v>4</v>
      </c>
      <c r="G155" s="417"/>
      <c r="H155" s="418"/>
      <c r="I155" s="32"/>
      <c r="J155" s="10"/>
    </row>
    <row r="156" spans="1:10" ht="30.75" customHeight="1">
      <c r="A156" s="15" t="s">
        <v>44</v>
      </c>
      <c r="B156" s="21">
        <v>116</v>
      </c>
      <c r="C156" s="28" t="s">
        <v>44</v>
      </c>
      <c r="D156" s="29" t="s">
        <v>44</v>
      </c>
      <c r="E156" s="30" t="s">
        <v>44</v>
      </c>
      <c r="F156" s="416" t="s">
        <v>138</v>
      </c>
      <c r="G156" s="417"/>
      <c r="H156" s="418"/>
      <c r="I156" s="32"/>
      <c r="J156" s="10"/>
    </row>
    <row r="157" spans="1:10" ht="12" customHeight="1">
      <c r="A157" s="15" t="s">
        <v>44</v>
      </c>
      <c r="B157" s="21">
        <v>116</v>
      </c>
      <c r="C157" s="28" t="s">
        <v>44</v>
      </c>
      <c r="D157" s="29" t="s">
        <v>44</v>
      </c>
      <c r="E157" s="30" t="s">
        <v>44</v>
      </c>
      <c r="F157" s="416" t="s">
        <v>139</v>
      </c>
      <c r="G157" s="417"/>
      <c r="H157" s="418"/>
      <c r="I157" s="32" t="e">
        <f>#REF!</f>
        <v>#REF!</v>
      </c>
      <c r="J157" s="10"/>
    </row>
    <row r="158" spans="1:10" ht="12" customHeight="1">
      <c r="A158" s="15" t="s">
        <v>44</v>
      </c>
      <c r="B158" s="21">
        <v>116</v>
      </c>
      <c r="C158" s="28" t="s">
        <v>44</v>
      </c>
      <c r="D158" s="29" t="s">
        <v>44</v>
      </c>
      <c r="E158" s="30" t="s">
        <v>44</v>
      </c>
      <c r="F158" s="416"/>
      <c r="G158" s="417"/>
      <c r="H158" s="418"/>
      <c r="I158" s="32"/>
      <c r="J158" s="10"/>
    </row>
    <row r="159" spans="1:10" hidden="1">
      <c r="I159" s="33"/>
    </row>
    <row r="160" spans="1:10" ht="12" customHeight="1">
      <c r="A160" s="15" t="s">
        <v>44</v>
      </c>
      <c r="B160" s="21">
        <v>117</v>
      </c>
      <c r="C160" s="393" t="s">
        <v>140</v>
      </c>
      <c r="D160" s="394"/>
      <c r="E160" s="394"/>
      <c r="F160" s="394"/>
      <c r="G160" s="394"/>
      <c r="H160" s="395"/>
      <c r="I160" s="32"/>
    </row>
    <row r="161" spans="1:9" ht="12" customHeight="1">
      <c r="A161" s="15" t="s">
        <v>44</v>
      </c>
      <c r="B161" s="21">
        <v>118</v>
      </c>
      <c r="C161" s="393" t="s">
        <v>141</v>
      </c>
      <c r="D161" s="394"/>
      <c r="E161" s="394"/>
      <c r="F161" s="394"/>
      <c r="G161" s="394"/>
      <c r="H161" s="395"/>
      <c r="I161" s="42" t="e">
        <f>#REF!+#REF!</f>
        <v>#REF!</v>
      </c>
    </row>
    <row r="162" spans="1:9" ht="12" customHeight="1">
      <c r="A162" s="15" t="s">
        <v>44</v>
      </c>
      <c r="B162" s="21">
        <v>119</v>
      </c>
      <c r="C162" s="393" t="s">
        <v>142</v>
      </c>
      <c r="D162" s="394"/>
      <c r="E162" s="394"/>
      <c r="F162" s="394"/>
      <c r="G162" s="394"/>
      <c r="H162" s="395"/>
      <c r="I162" s="32"/>
    </row>
    <row r="163" spans="1:9" ht="12" customHeight="1">
      <c r="A163" s="15" t="s">
        <v>44</v>
      </c>
      <c r="B163" s="21">
        <v>120</v>
      </c>
      <c r="C163" s="393" t="s">
        <v>143</v>
      </c>
      <c r="D163" s="394"/>
      <c r="E163" s="394"/>
      <c r="F163" s="394"/>
      <c r="G163" s="394"/>
      <c r="H163" s="395"/>
      <c r="I163" s="32"/>
    </row>
    <row r="164" spans="1:9" ht="12" customHeight="1">
      <c r="A164" s="15" t="s">
        <v>44</v>
      </c>
      <c r="B164" s="21">
        <v>121</v>
      </c>
      <c r="C164" s="393" t="s">
        <v>144</v>
      </c>
      <c r="D164" s="394"/>
      <c r="E164" s="394"/>
      <c r="F164" s="394"/>
      <c r="G164" s="394"/>
      <c r="H164" s="395"/>
      <c r="I164" s="32" t="e">
        <f>#REF!</f>
        <v>#REF!</v>
      </c>
    </row>
    <row r="165" spans="1:9" ht="12" customHeight="1">
      <c r="A165" s="15" t="s">
        <v>44</v>
      </c>
      <c r="B165" s="21">
        <v>122</v>
      </c>
      <c r="C165" s="419" t="s">
        <v>145</v>
      </c>
      <c r="D165" s="420"/>
      <c r="E165" s="393" t="s">
        <v>5</v>
      </c>
      <c r="F165" s="394"/>
      <c r="G165" s="394"/>
      <c r="H165" s="395"/>
      <c r="I165" s="32"/>
    </row>
    <row r="166" spans="1:9" ht="12" customHeight="1">
      <c r="A166" s="15" t="s">
        <v>44</v>
      </c>
      <c r="B166" s="21">
        <v>123</v>
      </c>
      <c r="C166" s="421"/>
      <c r="D166" s="422"/>
      <c r="E166" s="26" t="s">
        <v>55</v>
      </c>
      <c r="F166" s="396" t="s">
        <v>146</v>
      </c>
      <c r="G166" s="397"/>
      <c r="H166" s="398"/>
      <c r="I166" s="32"/>
    </row>
    <row r="167" spans="1:9" ht="12" customHeight="1">
      <c r="A167" s="15" t="s">
        <v>44</v>
      </c>
      <c r="B167" s="21">
        <v>124</v>
      </c>
      <c r="C167" s="24" t="s">
        <v>44</v>
      </c>
      <c r="D167" s="25" t="s">
        <v>44</v>
      </c>
      <c r="E167" s="27" t="s">
        <v>44</v>
      </c>
      <c r="F167" s="396" t="s">
        <v>147</v>
      </c>
      <c r="G167" s="397"/>
      <c r="H167" s="398"/>
      <c r="I167" s="32" t="e">
        <f>#REF!</f>
        <v>#REF!</v>
      </c>
    </row>
    <row r="168" spans="1:9" ht="12" customHeight="1">
      <c r="A168" s="15" t="s">
        <v>44</v>
      </c>
      <c r="B168" s="21">
        <v>125</v>
      </c>
      <c r="C168" s="24" t="s">
        <v>44</v>
      </c>
      <c r="D168" s="25" t="s">
        <v>44</v>
      </c>
      <c r="E168" s="27" t="s">
        <v>44</v>
      </c>
      <c r="F168" s="396" t="s">
        <v>148</v>
      </c>
      <c r="G168" s="397"/>
      <c r="H168" s="398"/>
      <c r="I168" s="32" t="e">
        <f>#REF!</f>
        <v>#REF!</v>
      </c>
    </row>
    <row r="169" spans="1:9" hidden="1">
      <c r="I169" s="33"/>
    </row>
    <row r="170" spans="1:9" ht="12" customHeight="1">
      <c r="A170" s="15" t="s">
        <v>44</v>
      </c>
      <c r="B170" s="21">
        <v>127</v>
      </c>
      <c r="C170" s="393" t="s">
        <v>17</v>
      </c>
      <c r="D170" s="394"/>
      <c r="E170" s="394"/>
      <c r="F170" s="394"/>
      <c r="G170" s="394"/>
      <c r="H170" s="395"/>
      <c r="I170" s="32" t="e">
        <f>#REF!</f>
        <v>#REF!</v>
      </c>
    </row>
    <row r="171" spans="1:9" ht="12" customHeight="1">
      <c r="A171" s="15" t="s">
        <v>44</v>
      </c>
      <c r="B171" s="21">
        <v>128</v>
      </c>
      <c r="C171" s="393" t="s">
        <v>149</v>
      </c>
      <c r="D171" s="394"/>
      <c r="E171" s="394"/>
      <c r="F171" s="394"/>
      <c r="G171" s="394"/>
      <c r="H171" s="395"/>
      <c r="I171" s="32"/>
    </row>
    <row r="172" spans="1:9" ht="12" customHeight="1">
      <c r="A172" s="15" t="s">
        <v>44</v>
      </c>
      <c r="B172" s="21">
        <v>129</v>
      </c>
      <c r="C172" s="393" t="s">
        <v>150</v>
      </c>
      <c r="D172" s="394"/>
      <c r="E172" s="394"/>
      <c r="F172" s="394"/>
      <c r="G172" s="394"/>
      <c r="H172" s="395"/>
      <c r="I172" s="32" t="e">
        <f>#REF!</f>
        <v>#REF!</v>
      </c>
    </row>
    <row r="173" spans="1:9" ht="12" customHeight="1">
      <c r="A173" s="15" t="s">
        <v>44</v>
      </c>
      <c r="B173" s="21">
        <v>130</v>
      </c>
      <c r="C173" s="393" t="s">
        <v>151</v>
      </c>
      <c r="D173" s="394"/>
      <c r="E173" s="394"/>
      <c r="F173" s="394"/>
      <c r="G173" s="394"/>
      <c r="H173" s="395"/>
      <c r="I173" s="32"/>
    </row>
    <row r="174" spans="1:9" ht="12" customHeight="1">
      <c r="A174" s="15" t="s">
        <v>44</v>
      </c>
      <c r="B174" s="21">
        <v>131</v>
      </c>
      <c r="C174" s="393" t="s">
        <v>152</v>
      </c>
      <c r="D174" s="394"/>
      <c r="E174" s="394"/>
      <c r="F174" s="394"/>
      <c r="G174" s="394"/>
      <c r="H174" s="395"/>
      <c r="I174" s="32" t="e">
        <f>#REF!</f>
        <v>#REF!</v>
      </c>
    </row>
    <row r="175" spans="1:9" ht="12" customHeight="1">
      <c r="A175" s="15" t="s">
        <v>44</v>
      </c>
      <c r="B175" s="21">
        <v>132</v>
      </c>
      <c r="C175" s="419" t="s">
        <v>153</v>
      </c>
      <c r="D175" s="420"/>
      <c r="E175" s="393" t="s">
        <v>5</v>
      </c>
      <c r="F175" s="394"/>
      <c r="G175" s="394"/>
      <c r="H175" s="395"/>
      <c r="I175" s="32"/>
    </row>
    <row r="176" spans="1:9" ht="12" customHeight="1">
      <c r="A176" s="15" t="s">
        <v>44</v>
      </c>
      <c r="B176" s="21">
        <v>133</v>
      </c>
      <c r="C176" s="421"/>
      <c r="D176" s="422"/>
      <c r="E176" s="26" t="s">
        <v>55</v>
      </c>
      <c r="F176" s="396" t="s">
        <v>128</v>
      </c>
      <c r="G176" s="397"/>
      <c r="H176" s="398"/>
      <c r="I176" s="32"/>
    </row>
    <row r="177" spans="1:14" ht="12" customHeight="1">
      <c r="A177" s="15" t="s">
        <v>44</v>
      </c>
      <c r="B177" s="21">
        <v>134</v>
      </c>
      <c r="C177" s="421"/>
      <c r="D177" s="422"/>
      <c r="E177" s="27" t="s">
        <v>44</v>
      </c>
      <c r="F177" s="396" t="s">
        <v>154</v>
      </c>
      <c r="G177" s="397"/>
      <c r="H177" s="398"/>
      <c r="I177" s="32"/>
    </row>
    <row r="178" spans="1:14" ht="12" customHeight="1">
      <c r="A178" s="15" t="s">
        <v>44</v>
      </c>
      <c r="B178" s="21">
        <v>135</v>
      </c>
      <c r="C178" s="24" t="s">
        <v>44</v>
      </c>
      <c r="D178" s="25" t="s">
        <v>44</v>
      </c>
      <c r="E178" s="27" t="s">
        <v>44</v>
      </c>
      <c r="F178" s="396" t="s">
        <v>155</v>
      </c>
      <c r="G178" s="397"/>
      <c r="H178" s="398"/>
      <c r="I178" s="32"/>
    </row>
    <row r="179" spans="1:14" hidden="1">
      <c r="I179" s="33"/>
    </row>
    <row r="180" spans="1:14" ht="12" customHeight="1">
      <c r="A180" s="15" t="s">
        <v>44</v>
      </c>
      <c r="B180" s="21">
        <v>137</v>
      </c>
      <c r="C180" s="393" t="s">
        <v>156</v>
      </c>
      <c r="D180" s="394"/>
      <c r="E180" s="394"/>
      <c r="F180" s="394"/>
      <c r="G180" s="394"/>
      <c r="H180" s="395"/>
      <c r="I180" s="32" t="e">
        <f>#REF!</f>
        <v>#REF!</v>
      </c>
    </row>
    <row r="181" spans="1:14" ht="12" customHeight="1">
      <c r="A181" s="15" t="s">
        <v>44</v>
      </c>
      <c r="B181" s="21">
        <v>138</v>
      </c>
      <c r="C181" s="393" t="s">
        <v>21</v>
      </c>
      <c r="D181" s="394"/>
      <c r="E181" s="394"/>
      <c r="F181" s="394"/>
      <c r="G181" s="394"/>
      <c r="H181" s="395"/>
      <c r="I181" s="32" t="e">
        <f>#REF!</f>
        <v>#REF!</v>
      </c>
    </row>
    <row r="182" spans="1:14" ht="12" customHeight="1">
      <c r="A182" s="15" t="s">
        <v>44</v>
      </c>
      <c r="B182" s="21">
        <v>139</v>
      </c>
      <c r="C182" s="419" t="s">
        <v>157</v>
      </c>
      <c r="D182" s="420"/>
      <c r="E182" s="393" t="s">
        <v>5</v>
      </c>
      <c r="F182" s="394"/>
      <c r="G182" s="394"/>
      <c r="H182" s="395"/>
      <c r="I182" s="32"/>
    </row>
    <row r="183" spans="1:14" ht="12" customHeight="1">
      <c r="A183" s="15" t="s">
        <v>44</v>
      </c>
      <c r="B183" s="21">
        <v>140</v>
      </c>
      <c r="C183" s="421"/>
      <c r="D183" s="422"/>
      <c r="E183" s="26" t="s">
        <v>55</v>
      </c>
      <c r="F183" s="396" t="s">
        <v>44</v>
      </c>
      <c r="G183" s="397"/>
      <c r="H183" s="398"/>
      <c r="I183" s="32"/>
    </row>
    <row r="184" spans="1:14" hidden="1">
      <c r="I184" s="33"/>
    </row>
    <row r="185" spans="1:14" ht="12" customHeight="1">
      <c r="A185" s="15" t="s">
        <v>44</v>
      </c>
      <c r="B185" s="21">
        <v>142</v>
      </c>
      <c r="C185" s="419" t="s">
        <v>158</v>
      </c>
      <c r="D185" s="420"/>
      <c r="E185" s="393" t="s">
        <v>5</v>
      </c>
      <c r="F185" s="394"/>
      <c r="G185" s="394"/>
      <c r="H185" s="395"/>
      <c r="I185" s="32"/>
    </row>
    <row r="186" spans="1:14" ht="12" customHeight="1">
      <c r="A186" s="15" t="s">
        <v>44</v>
      </c>
      <c r="B186" s="21">
        <v>143</v>
      </c>
      <c r="C186" s="421"/>
      <c r="D186" s="422"/>
      <c r="E186" s="26" t="s">
        <v>55</v>
      </c>
      <c r="F186" s="396" t="s">
        <v>159</v>
      </c>
      <c r="G186" s="397"/>
      <c r="H186" s="398"/>
      <c r="I186" s="32"/>
    </row>
    <row r="187" spans="1:14" ht="12" customHeight="1">
      <c r="A187" s="15" t="s">
        <v>44</v>
      </c>
      <c r="B187" s="21">
        <v>144</v>
      </c>
      <c r="C187" s="421"/>
      <c r="D187" s="422"/>
      <c r="E187" s="27" t="s">
        <v>44</v>
      </c>
      <c r="F187" s="396" t="s">
        <v>160</v>
      </c>
      <c r="G187" s="397"/>
      <c r="H187" s="398"/>
      <c r="I187" s="32"/>
    </row>
    <row r="188" spans="1:14" ht="12" customHeight="1">
      <c r="A188" s="15" t="s">
        <v>44</v>
      </c>
      <c r="B188" s="21">
        <v>145</v>
      </c>
      <c r="C188" s="28" t="s">
        <v>44</v>
      </c>
      <c r="D188" s="29" t="s">
        <v>44</v>
      </c>
      <c r="E188" s="30" t="s">
        <v>44</v>
      </c>
      <c r="F188" s="416" t="s">
        <v>161</v>
      </c>
      <c r="G188" s="417"/>
      <c r="H188" s="418"/>
      <c r="I188" s="32"/>
      <c r="J188" s="10"/>
    </row>
    <row r="189" spans="1:14" ht="12" customHeight="1">
      <c r="A189" s="15" t="s">
        <v>44</v>
      </c>
      <c r="B189" s="43">
        <v>145</v>
      </c>
      <c r="C189" s="24" t="s">
        <v>44</v>
      </c>
      <c r="D189" s="25" t="s">
        <v>44</v>
      </c>
      <c r="E189" s="27" t="s">
        <v>44</v>
      </c>
      <c r="F189" s="416" t="s">
        <v>162</v>
      </c>
      <c r="G189" s="417"/>
      <c r="H189" s="418"/>
      <c r="I189" s="32"/>
      <c r="J189" s="10"/>
    </row>
    <row r="190" spans="1:14" ht="12" customHeight="1">
      <c r="A190" s="17" t="s">
        <v>44</v>
      </c>
      <c r="B190" s="21">
        <v>145</v>
      </c>
      <c r="C190" s="44" t="s">
        <v>44</v>
      </c>
      <c r="D190" s="44" t="s">
        <v>44</v>
      </c>
      <c r="E190" s="15" t="s">
        <v>44</v>
      </c>
      <c r="F190" s="416" t="s">
        <v>163</v>
      </c>
      <c r="G190" s="417"/>
      <c r="H190" s="418"/>
      <c r="I190" s="32" t="e">
        <f>#REF!+#REF!</f>
        <v>#REF!</v>
      </c>
      <c r="J190" s="10"/>
      <c r="N190" s="16"/>
    </row>
    <row r="191" spans="1:14">
      <c r="B191" s="45"/>
      <c r="C191" s="45"/>
      <c r="D191" s="45"/>
      <c r="E191" s="45"/>
      <c r="F191" s="45" t="s">
        <v>166</v>
      </c>
      <c r="G191" s="45"/>
      <c r="H191" s="45"/>
      <c r="I191" s="46" t="e">
        <f>#REF!</f>
        <v>#REF!</v>
      </c>
      <c r="N191" s="16"/>
    </row>
    <row r="192" spans="1:14">
      <c r="B192" s="45"/>
      <c r="C192" s="45"/>
      <c r="D192" s="45"/>
      <c r="E192" s="45"/>
      <c r="F192" s="45" t="s">
        <v>164</v>
      </c>
      <c r="G192" s="45"/>
      <c r="H192" s="45"/>
      <c r="I192" s="46" t="e">
        <f>#REF!-#REF!</f>
        <v>#REF!</v>
      </c>
    </row>
    <row r="193" spans="2:14" ht="31.5">
      <c r="B193" s="45"/>
      <c r="C193" s="45"/>
      <c r="D193" s="45"/>
      <c r="E193" s="45"/>
      <c r="F193" s="45" t="s">
        <v>165</v>
      </c>
      <c r="G193" s="45"/>
      <c r="H193" s="45"/>
      <c r="I193" s="47" t="e">
        <f>I192+I191-I28</f>
        <v>#REF!</v>
      </c>
      <c r="N193" s="16"/>
    </row>
    <row r="194" spans="2:14">
      <c r="I194" s="48"/>
    </row>
    <row r="195" spans="2:14">
      <c r="I195" s="48"/>
    </row>
  </sheetData>
  <mergeCells count="169">
    <mergeCell ref="F188:H188"/>
    <mergeCell ref="F189:H189"/>
    <mergeCell ref="F190:H190"/>
    <mergeCell ref="C180:H180"/>
    <mergeCell ref="C181:H181"/>
    <mergeCell ref="C182:D183"/>
    <mergeCell ref="E182:H182"/>
    <mergeCell ref="F183:H183"/>
    <mergeCell ref="C185:D187"/>
    <mergeCell ref="E185:H185"/>
    <mergeCell ref="F186:H186"/>
    <mergeCell ref="F187:H187"/>
    <mergeCell ref="C174:H174"/>
    <mergeCell ref="C175:D177"/>
    <mergeCell ref="E175:H175"/>
    <mergeCell ref="F176:H176"/>
    <mergeCell ref="F177:H177"/>
    <mergeCell ref="F178:H178"/>
    <mergeCell ref="F167:H167"/>
    <mergeCell ref="F168:H168"/>
    <mergeCell ref="C170:H170"/>
    <mergeCell ref="C171:H171"/>
    <mergeCell ref="C172:H172"/>
    <mergeCell ref="C173:H173"/>
    <mergeCell ref="C162:H162"/>
    <mergeCell ref="C163:H163"/>
    <mergeCell ref="C164:H164"/>
    <mergeCell ref="C165:D166"/>
    <mergeCell ref="E165:H165"/>
    <mergeCell ref="F166:H166"/>
    <mergeCell ref="F155:H155"/>
    <mergeCell ref="F156:H156"/>
    <mergeCell ref="F157:H157"/>
    <mergeCell ref="F158:H158"/>
    <mergeCell ref="C160:H160"/>
    <mergeCell ref="C161:H161"/>
    <mergeCell ref="F149:H149"/>
    <mergeCell ref="F150:H150"/>
    <mergeCell ref="F151:H151"/>
    <mergeCell ref="C153:D154"/>
    <mergeCell ref="E153:H153"/>
    <mergeCell ref="F154:H154"/>
    <mergeCell ref="C143:H143"/>
    <mergeCell ref="E144:H144"/>
    <mergeCell ref="F145:H145"/>
    <mergeCell ref="F146:H146"/>
    <mergeCell ref="F147:H147"/>
    <mergeCell ref="F148:H148"/>
    <mergeCell ref="F137:H137"/>
    <mergeCell ref="F138:H138"/>
    <mergeCell ref="C140:D142"/>
    <mergeCell ref="E140:H140"/>
    <mergeCell ref="E141:E142"/>
    <mergeCell ref="F141:H141"/>
    <mergeCell ref="F142:H142"/>
    <mergeCell ref="C132:D135"/>
    <mergeCell ref="E132:H132"/>
    <mergeCell ref="F133:H133"/>
    <mergeCell ref="F134:H134"/>
    <mergeCell ref="F135:H135"/>
    <mergeCell ref="F136:H136"/>
    <mergeCell ref="C126:H126"/>
    <mergeCell ref="C127:D128"/>
    <mergeCell ref="E127:H127"/>
    <mergeCell ref="F128:H128"/>
    <mergeCell ref="C130:H130"/>
    <mergeCell ref="C131:H131"/>
    <mergeCell ref="C120:D121"/>
    <mergeCell ref="E120:H120"/>
    <mergeCell ref="F121:H121"/>
    <mergeCell ref="F122:H122"/>
    <mergeCell ref="F123:H123"/>
    <mergeCell ref="F124:H124"/>
    <mergeCell ref="F114:H114"/>
    <mergeCell ref="C115:H115"/>
    <mergeCell ref="C116:D117"/>
    <mergeCell ref="E116:H116"/>
    <mergeCell ref="F117:H117"/>
    <mergeCell ref="F118:H118"/>
    <mergeCell ref="F108:H108"/>
    <mergeCell ref="F109:H109"/>
    <mergeCell ref="F110:H110"/>
    <mergeCell ref="C112:D112"/>
    <mergeCell ref="E112:H112"/>
    <mergeCell ref="F113:H113"/>
    <mergeCell ref="F101:H101"/>
    <mergeCell ref="F102:H102"/>
    <mergeCell ref="C104:H104"/>
    <mergeCell ref="C105:H105"/>
    <mergeCell ref="C106:D107"/>
    <mergeCell ref="E106:H106"/>
    <mergeCell ref="F107:H107"/>
    <mergeCell ref="C96:D96"/>
    <mergeCell ref="E96:H96"/>
    <mergeCell ref="F97:H97"/>
    <mergeCell ref="F98:H98"/>
    <mergeCell ref="F99:H99"/>
    <mergeCell ref="F100:H100"/>
    <mergeCell ref="F88:H88"/>
    <mergeCell ref="F89:H89"/>
    <mergeCell ref="F90:H90"/>
    <mergeCell ref="C92:D92"/>
    <mergeCell ref="E92:H92"/>
    <mergeCell ref="E93:E94"/>
    <mergeCell ref="F93:H93"/>
    <mergeCell ref="F94:H94"/>
    <mergeCell ref="F82:F84"/>
    <mergeCell ref="G82:H82"/>
    <mergeCell ref="G83:G84"/>
    <mergeCell ref="F85:H85"/>
    <mergeCell ref="F86:H86"/>
    <mergeCell ref="F87:H87"/>
    <mergeCell ref="G74:H74"/>
    <mergeCell ref="C78:D79"/>
    <mergeCell ref="E78:H78"/>
    <mergeCell ref="F79:H79"/>
    <mergeCell ref="F80:H80"/>
    <mergeCell ref="F81:H81"/>
    <mergeCell ref="C60:H60"/>
    <mergeCell ref="C61:D63"/>
    <mergeCell ref="E61:H61"/>
    <mergeCell ref="G62:H62"/>
    <mergeCell ref="G66:H66"/>
    <mergeCell ref="G70:H70"/>
    <mergeCell ref="C54:D57"/>
    <mergeCell ref="E54:H54"/>
    <mergeCell ref="F55:H55"/>
    <mergeCell ref="F56:H56"/>
    <mergeCell ref="F57:H57"/>
    <mergeCell ref="F58:H58"/>
    <mergeCell ref="F48:H48"/>
    <mergeCell ref="F49:H49"/>
    <mergeCell ref="C50:D51"/>
    <mergeCell ref="E50:H50"/>
    <mergeCell ref="F51:H51"/>
    <mergeCell ref="F52:H52"/>
    <mergeCell ref="C40:D41"/>
    <mergeCell ref="E40:H40"/>
    <mergeCell ref="F41:H41"/>
    <mergeCell ref="F42:H42"/>
    <mergeCell ref="C44:H44"/>
    <mergeCell ref="C45:D49"/>
    <mergeCell ref="E45:H45"/>
    <mergeCell ref="E46:E49"/>
    <mergeCell ref="F46:H46"/>
    <mergeCell ref="F47:H47"/>
    <mergeCell ref="F32:H32"/>
    <mergeCell ref="C34:D35"/>
    <mergeCell ref="E34:H34"/>
    <mergeCell ref="F35:H35"/>
    <mergeCell ref="C37:D39"/>
    <mergeCell ref="E37:H37"/>
    <mergeCell ref="E38:E39"/>
    <mergeCell ref="F38:H38"/>
    <mergeCell ref="F39:H39"/>
    <mergeCell ref="C26:D26"/>
    <mergeCell ref="C27:H27"/>
    <mergeCell ref="E28:H28"/>
    <mergeCell ref="F29:H29"/>
    <mergeCell ref="F30:H30"/>
    <mergeCell ref="F31:H31"/>
    <mergeCell ref="B1:I1"/>
    <mergeCell ref="B2:I2"/>
    <mergeCell ref="B3:I3"/>
    <mergeCell ref="B4:I4"/>
    <mergeCell ref="B5:H5"/>
    <mergeCell ref="B20:B22"/>
    <mergeCell ref="C20:H22"/>
    <mergeCell ref="I20:I22"/>
  </mergeCells>
  <pageMargins left="0.7" right="0.7" top="0.75" bottom="0.75" header="0.3" footer="0.3"/>
  <pageSetup paperSize="9" scale="5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36"/>
  <sheetViews>
    <sheetView tabSelected="1" view="pageBreakPreview" zoomScale="75" zoomScaleNormal="100" zoomScaleSheetLayoutView="75" workbookViewId="0">
      <selection activeCell="B20" sqref="B20"/>
    </sheetView>
  </sheetViews>
  <sheetFormatPr defaultColWidth="8.85546875" defaultRowHeight="15"/>
  <cols>
    <col min="1" max="1" width="5" customWidth="1"/>
    <col min="2" max="2" width="44.42578125" style="209" customWidth="1"/>
    <col min="3" max="3" width="8" style="192" customWidth="1"/>
    <col min="4" max="4" width="10.7109375" customWidth="1"/>
    <col min="5" max="5" width="13.28515625" customWidth="1"/>
    <col min="6" max="6" width="12" hidden="1" customWidth="1"/>
    <col min="7" max="7" width="11.5703125" customWidth="1"/>
    <col min="8" max="8" width="14.42578125" customWidth="1"/>
    <col min="9" max="9" width="16.5703125" customWidth="1"/>
    <col min="10" max="10" width="11.7109375" customWidth="1"/>
    <col min="11" max="11" width="12.7109375" customWidth="1"/>
    <col min="12" max="12" width="62.7109375" customWidth="1"/>
  </cols>
  <sheetData>
    <row r="1" spans="1:12">
      <c r="H1" s="447" t="s">
        <v>299</v>
      </c>
      <c r="I1" s="447"/>
    </row>
    <row r="2" spans="1:12" ht="15.75">
      <c r="A2" s="257" t="s">
        <v>273</v>
      </c>
      <c r="B2" s="250"/>
      <c r="C2" s="250"/>
      <c r="D2" s="250"/>
      <c r="E2" s="250"/>
      <c r="F2" s="250"/>
      <c r="G2" s="250"/>
      <c r="I2" s="250"/>
    </row>
    <row r="3" spans="1:12" ht="15.75">
      <c r="A3" s="257" t="s">
        <v>303</v>
      </c>
      <c r="B3" s="250"/>
      <c r="C3" s="250"/>
      <c r="D3" s="250"/>
      <c r="E3" s="250"/>
      <c r="F3" s="250"/>
      <c r="G3" s="250"/>
      <c r="I3" s="250"/>
    </row>
    <row r="4" spans="1:12" ht="16.5" thickBot="1">
      <c r="A4" s="251"/>
      <c r="B4" s="252"/>
      <c r="C4" s="252"/>
      <c r="D4" s="252"/>
      <c r="E4" s="252"/>
      <c r="F4" s="253"/>
      <c r="G4" s="254"/>
      <c r="I4" s="254"/>
    </row>
    <row r="5" spans="1:12" ht="71.25">
      <c r="A5" s="178" t="s">
        <v>263</v>
      </c>
      <c r="B5" s="178" t="s">
        <v>264</v>
      </c>
      <c r="C5" s="178" t="s">
        <v>268</v>
      </c>
      <c r="D5" s="178" t="s">
        <v>265</v>
      </c>
      <c r="E5" s="237" t="s">
        <v>302</v>
      </c>
      <c r="F5" s="238" t="s">
        <v>290</v>
      </c>
      <c r="G5" s="219" t="s">
        <v>313</v>
      </c>
      <c r="H5" s="221" t="s">
        <v>312</v>
      </c>
      <c r="I5" s="220" t="s">
        <v>291</v>
      </c>
      <c r="J5" s="220" t="s">
        <v>314</v>
      </c>
      <c r="K5" s="220" t="s">
        <v>315</v>
      </c>
      <c r="L5" s="220" t="s">
        <v>316</v>
      </c>
    </row>
    <row r="6" spans="1:12">
      <c r="A6" s="201" t="s">
        <v>262</v>
      </c>
      <c r="B6" s="202" t="s">
        <v>301</v>
      </c>
      <c r="C6" s="201"/>
      <c r="D6" s="181">
        <f t="shared" ref="D6:I6" si="0">SUM(D7:D9)</f>
        <v>3</v>
      </c>
      <c r="E6" s="239">
        <f t="shared" si="0"/>
        <v>5200000</v>
      </c>
      <c r="F6" s="240">
        <f t="shared" si="0"/>
        <v>62400</v>
      </c>
      <c r="G6" s="222">
        <f t="shared" si="0"/>
        <v>4400000</v>
      </c>
      <c r="H6" s="223">
        <f>SUM(H7:H9)</f>
        <v>3523725</v>
      </c>
      <c r="I6" s="181">
        <f t="shared" si="0"/>
        <v>52800</v>
      </c>
      <c r="J6" s="181"/>
      <c r="K6" s="181"/>
      <c r="L6" s="181"/>
    </row>
    <row r="7" spans="1:12" ht="30">
      <c r="A7" s="206">
        <v>1</v>
      </c>
      <c r="B7" s="207" t="s">
        <v>277</v>
      </c>
      <c r="C7" s="208" t="s">
        <v>269</v>
      </c>
      <c r="D7" s="200">
        <v>1</v>
      </c>
      <c r="E7" s="241">
        <v>1800000</v>
      </c>
      <c r="F7" s="242">
        <f>D7*E7*12/1000</f>
        <v>21600</v>
      </c>
      <c r="G7" s="224">
        <v>1600000</v>
      </c>
      <c r="H7" s="225">
        <f>IF(G7&gt;0,G7-MIN(G7,4250000)*10%-MIN(G7,1700000)*2%-MAX(0,G7-MIN(G7,4250000)*10%-MIN(G7,1700000)*2%-129750)*10%,0)</f>
        <v>1280175</v>
      </c>
      <c r="I7" s="177">
        <f>D7*G7*12/1000</f>
        <v>19200</v>
      </c>
      <c r="J7" s="177" t="s">
        <v>321</v>
      </c>
      <c r="K7" s="283" t="s">
        <v>323</v>
      </c>
      <c r="L7" s="289" t="s">
        <v>348</v>
      </c>
    </row>
    <row r="8" spans="1:12" ht="30">
      <c r="A8" s="206">
        <v>2</v>
      </c>
      <c r="B8" s="207" t="s">
        <v>278</v>
      </c>
      <c r="C8" s="208" t="s">
        <v>274</v>
      </c>
      <c r="D8" s="200">
        <v>1</v>
      </c>
      <c r="E8" s="241">
        <v>1700000</v>
      </c>
      <c r="F8" s="242">
        <f>D8*E8*12/1000</f>
        <v>20400</v>
      </c>
      <c r="G8" s="224">
        <v>1400000</v>
      </c>
      <c r="H8" s="225">
        <f>IF(G8&gt;0,G8-MIN(G8,4250000)*10%-MIN(G8,1700000)*2%-MAX(0,G8-MIN(G8,4250000)*10%-MIN(G8,1700000)*2%-129750)*10%,0)</f>
        <v>1121775</v>
      </c>
      <c r="I8" s="177">
        <f>D8*G8*12/1000</f>
        <v>16800</v>
      </c>
      <c r="J8" s="177" t="s">
        <v>321</v>
      </c>
      <c r="K8" s="283" t="s">
        <v>323</v>
      </c>
      <c r="L8" s="289" t="s">
        <v>347</v>
      </c>
    </row>
    <row r="9" spans="1:12" ht="45">
      <c r="A9" s="206">
        <v>2</v>
      </c>
      <c r="B9" s="207" t="s">
        <v>439</v>
      </c>
      <c r="C9" s="208" t="s">
        <v>274</v>
      </c>
      <c r="D9" s="200">
        <v>1</v>
      </c>
      <c r="E9" s="241">
        <v>1700000</v>
      </c>
      <c r="F9" s="242">
        <f>D9*E9*12/1000</f>
        <v>20400</v>
      </c>
      <c r="G9" s="224">
        <v>1400000</v>
      </c>
      <c r="H9" s="225">
        <f>IF(G9&gt;0,G9-MIN(G9,4250000)*10%-MIN(G9,1700000)*2%-MAX(0,G9-MIN(G9,4250000)*10%-MIN(G9,1700000)*2%-129750)*10%,0)</f>
        <v>1121775</v>
      </c>
      <c r="I9" s="177">
        <f>D9*G9*12/1000</f>
        <v>16800</v>
      </c>
      <c r="J9" s="177" t="s">
        <v>321</v>
      </c>
      <c r="K9" s="283" t="s">
        <v>323</v>
      </c>
      <c r="L9" s="289" t="s">
        <v>430</v>
      </c>
    </row>
    <row r="10" spans="1:12">
      <c r="A10" s="201" t="s">
        <v>300</v>
      </c>
      <c r="B10" s="202" t="s">
        <v>304</v>
      </c>
      <c r="C10" s="201"/>
      <c r="D10" s="181">
        <f t="shared" ref="D10:I10" si="1">SUM(D11:D11)</f>
        <v>1</v>
      </c>
      <c r="E10" s="239">
        <f t="shared" si="1"/>
        <v>1700000</v>
      </c>
      <c r="F10" s="240">
        <f t="shared" si="1"/>
        <v>20400</v>
      </c>
      <c r="G10" s="222">
        <f t="shared" si="1"/>
        <v>1400000</v>
      </c>
      <c r="H10" s="223">
        <f>SUM(H11:H11)</f>
        <v>1121775</v>
      </c>
      <c r="I10" s="181">
        <f t="shared" si="1"/>
        <v>16800</v>
      </c>
      <c r="J10" s="181"/>
      <c r="K10" s="181"/>
      <c r="L10" s="286"/>
    </row>
    <row r="11" spans="1:12" ht="30">
      <c r="A11" s="206">
        <v>1</v>
      </c>
      <c r="B11" s="207" t="s">
        <v>438</v>
      </c>
      <c r="C11" s="208" t="s">
        <v>274</v>
      </c>
      <c r="D11" s="200">
        <v>1</v>
      </c>
      <c r="E11" s="241">
        <v>1700000</v>
      </c>
      <c r="F11" s="242">
        <f>D11*E11*12/1000</f>
        <v>20400</v>
      </c>
      <c r="G11" s="224">
        <v>1400000</v>
      </c>
      <c r="H11" s="225">
        <f>IF(G11&gt;0,G11-MIN(G11,4250000)*10%-MIN(G11,1700000)*2%-MAX(0,G11-MIN(G11,4250000)*10%-MIN(G11,1700000)*2%-129750)*10%,0)</f>
        <v>1121775</v>
      </c>
      <c r="I11" s="177">
        <f>D11*G11*12/1000</f>
        <v>16800</v>
      </c>
      <c r="J11" s="177" t="s">
        <v>321</v>
      </c>
      <c r="K11" s="283" t="s">
        <v>318</v>
      </c>
      <c r="L11" s="289" t="s">
        <v>346</v>
      </c>
    </row>
    <row r="12" spans="1:12" ht="28.5">
      <c r="A12" s="203" t="s">
        <v>282</v>
      </c>
      <c r="B12" s="204" t="s">
        <v>279</v>
      </c>
      <c r="C12" s="205"/>
      <c r="D12" s="181">
        <f t="shared" ref="D12:I12" si="2">SUM(D13:D17)</f>
        <v>4</v>
      </c>
      <c r="E12" s="239">
        <f t="shared" si="2"/>
        <v>4800000</v>
      </c>
      <c r="F12" s="240">
        <f t="shared" si="2"/>
        <v>57600</v>
      </c>
      <c r="G12" s="222">
        <f t="shared" si="2"/>
        <v>4000000</v>
      </c>
      <c r="H12" s="223">
        <f>SUM(H13:H17)</f>
        <v>3219900</v>
      </c>
      <c r="I12" s="181">
        <f t="shared" si="2"/>
        <v>48000</v>
      </c>
      <c r="J12" s="181"/>
      <c r="K12" s="181"/>
      <c r="L12" s="286"/>
    </row>
    <row r="13" spans="1:12" ht="30">
      <c r="A13" s="214">
        <v>1</v>
      </c>
      <c r="B13" s="211" t="s">
        <v>446</v>
      </c>
      <c r="C13" s="214" t="s">
        <v>270</v>
      </c>
      <c r="D13" s="450">
        <v>1</v>
      </c>
      <c r="E13" s="243">
        <v>1500000</v>
      </c>
      <c r="F13" s="451">
        <f>D13*E13*12/1000</f>
        <v>18000</v>
      </c>
      <c r="G13" s="452">
        <v>1300000</v>
      </c>
      <c r="H13" s="453">
        <f>IF(G13&gt;0,G13-MIN(G13,4250000)*10%-MIN(G13,1700000)*2%-MAX(0,G13-MIN(G13,4250000)*10%-MIN(G13,1700000)*2%-129750)*10%,0)</f>
        <v>1042575</v>
      </c>
      <c r="I13" s="450">
        <f>D13*G13*12/1000</f>
        <v>15600</v>
      </c>
      <c r="J13" s="450" t="s">
        <v>321</v>
      </c>
      <c r="K13" s="454" t="s">
        <v>318</v>
      </c>
      <c r="L13" s="455" t="s">
        <v>345</v>
      </c>
    </row>
    <row r="14" spans="1:12">
      <c r="A14" s="182">
        <v>2</v>
      </c>
      <c r="B14" s="211" t="s">
        <v>286</v>
      </c>
      <c r="C14" s="195" t="s">
        <v>272</v>
      </c>
      <c r="D14" s="177">
        <v>1</v>
      </c>
      <c r="E14" s="241">
        <v>1200000</v>
      </c>
      <c r="F14" s="242">
        <f>D14*E14*12/1000</f>
        <v>14400</v>
      </c>
      <c r="G14" s="224">
        <v>1000000</v>
      </c>
      <c r="H14" s="225">
        <f>IF(G14&gt;0,G14-MIN(G14,4250000)*10%-MIN(G14,1700000)*2%-MAX(0,G14-MIN(G14,4250000)*10%-MIN(G14,1700000)*2%-129750)*10%,0)</f>
        <v>804975</v>
      </c>
      <c r="I14" s="177">
        <f>D14*G14*12/1000</f>
        <v>12000</v>
      </c>
      <c r="J14" s="177" t="s">
        <v>321</v>
      </c>
      <c r="K14" s="283" t="s">
        <v>318</v>
      </c>
      <c r="L14" s="289" t="s">
        <v>344</v>
      </c>
    </row>
    <row r="15" spans="1:12" s="215" customFormat="1" ht="30">
      <c r="A15" s="214">
        <v>3</v>
      </c>
      <c r="B15" s="211" t="s">
        <v>447</v>
      </c>
      <c r="C15" s="214" t="s">
        <v>272</v>
      </c>
      <c r="D15" s="450">
        <v>1</v>
      </c>
      <c r="E15" s="243">
        <v>1200000</v>
      </c>
      <c r="F15" s="451">
        <f>D15*E15*12/1000</f>
        <v>14400</v>
      </c>
      <c r="G15" s="452">
        <v>1000000</v>
      </c>
      <c r="H15" s="453">
        <f>IF(G15&gt;0,G15-MIN(G15,4250000)*10%-MIN(G15,1700000)*2%-MAX(0,G15-MIN(G15,4250000)*10%-MIN(G15,1700000)*2%-129750)*10%,0)</f>
        <v>804975</v>
      </c>
      <c r="I15" s="450">
        <f>D15*G15*12/1000</f>
        <v>12000</v>
      </c>
      <c r="J15" s="450" t="s">
        <v>321</v>
      </c>
      <c r="K15" s="454" t="s">
        <v>318</v>
      </c>
      <c r="L15" s="455" t="s">
        <v>343</v>
      </c>
    </row>
    <row r="16" spans="1:12" s="215" customFormat="1">
      <c r="A16" s="266">
        <v>4</v>
      </c>
      <c r="B16" s="274" t="s">
        <v>448</v>
      </c>
      <c r="C16" s="266"/>
      <c r="D16" s="268"/>
      <c r="E16" s="269"/>
      <c r="F16" s="270"/>
      <c r="G16" s="271"/>
      <c r="H16" s="272"/>
      <c r="I16" s="268"/>
      <c r="J16" s="268" t="s">
        <v>317</v>
      </c>
      <c r="K16" s="282" t="s">
        <v>318</v>
      </c>
      <c r="L16" s="291" t="s">
        <v>449</v>
      </c>
    </row>
    <row r="17" spans="1:12" s="215" customFormat="1" ht="30">
      <c r="A17" s="258">
        <v>5</v>
      </c>
      <c r="B17" s="259" t="s">
        <v>287</v>
      </c>
      <c r="C17" s="258" t="s">
        <v>271</v>
      </c>
      <c r="D17" s="260">
        <v>1</v>
      </c>
      <c r="E17" s="261">
        <v>900000</v>
      </c>
      <c r="F17" s="262">
        <f>D17*E17*12/1000</f>
        <v>10800</v>
      </c>
      <c r="G17" s="263">
        <v>700000</v>
      </c>
      <c r="H17" s="264">
        <f>IF(G17&gt;0,G17-MIN(G17,4250000)*10%-MIN(G17,1700000)*2%-MAX(0,G17-MIN(G17,4250000)*10%-MIN(G17,1700000)*2%-129750)*10%,0)</f>
        <v>567375</v>
      </c>
      <c r="I17" s="260">
        <f>D17*G17*12/1000</f>
        <v>8400</v>
      </c>
      <c r="J17" s="260" t="s">
        <v>321</v>
      </c>
      <c r="K17" s="285" t="s">
        <v>334</v>
      </c>
      <c r="L17" s="290" t="s">
        <v>342</v>
      </c>
    </row>
    <row r="18" spans="1:12" ht="42.75">
      <c r="A18" s="203"/>
      <c r="B18" s="204" t="s">
        <v>445</v>
      </c>
      <c r="C18" s="205"/>
      <c r="D18" s="181">
        <f t="shared" ref="D18:I18" si="3">SUM(D19:D23)</f>
        <v>5</v>
      </c>
      <c r="E18" s="239">
        <f t="shared" si="3"/>
        <v>1500000</v>
      </c>
      <c r="F18" s="240">
        <f t="shared" si="3"/>
        <v>18000</v>
      </c>
      <c r="G18" s="222">
        <f t="shared" si="3"/>
        <v>4900000</v>
      </c>
      <c r="H18" s="223">
        <f t="shared" si="3"/>
        <v>3945675</v>
      </c>
      <c r="I18" s="181">
        <f t="shared" si="3"/>
        <v>58800</v>
      </c>
      <c r="J18" s="181"/>
      <c r="K18" s="181"/>
      <c r="L18" s="286"/>
    </row>
    <row r="19" spans="1:12" s="215" customFormat="1" ht="30">
      <c r="A19" s="258">
        <v>1</v>
      </c>
      <c r="B19" s="259" t="s">
        <v>288</v>
      </c>
      <c r="C19" s="258" t="s">
        <v>270</v>
      </c>
      <c r="D19" s="260">
        <v>1</v>
      </c>
      <c r="E19" s="261">
        <v>1500000</v>
      </c>
      <c r="F19" s="262">
        <f>D19*E19*12/1000</f>
        <v>18000</v>
      </c>
      <c r="G19" s="263">
        <v>1300000</v>
      </c>
      <c r="H19" s="264">
        <f>IF(G19&gt;0,G19-MIN(G19,4250000)*10%-MIN(G19,1700000)*2%-MAX(0,G19-MIN(G19,4250000)*10%-MIN(G19,1700000)*2%-129750)*10%,0)</f>
        <v>1042575</v>
      </c>
      <c r="I19" s="260">
        <f>D19*G19*12/1000</f>
        <v>15600</v>
      </c>
      <c r="J19" s="260" t="s">
        <v>321</v>
      </c>
      <c r="K19" s="285" t="s">
        <v>334</v>
      </c>
      <c r="L19" s="290" t="s">
        <v>341</v>
      </c>
    </row>
    <row r="20" spans="1:12" ht="45">
      <c r="A20" s="197">
        <v>2</v>
      </c>
      <c r="B20" s="212" t="s">
        <v>428</v>
      </c>
      <c r="C20" s="195" t="s">
        <v>272</v>
      </c>
      <c r="D20" s="177">
        <v>1</v>
      </c>
      <c r="E20" s="243"/>
      <c r="F20" s="242">
        <f>D20*E20*12/1000</f>
        <v>0</v>
      </c>
      <c r="G20" s="224">
        <v>1200000</v>
      </c>
      <c r="H20" s="225">
        <f>IF(G20&gt;0,G20-MIN(G20,4250000)*10%-MIN(G20,1700000)*2%-MAX(0,G20-MIN(G20,4250000)*10%-MIN(G20,1700000)*2%-129750)*10%,0)</f>
        <v>963375</v>
      </c>
      <c r="I20" s="177">
        <f>D20*G20*12/1000</f>
        <v>14400</v>
      </c>
      <c r="J20" s="177" t="s">
        <v>321</v>
      </c>
      <c r="K20" s="283" t="s">
        <v>318</v>
      </c>
      <c r="L20" s="289" t="s">
        <v>429</v>
      </c>
    </row>
    <row r="21" spans="1:12" s="215" customFormat="1" ht="30">
      <c r="A21" s="258">
        <v>3</v>
      </c>
      <c r="B21" s="259" t="s">
        <v>293</v>
      </c>
      <c r="C21" s="258" t="s">
        <v>272</v>
      </c>
      <c r="D21" s="260">
        <v>1</v>
      </c>
      <c r="E21" s="261"/>
      <c r="F21" s="262">
        <f>D21*E21*12/1000</f>
        <v>0</v>
      </c>
      <c r="G21" s="263">
        <v>800000</v>
      </c>
      <c r="H21" s="264">
        <f>IF(G21&gt;0,G21-MIN(G21,4250000)*10%-MIN(G21,1700000)*2%-MAX(0,G21-MIN(G21,4250000)*10%-MIN(G21,1700000)*2%-129750)*10%,0)</f>
        <v>646575</v>
      </c>
      <c r="I21" s="260">
        <f>D21*G21*12/1000</f>
        <v>9600</v>
      </c>
      <c r="J21" s="260" t="s">
        <v>321</v>
      </c>
      <c r="K21" s="285" t="s">
        <v>334</v>
      </c>
      <c r="L21" s="290" t="s">
        <v>340</v>
      </c>
    </row>
    <row r="22" spans="1:12" s="215" customFormat="1" ht="30">
      <c r="A22" s="258">
        <v>5</v>
      </c>
      <c r="B22" s="259" t="s">
        <v>450</v>
      </c>
      <c r="C22" s="258" t="s">
        <v>272</v>
      </c>
      <c r="D22" s="260">
        <v>1</v>
      </c>
      <c r="E22" s="261"/>
      <c r="F22" s="262">
        <f>D22*E22*12/1000</f>
        <v>0</v>
      </c>
      <c r="G22" s="263">
        <v>800000</v>
      </c>
      <c r="H22" s="264">
        <f>IF(G22&gt;0,G22-MIN(G22,4250000)*10%-MIN(G22,1700000)*2%-MAX(0,G22-MIN(G22,4250000)*10%-MIN(G22,1700000)*2%-129750)*10%,0)</f>
        <v>646575</v>
      </c>
      <c r="I22" s="260">
        <f>D22*G22*12/1000</f>
        <v>9600</v>
      </c>
      <c r="J22" s="260" t="s">
        <v>321</v>
      </c>
      <c r="K22" s="285" t="s">
        <v>334</v>
      </c>
      <c r="L22" s="290" t="s">
        <v>451</v>
      </c>
    </row>
    <row r="23" spans="1:12" s="215" customFormat="1" ht="30">
      <c r="A23" s="258">
        <v>6</v>
      </c>
      <c r="B23" s="259" t="s">
        <v>296</v>
      </c>
      <c r="C23" s="258" t="s">
        <v>272</v>
      </c>
      <c r="D23" s="260">
        <v>1</v>
      </c>
      <c r="E23" s="261"/>
      <c r="F23" s="262">
        <f>D23*E23*12/1000</f>
        <v>0</v>
      </c>
      <c r="G23" s="263">
        <v>800000</v>
      </c>
      <c r="H23" s="264">
        <f>IF(G23&gt;0,G23-MIN(G23,4250000)*10%-MIN(G23,1700000)*2%-MAX(0,G23-MIN(G23,4250000)*10%-MIN(G23,1700000)*2%-129750)*10%,0)</f>
        <v>646575</v>
      </c>
      <c r="I23" s="260">
        <f>D23*G23*12/1000</f>
        <v>9600</v>
      </c>
      <c r="J23" s="260" t="s">
        <v>321</v>
      </c>
      <c r="K23" s="285" t="s">
        <v>334</v>
      </c>
      <c r="L23" s="290" t="s">
        <v>339</v>
      </c>
    </row>
    <row r="24" spans="1:12" ht="28.5">
      <c r="A24" s="171" t="s">
        <v>283</v>
      </c>
      <c r="B24" s="180" t="s">
        <v>280</v>
      </c>
      <c r="C24" s="179"/>
      <c r="D24" s="181">
        <f>SUM(D25:D34)</f>
        <v>10</v>
      </c>
      <c r="E24" s="239">
        <f t="shared" ref="E24:I24" si="4">SUM(E25:E34)</f>
        <v>11100000</v>
      </c>
      <c r="F24" s="240">
        <f t="shared" ref="F24" si="5">SUM(F25:F34)</f>
        <v>133200</v>
      </c>
      <c r="G24" s="222">
        <f t="shared" si="4"/>
        <v>9200000</v>
      </c>
      <c r="H24" s="223">
        <f>SUM(H25:H34)</f>
        <v>7416150</v>
      </c>
      <c r="I24" s="181">
        <f t="shared" si="4"/>
        <v>110400</v>
      </c>
      <c r="J24" s="181"/>
      <c r="K24" s="181"/>
      <c r="L24" s="286"/>
    </row>
    <row r="25" spans="1:12" s="215" customFormat="1" ht="30">
      <c r="A25" s="258">
        <v>1</v>
      </c>
      <c r="B25" s="265" t="s">
        <v>276</v>
      </c>
      <c r="C25" s="258" t="s">
        <v>270</v>
      </c>
      <c r="D25" s="260">
        <v>1</v>
      </c>
      <c r="E25" s="261">
        <v>1500000</v>
      </c>
      <c r="F25" s="262">
        <f t="shared" ref="F25:F34" si="6">D25*E25*12/1000</f>
        <v>18000</v>
      </c>
      <c r="G25" s="263">
        <v>1300000</v>
      </c>
      <c r="H25" s="264">
        <f t="shared" ref="H25:H34" si="7">IF(G25&gt;0,G25-MIN(G25,4250000)*10%-MIN(G25,1700000)*2%-MAX(0,G25-MIN(G25,4250000)*10%-MIN(G25,1700000)*2%-129750)*10%,0)</f>
        <v>1042575</v>
      </c>
      <c r="I25" s="260">
        <f t="shared" ref="I25:I34" si="8">D25*G25*12/1000</f>
        <v>15600</v>
      </c>
      <c r="J25" s="260" t="s">
        <v>321</v>
      </c>
      <c r="K25" s="285" t="s">
        <v>334</v>
      </c>
      <c r="L25" s="290" t="s">
        <v>338</v>
      </c>
    </row>
    <row r="26" spans="1:12" ht="30">
      <c r="A26" s="182">
        <v>2</v>
      </c>
      <c r="B26" s="183" t="s">
        <v>292</v>
      </c>
      <c r="C26" s="195" t="s">
        <v>272</v>
      </c>
      <c r="D26" s="177">
        <v>1</v>
      </c>
      <c r="E26" s="241">
        <v>1200000</v>
      </c>
      <c r="F26" s="242">
        <f t="shared" ref="F26" si="9">D26*E26*12/1000</f>
        <v>14400</v>
      </c>
      <c r="G26" s="224">
        <v>1100000</v>
      </c>
      <c r="H26" s="225">
        <f t="shared" si="7"/>
        <v>884175</v>
      </c>
      <c r="I26" s="177">
        <f t="shared" ref="I26" si="10">D26*G26*12/1000</f>
        <v>13200</v>
      </c>
      <c r="J26" s="177" t="s">
        <v>321</v>
      </c>
      <c r="K26" s="283" t="s">
        <v>318</v>
      </c>
      <c r="L26" s="289" t="s">
        <v>337</v>
      </c>
    </row>
    <row r="27" spans="1:12" ht="30">
      <c r="A27" s="214">
        <v>3</v>
      </c>
      <c r="B27" s="183" t="s">
        <v>444</v>
      </c>
      <c r="C27" s="195" t="s">
        <v>272</v>
      </c>
      <c r="D27" s="177">
        <v>1</v>
      </c>
      <c r="E27" s="241">
        <v>1200000</v>
      </c>
      <c r="F27" s="242">
        <f t="shared" si="6"/>
        <v>14400</v>
      </c>
      <c r="G27" s="224">
        <v>1000000</v>
      </c>
      <c r="H27" s="225">
        <f t="shared" si="7"/>
        <v>804975</v>
      </c>
      <c r="I27" s="177">
        <f t="shared" si="8"/>
        <v>12000</v>
      </c>
      <c r="J27" s="177" t="s">
        <v>321</v>
      </c>
      <c r="K27" s="283" t="s">
        <v>318</v>
      </c>
      <c r="L27" s="289" t="s">
        <v>433</v>
      </c>
    </row>
    <row r="28" spans="1:12" s="215" customFormat="1" ht="30">
      <c r="A28" s="456">
        <v>4</v>
      </c>
      <c r="B28" s="457" t="s">
        <v>452</v>
      </c>
      <c r="C28" s="456" t="s">
        <v>272</v>
      </c>
      <c r="D28" s="458">
        <v>1</v>
      </c>
      <c r="E28" s="459">
        <v>1200000</v>
      </c>
      <c r="F28" s="460">
        <f t="shared" si="6"/>
        <v>14400</v>
      </c>
      <c r="G28" s="461">
        <v>1000000</v>
      </c>
      <c r="H28" s="462">
        <f t="shared" si="7"/>
        <v>804975</v>
      </c>
      <c r="I28" s="458">
        <f t="shared" si="8"/>
        <v>12000</v>
      </c>
      <c r="J28" s="458" t="s">
        <v>321</v>
      </c>
      <c r="K28" s="463" t="s">
        <v>453</v>
      </c>
      <c r="L28" s="464" t="s">
        <v>336</v>
      </c>
    </row>
    <row r="29" spans="1:12" ht="30">
      <c r="A29" s="182">
        <v>5</v>
      </c>
      <c r="B29" s="183" t="s">
        <v>442</v>
      </c>
      <c r="C29" s="195" t="s">
        <v>272</v>
      </c>
      <c r="D29" s="177">
        <v>1</v>
      </c>
      <c r="E29" s="241">
        <v>1200000</v>
      </c>
      <c r="F29" s="242">
        <f t="shared" si="6"/>
        <v>14400</v>
      </c>
      <c r="G29" s="224">
        <v>1000000</v>
      </c>
      <c r="H29" s="225">
        <f t="shared" si="7"/>
        <v>804975</v>
      </c>
      <c r="I29" s="177">
        <f t="shared" si="8"/>
        <v>12000</v>
      </c>
      <c r="J29" s="177" t="s">
        <v>321</v>
      </c>
      <c r="K29" s="283" t="s">
        <v>318</v>
      </c>
      <c r="L29" s="289" t="s">
        <v>434</v>
      </c>
    </row>
    <row r="30" spans="1:12" ht="30">
      <c r="A30" s="182">
        <v>6</v>
      </c>
      <c r="B30" s="183" t="s">
        <v>443</v>
      </c>
      <c r="C30" s="195" t="s">
        <v>272</v>
      </c>
      <c r="D30" s="177">
        <v>1</v>
      </c>
      <c r="E30" s="241">
        <v>1200000</v>
      </c>
      <c r="F30" s="242">
        <f t="shared" si="6"/>
        <v>14400</v>
      </c>
      <c r="G30" s="224">
        <v>1000000</v>
      </c>
      <c r="H30" s="225">
        <f t="shared" si="7"/>
        <v>804975</v>
      </c>
      <c r="I30" s="177">
        <f t="shared" si="8"/>
        <v>12000</v>
      </c>
      <c r="J30" s="177" t="s">
        <v>321</v>
      </c>
      <c r="K30" s="283" t="s">
        <v>318</v>
      </c>
      <c r="L30" s="289" t="s">
        <v>435</v>
      </c>
    </row>
    <row r="31" spans="1:12" ht="30">
      <c r="A31" s="214">
        <v>7</v>
      </c>
      <c r="B31" s="465" t="s">
        <v>454</v>
      </c>
      <c r="C31" s="214" t="s">
        <v>271</v>
      </c>
      <c r="D31" s="450">
        <v>1</v>
      </c>
      <c r="E31" s="243">
        <v>900000</v>
      </c>
      <c r="F31" s="451">
        <f t="shared" si="6"/>
        <v>10800</v>
      </c>
      <c r="G31" s="452">
        <v>700000</v>
      </c>
      <c r="H31" s="453">
        <f t="shared" si="7"/>
        <v>567375</v>
      </c>
      <c r="I31" s="450">
        <f t="shared" si="8"/>
        <v>8400</v>
      </c>
      <c r="J31" s="450" t="s">
        <v>321</v>
      </c>
      <c r="K31" s="454" t="s">
        <v>318</v>
      </c>
      <c r="L31" s="455" t="s">
        <v>336</v>
      </c>
    </row>
    <row r="32" spans="1:12" s="215" customFormat="1" ht="30">
      <c r="A32" s="456">
        <v>8</v>
      </c>
      <c r="B32" s="466" t="s">
        <v>455</v>
      </c>
      <c r="C32" s="456" t="s">
        <v>271</v>
      </c>
      <c r="D32" s="458">
        <v>1</v>
      </c>
      <c r="E32" s="459">
        <v>900000</v>
      </c>
      <c r="F32" s="460">
        <f t="shared" si="6"/>
        <v>10800</v>
      </c>
      <c r="G32" s="461">
        <v>700000</v>
      </c>
      <c r="H32" s="462">
        <f t="shared" si="7"/>
        <v>567375</v>
      </c>
      <c r="I32" s="458">
        <f t="shared" si="8"/>
        <v>8400</v>
      </c>
      <c r="J32" s="458" t="s">
        <v>321</v>
      </c>
      <c r="K32" s="463" t="s">
        <v>453</v>
      </c>
      <c r="L32" s="464" t="s">
        <v>336</v>
      </c>
    </row>
    <row r="33" spans="1:12" s="215" customFormat="1" ht="30">
      <c r="A33" s="258">
        <v>9</v>
      </c>
      <c r="B33" s="259" t="s">
        <v>289</v>
      </c>
      <c r="C33" s="258" t="s">
        <v>271</v>
      </c>
      <c r="D33" s="260">
        <v>1</v>
      </c>
      <c r="E33" s="261">
        <v>900000</v>
      </c>
      <c r="F33" s="262">
        <f t="shared" ref="F33" si="11">D33*E33*12/1000</f>
        <v>10800</v>
      </c>
      <c r="G33" s="263">
        <v>700000</v>
      </c>
      <c r="H33" s="264">
        <f t="shared" si="7"/>
        <v>567375</v>
      </c>
      <c r="I33" s="260">
        <f t="shared" ref="I33" si="12">D33*G33*12/1000</f>
        <v>8400</v>
      </c>
      <c r="J33" s="260" t="s">
        <v>321</v>
      </c>
      <c r="K33" s="285" t="s">
        <v>334</v>
      </c>
      <c r="L33" s="290" t="s">
        <v>335</v>
      </c>
    </row>
    <row r="34" spans="1:12" s="215" customFormat="1" ht="30">
      <c r="A34" s="258">
        <v>10</v>
      </c>
      <c r="B34" s="259" t="s">
        <v>456</v>
      </c>
      <c r="C34" s="258" t="s">
        <v>271</v>
      </c>
      <c r="D34" s="260">
        <v>1</v>
      </c>
      <c r="E34" s="261">
        <v>900000</v>
      </c>
      <c r="F34" s="262">
        <f t="shared" si="6"/>
        <v>10800</v>
      </c>
      <c r="G34" s="263">
        <v>700000</v>
      </c>
      <c r="H34" s="264">
        <f t="shared" si="7"/>
        <v>567375</v>
      </c>
      <c r="I34" s="260">
        <f t="shared" si="8"/>
        <v>8400</v>
      </c>
      <c r="J34" s="260" t="s">
        <v>321</v>
      </c>
      <c r="K34" s="285" t="s">
        <v>334</v>
      </c>
      <c r="L34" s="290" t="s">
        <v>336</v>
      </c>
    </row>
    <row r="35" spans="1:12" s="166" customFormat="1">
      <c r="A35" s="171" t="s">
        <v>284</v>
      </c>
      <c r="B35" s="185" t="s">
        <v>281</v>
      </c>
      <c r="C35" s="188"/>
      <c r="D35" s="186">
        <f t="shared" ref="D35:I35" si="13">SUM(D36:D37)</f>
        <v>1</v>
      </c>
      <c r="E35" s="244">
        <f t="shared" si="13"/>
        <v>1500000</v>
      </c>
      <c r="F35" s="245">
        <f t="shared" si="13"/>
        <v>18000</v>
      </c>
      <c r="G35" s="226">
        <f t="shared" si="13"/>
        <v>1300000</v>
      </c>
      <c r="H35" s="227">
        <f t="shared" si="13"/>
        <v>1042575</v>
      </c>
      <c r="I35" s="186">
        <f t="shared" si="13"/>
        <v>15600</v>
      </c>
      <c r="J35" s="186"/>
      <c r="K35" s="186"/>
      <c r="L35" s="287"/>
    </row>
    <row r="36" spans="1:12" ht="30">
      <c r="A36" s="182">
        <v>1</v>
      </c>
      <c r="B36" s="183" t="s">
        <v>441</v>
      </c>
      <c r="C36" s="193" t="s">
        <v>270</v>
      </c>
      <c r="D36" s="177">
        <v>1</v>
      </c>
      <c r="E36" s="241">
        <v>1500000</v>
      </c>
      <c r="F36" s="242">
        <f>D36*E36*12/1000</f>
        <v>18000</v>
      </c>
      <c r="G36" s="224">
        <v>1300000</v>
      </c>
      <c r="H36" s="225">
        <f>IF(G36&gt;0,G36-MIN(G36,4250000)*10%-MIN(G36,1700000)*2%-MAX(0,G36-MIN(G36,4250000)*10%-MIN(G36,1700000)*2%-129750)*10%,0)</f>
        <v>1042575</v>
      </c>
      <c r="I36" s="177">
        <f>D36*G36*12/1000</f>
        <v>15600</v>
      </c>
      <c r="J36" s="177" t="s">
        <v>321</v>
      </c>
      <c r="K36" s="283" t="s">
        <v>318</v>
      </c>
      <c r="L36" s="289" t="s">
        <v>436</v>
      </c>
    </row>
    <row r="37" spans="1:12" ht="30">
      <c r="A37" s="266">
        <v>2</v>
      </c>
      <c r="B37" s="267" t="s">
        <v>310</v>
      </c>
      <c r="C37" s="266"/>
      <c r="D37" s="268"/>
      <c r="E37" s="269"/>
      <c r="F37" s="270"/>
      <c r="G37" s="271"/>
      <c r="H37" s="272"/>
      <c r="I37" s="268"/>
      <c r="J37" s="268" t="s">
        <v>317</v>
      </c>
      <c r="K37" s="282" t="s">
        <v>318</v>
      </c>
      <c r="L37" s="291" t="s">
        <v>333</v>
      </c>
    </row>
    <row r="38" spans="1:12">
      <c r="A38" s="171" t="s">
        <v>266</v>
      </c>
      <c r="B38" s="172" t="s">
        <v>275</v>
      </c>
      <c r="C38" s="189"/>
      <c r="D38" s="173">
        <f t="shared" ref="D38:I38" si="14">SUM(D39:D46)</f>
        <v>5</v>
      </c>
      <c r="E38" s="246">
        <f t="shared" si="14"/>
        <v>4800000</v>
      </c>
      <c r="F38" s="247">
        <f t="shared" si="14"/>
        <v>57600</v>
      </c>
      <c r="G38" s="228">
        <f t="shared" si="14"/>
        <v>4700000</v>
      </c>
      <c r="H38" s="229">
        <f>SUM(H39:H46)</f>
        <v>3787275</v>
      </c>
      <c r="I38" s="173">
        <f t="shared" si="14"/>
        <v>56400</v>
      </c>
      <c r="J38" s="173"/>
      <c r="K38" s="173"/>
      <c r="L38" s="288"/>
    </row>
    <row r="39" spans="1:12" ht="30">
      <c r="A39" s="168">
        <v>1</v>
      </c>
      <c r="B39" s="176" t="s">
        <v>457</v>
      </c>
      <c r="C39" s="194" t="s">
        <v>270</v>
      </c>
      <c r="D39" s="170">
        <v>1</v>
      </c>
      <c r="E39" s="243">
        <v>1500000</v>
      </c>
      <c r="F39" s="242">
        <f t="shared" ref="F39:F45" si="15">D39*E39*12/1000</f>
        <v>18000</v>
      </c>
      <c r="G39" s="230">
        <v>1300000</v>
      </c>
      <c r="H39" s="231">
        <f>IF(G39&gt;0,G39-MIN(G39,4250000)*10%-MIN(G39,1700000)*2%-MAX(0,G39-MIN(G39,4250000)*10%-MIN(G39,1700000)*2%-129750)*10%,0)</f>
        <v>1042575</v>
      </c>
      <c r="I39" s="170">
        <f t="shared" ref="I39:I45" si="16">D39*G39*12/1000</f>
        <v>15600</v>
      </c>
      <c r="J39" s="170" t="s">
        <v>321</v>
      </c>
      <c r="K39" s="284" t="s">
        <v>318</v>
      </c>
      <c r="L39" s="292" t="s">
        <v>332</v>
      </c>
    </row>
    <row r="40" spans="1:12" ht="30">
      <c r="A40" s="168">
        <v>2</v>
      </c>
      <c r="B40" s="211" t="s">
        <v>440</v>
      </c>
      <c r="C40" s="195" t="s">
        <v>272</v>
      </c>
      <c r="D40" s="170">
        <v>1</v>
      </c>
      <c r="E40" s="241">
        <v>1200000</v>
      </c>
      <c r="F40" s="242">
        <f t="shared" si="15"/>
        <v>14400</v>
      </c>
      <c r="G40" s="230">
        <v>1000000</v>
      </c>
      <c r="H40" s="231">
        <f>IF(G40&gt;0,G40-MIN(G40,4250000)*10%-MIN(G40,1700000)*2%-MAX(0,G40-MIN(G40,4250000)*10%-MIN(G40,1700000)*2%-129750)*10%,0)</f>
        <v>804975</v>
      </c>
      <c r="I40" s="170">
        <f t="shared" si="16"/>
        <v>12000</v>
      </c>
      <c r="J40" s="170" t="s">
        <v>321</v>
      </c>
      <c r="K40" s="284" t="s">
        <v>318</v>
      </c>
      <c r="L40" s="292" t="s">
        <v>437</v>
      </c>
    </row>
    <row r="41" spans="1:12" s="213" customFormat="1" ht="30">
      <c r="A41" s="273">
        <v>3</v>
      </c>
      <c r="B41" s="274" t="s">
        <v>307</v>
      </c>
      <c r="C41" s="266" t="s">
        <v>272</v>
      </c>
      <c r="D41" s="275"/>
      <c r="E41" s="269"/>
      <c r="F41" s="270"/>
      <c r="G41" s="276"/>
      <c r="H41" s="277"/>
      <c r="I41" s="275"/>
      <c r="J41" s="275" t="s">
        <v>317</v>
      </c>
      <c r="K41" s="281" t="s">
        <v>325</v>
      </c>
      <c r="L41" s="293" t="s">
        <v>331</v>
      </c>
    </row>
    <row r="42" spans="1:12" s="213" customFormat="1" ht="30">
      <c r="A42" s="273">
        <v>4</v>
      </c>
      <c r="B42" s="274" t="s">
        <v>308</v>
      </c>
      <c r="C42" s="266" t="s">
        <v>271</v>
      </c>
      <c r="D42" s="275"/>
      <c r="E42" s="269"/>
      <c r="F42" s="270"/>
      <c r="G42" s="276"/>
      <c r="H42" s="277"/>
      <c r="I42" s="275"/>
      <c r="J42" s="275" t="s">
        <v>317</v>
      </c>
      <c r="K42" s="281" t="s">
        <v>325</v>
      </c>
      <c r="L42" s="293" t="s">
        <v>330</v>
      </c>
    </row>
    <row r="43" spans="1:12" s="213" customFormat="1">
      <c r="A43" s="467">
        <v>5</v>
      </c>
      <c r="B43" s="211" t="s">
        <v>459</v>
      </c>
      <c r="C43" s="214" t="s">
        <v>271</v>
      </c>
      <c r="D43" s="468">
        <v>1</v>
      </c>
      <c r="E43" s="243"/>
      <c r="F43" s="451">
        <f>D43*E43*12/1000</f>
        <v>0</v>
      </c>
      <c r="G43" s="469">
        <v>700000</v>
      </c>
      <c r="H43" s="470">
        <f>IF(G43&gt;0,G43-MIN(G43,4250000)*10%-MIN(G43,1700000)*2%-MAX(0,G43-MIN(G43,4250000)*10%-MIN(G43,1700000)*2%-129750)*10%,0)</f>
        <v>567375</v>
      </c>
      <c r="I43" s="468">
        <f>D43*G43*12/1000</f>
        <v>8400</v>
      </c>
      <c r="J43" s="468" t="s">
        <v>321</v>
      </c>
      <c r="K43" s="471" t="s">
        <v>318</v>
      </c>
      <c r="L43" s="472" t="s">
        <v>329</v>
      </c>
    </row>
    <row r="44" spans="1:12" ht="30">
      <c r="A44" s="168">
        <v>6</v>
      </c>
      <c r="B44" s="176" t="s">
        <v>458</v>
      </c>
      <c r="C44" s="195" t="s">
        <v>272</v>
      </c>
      <c r="D44" s="177">
        <v>1</v>
      </c>
      <c r="E44" s="241">
        <v>1200000</v>
      </c>
      <c r="F44" s="242">
        <f t="shared" si="15"/>
        <v>14400</v>
      </c>
      <c r="G44" s="230">
        <v>1000000</v>
      </c>
      <c r="H44" s="231">
        <f>IF(G44&gt;0,G44-MIN(G44,4250000)*10%-MIN(G44,1700000)*2%-MAX(0,G44-MIN(G44,4250000)*10%-MIN(G44,1700000)*2%-129750)*10%,0)</f>
        <v>804975</v>
      </c>
      <c r="I44" s="170">
        <f t="shared" si="16"/>
        <v>12000</v>
      </c>
      <c r="J44" s="170" t="s">
        <v>321</v>
      </c>
      <c r="K44" s="284" t="s">
        <v>318</v>
      </c>
      <c r="L44" s="292" t="s">
        <v>328</v>
      </c>
    </row>
    <row r="45" spans="1:12" ht="30">
      <c r="A45" s="182">
        <v>7</v>
      </c>
      <c r="B45" s="176" t="s">
        <v>285</v>
      </c>
      <c r="C45" s="196" t="s">
        <v>271</v>
      </c>
      <c r="D45" s="177">
        <v>1</v>
      </c>
      <c r="E45" s="243">
        <v>900000</v>
      </c>
      <c r="F45" s="242">
        <f t="shared" si="15"/>
        <v>10800</v>
      </c>
      <c r="G45" s="224">
        <v>700000</v>
      </c>
      <c r="H45" s="225">
        <f>IF(G45&gt;0,G45-MIN(G45,4250000)*10%-MIN(G45,1700000)*2%-MAX(0,G45-MIN(G45,4250000)*10%-MIN(G45,1700000)*2%-129750)*10%,0)</f>
        <v>567375</v>
      </c>
      <c r="I45" s="177">
        <f t="shared" si="16"/>
        <v>8400</v>
      </c>
      <c r="J45" s="177" t="s">
        <v>321</v>
      </c>
      <c r="K45" s="283" t="s">
        <v>318</v>
      </c>
      <c r="L45" s="289" t="s">
        <v>327</v>
      </c>
    </row>
    <row r="46" spans="1:12" s="213" customFormat="1" ht="30">
      <c r="A46" s="273">
        <v>8</v>
      </c>
      <c r="B46" s="274" t="s">
        <v>309</v>
      </c>
      <c r="C46" s="266" t="s">
        <v>271</v>
      </c>
      <c r="D46" s="275">
        <v>0</v>
      </c>
      <c r="E46" s="269"/>
      <c r="F46" s="270"/>
      <c r="G46" s="276"/>
      <c r="H46" s="277"/>
      <c r="I46" s="275"/>
      <c r="J46" s="275" t="s">
        <v>317</v>
      </c>
      <c r="K46" s="281" t="s">
        <v>325</v>
      </c>
      <c r="L46" s="293" t="s">
        <v>326</v>
      </c>
    </row>
    <row r="47" spans="1:12">
      <c r="A47" s="167" t="s">
        <v>267</v>
      </c>
      <c r="B47" s="167" t="s">
        <v>306</v>
      </c>
      <c r="C47" s="167"/>
      <c r="D47" s="167">
        <f t="shared" ref="D47:I47" si="17">SUM(D48:D51)</f>
        <v>2</v>
      </c>
      <c r="E47" s="239">
        <f t="shared" si="17"/>
        <v>2200000</v>
      </c>
      <c r="F47" s="240">
        <f t="shared" si="17"/>
        <v>26400</v>
      </c>
      <c r="G47" s="232">
        <f t="shared" si="17"/>
        <v>2100000</v>
      </c>
      <c r="H47" s="233">
        <f t="shared" si="17"/>
        <v>1689150</v>
      </c>
      <c r="I47" s="167">
        <f t="shared" si="17"/>
        <v>25200</v>
      </c>
      <c r="J47" s="167"/>
      <c r="K47" s="167"/>
      <c r="L47" s="288"/>
    </row>
    <row r="48" spans="1:12" ht="30">
      <c r="A48" s="168">
        <v>1</v>
      </c>
      <c r="B48" s="169" t="s">
        <v>294</v>
      </c>
      <c r="C48" s="194" t="s">
        <v>270</v>
      </c>
      <c r="D48" s="170">
        <v>1</v>
      </c>
      <c r="E48" s="243">
        <v>1500000</v>
      </c>
      <c r="F48" s="242">
        <f>D48*E48*12/1000</f>
        <v>18000</v>
      </c>
      <c r="G48" s="230">
        <v>1400000</v>
      </c>
      <c r="H48" s="231">
        <f>IF(G48&gt;0,G48-MIN(G48,4250000)*10%-MIN(G48,1700000)*2%-MAX(0,G48-MIN(G48,4250000)*10%-MIN(G48,1700000)*2%-129750)*10%,0)</f>
        <v>1121775</v>
      </c>
      <c r="I48" s="170">
        <f>D48*G48*12/1000</f>
        <v>16800</v>
      </c>
      <c r="J48" s="170" t="s">
        <v>321</v>
      </c>
      <c r="K48" s="284" t="s">
        <v>323</v>
      </c>
      <c r="L48" s="292" t="s">
        <v>324</v>
      </c>
    </row>
    <row r="49" spans="1:12">
      <c r="A49" s="197">
        <v>2</v>
      </c>
      <c r="B49" s="216" t="s">
        <v>295</v>
      </c>
      <c r="C49" s="195" t="s">
        <v>272</v>
      </c>
      <c r="D49" s="170">
        <v>1</v>
      </c>
      <c r="E49" s="241">
        <v>700000</v>
      </c>
      <c r="F49" s="242">
        <f>D49*E49*12/1000</f>
        <v>8400</v>
      </c>
      <c r="G49" s="224">
        <v>700000</v>
      </c>
      <c r="H49" s="225">
        <f>IF(G49&gt;0,G49-MIN(G49,4250000)*10%-MIN(G49,1700000)*2%-MAX(0,G49-MIN(G49,4250000)*10%-MIN(G49,1700000)*2%-129750)*10%,0)</f>
        <v>567375</v>
      </c>
      <c r="I49" s="177">
        <f>D49*G49*12/1000</f>
        <v>8400</v>
      </c>
      <c r="J49" s="177" t="s">
        <v>321</v>
      </c>
      <c r="K49" s="283" t="s">
        <v>318</v>
      </c>
      <c r="L49" s="289" t="s">
        <v>322</v>
      </c>
    </row>
    <row r="50" spans="1:12">
      <c r="A50" s="278">
        <v>3</v>
      </c>
      <c r="B50" s="279" t="s">
        <v>297</v>
      </c>
      <c r="C50" s="266"/>
      <c r="D50" s="275"/>
      <c r="E50" s="269"/>
      <c r="F50" s="270"/>
      <c r="G50" s="271"/>
      <c r="H50" s="272"/>
      <c r="I50" s="268"/>
      <c r="J50" s="268" t="s">
        <v>317</v>
      </c>
      <c r="K50" s="282" t="s">
        <v>318</v>
      </c>
      <c r="L50" s="291" t="s">
        <v>320</v>
      </c>
    </row>
    <row r="51" spans="1:12" ht="30">
      <c r="A51" s="278">
        <v>4</v>
      </c>
      <c r="B51" s="279" t="s">
        <v>298</v>
      </c>
      <c r="C51" s="266"/>
      <c r="D51" s="268"/>
      <c r="E51" s="269"/>
      <c r="F51" s="270"/>
      <c r="G51" s="276"/>
      <c r="H51" s="277"/>
      <c r="I51" s="275"/>
      <c r="J51" s="275" t="s">
        <v>317</v>
      </c>
      <c r="K51" s="281" t="s">
        <v>318</v>
      </c>
      <c r="L51" s="293" t="s">
        <v>319</v>
      </c>
    </row>
    <row r="52" spans="1:12" ht="15.75" thickBot="1">
      <c r="A52" s="198"/>
      <c r="B52" s="199" t="s">
        <v>305</v>
      </c>
      <c r="C52" s="190"/>
      <c r="D52" s="174">
        <f t="shared" ref="D52:I52" si="18">D6+D10+D12+D18+D24+D35+D38+D47</f>
        <v>31</v>
      </c>
      <c r="E52" s="248">
        <f t="shared" si="18"/>
        <v>32800000</v>
      </c>
      <c r="F52" s="249">
        <f t="shared" si="18"/>
        <v>393600</v>
      </c>
      <c r="G52" s="234">
        <f t="shared" si="18"/>
        <v>32000000</v>
      </c>
      <c r="H52" s="236">
        <f t="shared" si="18"/>
        <v>25746225</v>
      </c>
      <c r="I52" s="235">
        <f t="shared" si="18"/>
        <v>384000</v>
      </c>
      <c r="J52" s="235"/>
      <c r="K52" s="235"/>
      <c r="L52" s="235"/>
    </row>
    <row r="53" spans="1:12" ht="45">
      <c r="A53" s="256"/>
      <c r="B53" s="218" t="s">
        <v>460</v>
      </c>
      <c r="C53" s="187"/>
      <c r="D53" s="1"/>
      <c r="E53" s="1"/>
      <c r="F53" s="165"/>
      <c r="G53" s="175"/>
      <c r="I53" s="165"/>
    </row>
    <row r="54" spans="1:12">
      <c r="A54" s="256"/>
      <c r="B54" s="280" t="s">
        <v>311</v>
      </c>
      <c r="C54" s="191"/>
      <c r="D54" s="129"/>
      <c r="E54" s="184"/>
      <c r="F54" s="1"/>
      <c r="G54" s="129"/>
      <c r="I54" s="1"/>
    </row>
    <row r="55" spans="1:12">
      <c r="A55" s="256"/>
      <c r="B55" s="217" t="str">
        <f>"Всего в штате по таблице (столбец D) — "&amp;D52&amp;" чел."</f>
        <v>Всего в штате по таблице (столбец D) — 31 чел.</v>
      </c>
      <c r="C55" s="191"/>
      <c r="D55" s="129"/>
      <c r="E55" s="184"/>
      <c r="F55" s="1"/>
      <c r="G55" s="129"/>
      <c r="I55" s="1"/>
    </row>
    <row r="56" spans="1:12" ht="43.5">
      <c r="A56" s="256"/>
      <c r="B56" s="255" t="str">
        <f>"Состав: проектный офис — "&amp;(D10+D12+D24+D35+D38)&amp;" чел.; Фонд с Проектным офисом для Центральной Азии — "&amp;(D6+D18+D47)&amp;" чел."</f>
        <v>Состав: проектный офис — 21 чел.; Фонд с Проектным офисом для Центральной Азии — 10 чел.</v>
      </c>
      <c r="C56" s="187"/>
      <c r="D56" s="1"/>
      <c r="E56" s="1"/>
      <c r="F56" s="1"/>
      <c r="G56" s="1"/>
      <c r="I56" s="1"/>
    </row>
    <row r="57" spans="1:12">
      <c r="A57" s="1"/>
      <c r="B57" s="218"/>
      <c r="C57" s="187"/>
      <c r="D57" s="1"/>
      <c r="E57" s="1"/>
      <c r="F57" s="1"/>
      <c r="G57" s="1"/>
      <c r="I57" s="1"/>
    </row>
    <row r="58" spans="1:12">
      <c r="A58" s="1"/>
      <c r="B58" s="210"/>
      <c r="C58" s="187"/>
      <c r="D58" s="1"/>
      <c r="E58" s="1"/>
      <c r="F58" s="1"/>
      <c r="G58" s="1"/>
      <c r="I58" s="1"/>
    </row>
    <row r="59" spans="1:12">
      <c r="A59" s="1"/>
      <c r="B59" s="210"/>
      <c r="C59" s="187"/>
      <c r="D59" s="1"/>
      <c r="E59" s="1"/>
      <c r="F59" s="1"/>
      <c r="G59" s="1"/>
      <c r="I59" s="1"/>
    </row>
    <row r="60" spans="1:12">
      <c r="A60" s="1"/>
      <c r="B60" s="210"/>
      <c r="C60" s="187"/>
      <c r="D60" s="1"/>
      <c r="E60" s="1"/>
      <c r="F60" s="1"/>
      <c r="G60" s="1"/>
      <c r="I60" s="1"/>
    </row>
    <row r="61" spans="1:12">
      <c r="A61" s="1"/>
      <c r="B61" s="210"/>
      <c r="C61" s="187"/>
      <c r="D61" s="1"/>
      <c r="E61" s="1"/>
      <c r="F61" s="1"/>
      <c r="G61" s="1"/>
      <c r="I61" s="1"/>
    </row>
    <row r="62" spans="1:12">
      <c r="A62" s="1"/>
      <c r="B62" s="210"/>
      <c r="C62" s="187"/>
      <c r="D62" s="1"/>
      <c r="E62" s="1"/>
      <c r="F62" s="1"/>
      <c r="G62" s="1"/>
      <c r="I62" s="1"/>
    </row>
    <row r="63" spans="1:12">
      <c r="A63" s="1"/>
      <c r="B63" s="210"/>
      <c r="C63" s="187"/>
      <c r="D63" s="1"/>
      <c r="E63" s="1"/>
      <c r="F63" s="1"/>
      <c r="G63" s="1"/>
      <c r="I63" s="1"/>
    </row>
    <row r="64" spans="1:12">
      <c r="A64" s="1"/>
      <c r="B64" s="210"/>
      <c r="C64" s="187"/>
      <c r="D64" s="1"/>
      <c r="E64" s="1"/>
      <c r="F64" s="1"/>
      <c r="G64" s="1"/>
      <c r="I64" s="1"/>
    </row>
    <row r="65" spans="1:9">
      <c r="A65" s="1"/>
      <c r="B65" s="210"/>
      <c r="C65" s="187"/>
      <c r="D65" s="1"/>
      <c r="E65" s="1"/>
      <c r="F65" s="1"/>
      <c r="G65" s="1"/>
      <c r="I65" s="1"/>
    </row>
    <row r="66" spans="1:9">
      <c r="A66" s="1"/>
      <c r="B66" s="210"/>
      <c r="C66" s="187"/>
      <c r="D66" s="1"/>
      <c r="E66" s="1"/>
      <c r="F66" s="1"/>
      <c r="G66" s="1"/>
      <c r="I66" s="1"/>
    </row>
    <row r="67" spans="1:9">
      <c r="A67" s="1"/>
      <c r="B67" s="210"/>
      <c r="C67" s="187"/>
      <c r="D67" s="1"/>
      <c r="E67" s="1"/>
      <c r="F67" s="1"/>
      <c r="G67" s="1"/>
      <c r="I67" s="1"/>
    </row>
    <row r="68" spans="1:9">
      <c r="A68" s="1"/>
      <c r="B68" s="210"/>
      <c r="C68" s="187"/>
      <c r="D68" s="1"/>
      <c r="E68" s="1"/>
      <c r="F68" s="1"/>
      <c r="G68" s="1"/>
      <c r="I68" s="1"/>
    </row>
    <row r="69" spans="1:9">
      <c r="A69" s="1"/>
      <c r="B69" s="210"/>
      <c r="C69" s="187"/>
      <c r="D69" s="1"/>
      <c r="E69" s="1"/>
      <c r="F69" s="1"/>
      <c r="G69" s="1"/>
      <c r="I69" s="1"/>
    </row>
    <row r="70" spans="1:9">
      <c r="A70" s="1"/>
      <c r="B70" s="210"/>
      <c r="C70" s="187"/>
      <c r="D70" s="1"/>
      <c r="E70" s="1"/>
      <c r="F70" s="1"/>
      <c r="G70" s="1"/>
      <c r="I70" s="1"/>
    </row>
    <row r="71" spans="1:9">
      <c r="A71" s="1"/>
      <c r="B71" s="210"/>
      <c r="C71" s="187"/>
      <c r="D71" s="1"/>
      <c r="E71" s="1"/>
      <c r="F71" s="1"/>
      <c r="G71" s="1"/>
      <c r="I71" s="1"/>
    </row>
    <row r="72" spans="1:9">
      <c r="A72" s="1"/>
      <c r="B72" s="210"/>
      <c r="C72" s="187"/>
      <c r="D72" s="1"/>
      <c r="E72" s="1"/>
      <c r="F72" s="1"/>
      <c r="G72" s="1"/>
      <c r="I72" s="1"/>
    </row>
    <row r="73" spans="1:9">
      <c r="A73" s="1"/>
      <c r="B73" s="210"/>
      <c r="C73" s="187"/>
      <c r="D73" s="1"/>
      <c r="E73" s="1"/>
      <c r="F73" s="1"/>
      <c r="G73" s="1"/>
      <c r="I73" s="1"/>
    </row>
    <row r="74" spans="1:9">
      <c r="A74" s="1"/>
      <c r="B74" s="210"/>
      <c r="C74" s="187"/>
      <c r="D74" s="1"/>
      <c r="E74" s="1"/>
      <c r="F74" s="1"/>
      <c r="G74" s="1"/>
      <c r="I74" s="1"/>
    </row>
    <row r="75" spans="1:9">
      <c r="A75" s="1"/>
      <c r="B75" s="210"/>
      <c r="C75" s="187"/>
      <c r="D75" s="1"/>
      <c r="E75" s="1"/>
      <c r="F75" s="1"/>
      <c r="G75" s="1"/>
      <c r="I75" s="1"/>
    </row>
    <row r="76" spans="1:9">
      <c r="A76" s="1"/>
      <c r="B76" s="210"/>
      <c r="C76" s="187"/>
      <c r="D76" s="1"/>
      <c r="E76" s="1"/>
      <c r="F76" s="1"/>
      <c r="G76" s="1"/>
      <c r="I76" s="1"/>
    </row>
    <row r="77" spans="1:9">
      <c r="A77" s="1"/>
      <c r="B77" s="210"/>
      <c r="C77" s="187"/>
      <c r="D77" s="1"/>
      <c r="E77" s="1"/>
      <c r="F77" s="1"/>
      <c r="G77" s="1"/>
      <c r="I77" s="1"/>
    </row>
    <row r="78" spans="1:9">
      <c r="A78" s="1"/>
      <c r="B78" s="210"/>
      <c r="C78" s="187"/>
      <c r="D78" s="1"/>
      <c r="E78" s="1"/>
      <c r="F78" s="1"/>
      <c r="G78" s="1"/>
      <c r="I78" s="1"/>
    </row>
    <row r="79" spans="1:9">
      <c r="A79" s="1"/>
      <c r="B79" s="210"/>
      <c r="C79" s="187"/>
      <c r="D79" s="1"/>
      <c r="E79" s="1"/>
      <c r="F79" s="1"/>
      <c r="G79" s="1"/>
      <c r="I79" s="1"/>
    </row>
    <row r="80" spans="1:9">
      <c r="A80" s="1"/>
      <c r="B80" s="210"/>
      <c r="C80" s="187"/>
      <c r="D80" s="1"/>
      <c r="E80" s="1"/>
      <c r="F80" s="1"/>
      <c r="G80" s="1"/>
      <c r="I80" s="1"/>
    </row>
    <row r="81" spans="1:9">
      <c r="A81" s="1"/>
      <c r="B81" s="210"/>
      <c r="C81" s="187"/>
      <c r="D81" s="1"/>
      <c r="E81" s="1"/>
      <c r="F81" s="1"/>
      <c r="G81" s="1"/>
      <c r="I81" s="1"/>
    </row>
    <row r="82" spans="1:9">
      <c r="A82" s="1"/>
      <c r="B82" s="210"/>
      <c r="C82" s="187"/>
      <c r="D82" s="1"/>
      <c r="E82" s="1"/>
      <c r="F82" s="1"/>
      <c r="G82" s="1"/>
      <c r="I82" s="1"/>
    </row>
    <row r="83" spans="1:9">
      <c r="A83" s="1"/>
      <c r="B83" s="210"/>
      <c r="C83" s="187"/>
      <c r="D83" s="1"/>
      <c r="E83" s="1"/>
      <c r="F83" s="1"/>
      <c r="G83" s="1"/>
      <c r="I83" s="1"/>
    </row>
    <row r="84" spans="1:9">
      <c r="A84" s="1"/>
      <c r="B84" s="210"/>
      <c r="C84" s="187"/>
      <c r="D84" s="1"/>
      <c r="E84" s="1"/>
      <c r="F84" s="1"/>
      <c r="G84" s="1"/>
      <c r="I84" s="1"/>
    </row>
    <row r="85" spans="1:9">
      <c r="A85" s="1"/>
      <c r="B85" s="210"/>
      <c r="C85" s="187"/>
      <c r="D85" s="1"/>
      <c r="E85" s="1"/>
      <c r="F85" s="1"/>
      <c r="G85" s="1"/>
      <c r="I85" s="1"/>
    </row>
    <row r="86" spans="1:9">
      <c r="A86" s="1"/>
      <c r="B86" s="210"/>
      <c r="C86" s="187"/>
      <c r="D86" s="1"/>
      <c r="E86" s="1"/>
      <c r="F86" s="1"/>
      <c r="G86" s="1"/>
      <c r="I86" s="1"/>
    </row>
    <row r="87" spans="1:9">
      <c r="A87" s="1"/>
      <c r="B87" s="210"/>
      <c r="C87" s="187"/>
      <c r="D87" s="1"/>
      <c r="E87" s="1"/>
      <c r="F87" s="1"/>
      <c r="G87" s="1"/>
      <c r="I87" s="1"/>
    </row>
    <row r="88" spans="1:9">
      <c r="A88" s="1"/>
      <c r="B88" s="210"/>
      <c r="C88" s="187"/>
      <c r="D88" s="1"/>
      <c r="E88" s="1"/>
      <c r="F88" s="1"/>
      <c r="G88" s="1"/>
      <c r="I88" s="1"/>
    </row>
    <row r="89" spans="1:9">
      <c r="A89" s="1"/>
      <c r="B89" s="210"/>
      <c r="C89" s="187"/>
      <c r="D89" s="1"/>
      <c r="E89" s="1"/>
      <c r="F89" s="1"/>
      <c r="G89" s="1"/>
      <c r="I89" s="1"/>
    </row>
    <row r="90" spans="1:9">
      <c r="A90" s="1"/>
      <c r="B90" s="210"/>
      <c r="C90" s="187"/>
      <c r="D90" s="1"/>
      <c r="E90" s="1"/>
      <c r="F90" s="1"/>
      <c r="G90" s="1"/>
      <c r="I90" s="1"/>
    </row>
    <row r="91" spans="1:9">
      <c r="A91" s="1"/>
      <c r="B91" s="210"/>
      <c r="C91" s="187"/>
      <c r="D91" s="1"/>
      <c r="E91" s="1"/>
      <c r="F91" s="1"/>
      <c r="G91" s="1"/>
      <c r="I91" s="1"/>
    </row>
    <row r="92" spans="1:9">
      <c r="A92" s="1"/>
      <c r="B92" s="210"/>
      <c r="C92" s="187"/>
      <c r="D92" s="1"/>
      <c r="E92" s="1"/>
      <c r="F92" s="1"/>
      <c r="G92" s="1"/>
      <c r="I92" s="1"/>
    </row>
    <row r="93" spans="1:9">
      <c r="A93" s="1"/>
      <c r="B93" s="210"/>
      <c r="C93" s="187"/>
      <c r="D93" s="1"/>
      <c r="E93" s="1"/>
      <c r="F93" s="1"/>
      <c r="G93" s="1"/>
      <c r="I93" s="1"/>
    </row>
    <row r="94" spans="1:9">
      <c r="A94" s="1"/>
      <c r="B94" s="210"/>
      <c r="C94" s="187"/>
      <c r="D94" s="1"/>
      <c r="E94" s="1"/>
      <c r="F94" s="1"/>
      <c r="G94" s="1"/>
      <c r="I94" s="1"/>
    </row>
    <row r="95" spans="1:9">
      <c r="A95" s="1"/>
      <c r="B95" s="210"/>
      <c r="C95" s="187"/>
      <c r="D95" s="1"/>
      <c r="E95" s="1"/>
      <c r="F95" s="1"/>
      <c r="G95" s="1"/>
      <c r="I95" s="1"/>
    </row>
    <row r="96" spans="1:9">
      <c r="A96" s="1"/>
      <c r="B96" s="210"/>
      <c r="C96" s="187"/>
      <c r="D96" s="1"/>
      <c r="E96" s="1"/>
      <c r="F96" s="1"/>
      <c r="G96" s="1"/>
      <c r="I96" s="1"/>
    </row>
    <row r="97" spans="1:9">
      <c r="A97" s="1"/>
      <c r="B97" s="210"/>
      <c r="C97" s="187"/>
      <c r="D97" s="1"/>
      <c r="E97" s="1"/>
      <c r="F97" s="1"/>
      <c r="G97" s="1"/>
      <c r="I97" s="1"/>
    </row>
    <row r="98" spans="1:9">
      <c r="A98" s="1"/>
      <c r="B98" s="210"/>
      <c r="C98" s="187"/>
      <c r="D98" s="1"/>
      <c r="E98" s="1"/>
      <c r="F98" s="1"/>
      <c r="G98" s="1"/>
      <c r="I98" s="1"/>
    </row>
    <row r="99" spans="1:9">
      <c r="A99" s="1"/>
      <c r="B99" s="210"/>
      <c r="C99" s="187"/>
      <c r="D99" s="1"/>
      <c r="E99" s="1"/>
      <c r="F99" s="1"/>
      <c r="G99" s="1"/>
      <c r="I99" s="1"/>
    </row>
    <row r="100" spans="1:9">
      <c r="A100" s="1"/>
      <c r="B100" s="210"/>
      <c r="C100" s="187"/>
      <c r="D100" s="1"/>
      <c r="E100" s="1"/>
      <c r="F100" s="1"/>
      <c r="G100" s="1"/>
      <c r="I100" s="1"/>
    </row>
    <row r="101" spans="1:9">
      <c r="A101" s="1"/>
      <c r="B101" s="210"/>
      <c r="C101" s="187"/>
      <c r="D101" s="1"/>
      <c r="E101" s="1"/>
      <c r="F101" s="1"/>
      <c r="G101" s="1"/>
      <c r="I101" s="1"/>
    </row>
    <row r="102" spans="1:9">
      <c r="A102" s="1"/>
      <c r="B102" s="210"/>
      <c r="C102" s="187"/>
      <c r="D102" s="1"/>
      <c r="E102" s="1"/>
      <c r="F102" s="1"/>
      <c r="G102" s="1"/>
      <c r="I102" s="1"/>
    </row>
    <row r="103" spans="1:9">
      <c r="A103" s="1"/>
      <c r="B103" s="210"/>
      <c r="C103" s="187"/>
      <c r="D103" s="1"/>
      <c r="E103" s="1"/>
      <c r="F103" s="1"/>
      <c r="G103" s="1"/>
      <c r="I103" s="1"/>
    </row>
    <row r="104" spans="1:9">
      <c r="A104" s="1"/>
      <c r="B104" s="210"/>
      <c r="C104" s="187"/>
      <c r="D104" s="1"/>
      <c r="E104" s="1"/>
      <c r="F104" s="1"/>
      <c r="G104" s="1"/>
      <c r="I104" s="1"/>
    </row>
    <row r="105" spans="1:9">
      <c r="A105" s="1"/>
      <c r="B105" s="210"/>
      <c r="C105" s="187"/>
      <c r="D105" s="1"/>
      <c r="E105" s="1"/>
      <c r="F105" s="1"/>
      <c r="G105" s="1"/>
      <c r="I105" s="1"/>
    </row>
    <row r="106" spans="1:9">
      <c r="A106" s="1"/>
      <c r="B106" s="210"/>
      <c r="C106" s="187"/>
      <c r="D106" s="1"/>
      <c r="E106" s="1"/>
      <c r="F106" s="1"/>
      <c r="G106" s="1"/>
      <c r="I106" s="1"/>
    </row>
    <row r="107" spans="1:9">
      <c r="A107" s="1"/>
      <c r="B107" s="210"/>
      <c r="C107" s="187"/>
      <c r="D107" s="1"/>
      <c r="E107" s="1"/>
      <c r="F107" s="1"/>
      <c r="G107" s="1"/>
      <c r="I107" s="1"/>
    </row>
    <row r="108" spans="1:9">
      <c r="A108" s="1"/>
      <c r="B108" s="210"/>
      <c r="C108" s="187"/>
      <c r="D108" s="1"/>
      <c r="E108" s="1"/>
      <c r="F108" s="1"/>
      <c r="G108" s="1"/>
      <c r="I108" s="1"/>
    </row>
    <row r="109" spans="1:9">
      <c r="A109" s="1"/>
      <c r="B109" s="210"/>
      <c r="C109" s="187"/>
      <c r="D109" s="1"/>
      <c r="E109" s="1"/>
      <c r="F109" s="1"/>
      <c r="G109" s="1"/>
      <c r="I109" s="1"/>
    </row>
    <row r="110" spans="1:9">
      <c r="A110" s="1"/>
      <c r="B110" s="210"/>
      <c r="C110" s="187"/>
      <c r="D110" s="1"/>
      <c r="E110" s="1"/>
      <c r="F110" s="1"/>
      <c r="G110" s="1"/>
      <c r="I110" s="1"/>
    </row>
    <row r="111" spans="1:9">
      <c r="A111" s="1"/>
      <c r="B111" s="210"/>
      <c r="C111" s="187"/>
      <c r="D111" s="1"/>
      <c r="E111" s="1"/>
      <c r="F111" s="1"/>
      <c r="G111" s="1"/>
      <c r="I111" s="1"/>
    </row>
    <row r="112" spans="1:9">
      <c r="A112" s="1"/>
      <c r="B112" s="210"/>
      <c r="C112" s="187"/>
      <c r="D112" s="1"/>
      <c r="E112" s="1"/>
      <c r="F112" s="1"/>
      <c r="G112" s="1"/>
      <c r="I112" s="1"/>
    </row>
    <row r="113" spans="1:9">
      <c r="A113" s="1"/>
      <c r="B113" s="210"/>
      <c r="C113" s="187"/>
      <c r="D113" s="1"/>
      <c r="E113" s="1"/>
      <c r="F113" s="1"/>
      <c r="G113" s="1"/>
      <c r="I113" s="1"/>
    </row>
    <row r="114" spans="1:9">
      <c r="A114" s="1"/>
      <c r="B114" s="210"/>
      <c r="C114" s="187"/>
      <c r="D114" s="1"/>
      <c r="E114" s="1"/>
      <c r="F114" s="1"/>
      <c r="G114" s="1"/>
      <c r="I114" s="1"/>
    </row>
    <row r="115" spans="1:9">
      <c r="A115" s="1"/>
      <c r="B115" s="210"/>
      <c r="C115" s="187"/>
      <c r="D115" s="1"/>
      <c r="E115" s="1"/>
      <c r="F115" s="1"/>
      <c r="G115" s="1"/>
      <c r="I115" s="1"/>
    </row>
    <row r="116" spans="1:9">
      <c r="A116" s="1"/>
      <c r="B116" s="210"/>
      <c r="C116" s="187"/>
      <c r="D116" s="1"/>
      <c r="E116" s="1"/>
      <c r="F116" s="1"/>
      <c r="G116" s="1"/>
      <c r="I116" s="1"/>
    </row>
    <row r="117" spans="1:9">
      <c r="A117" s="1"/>
      <c r="B117" s="210"/>
      <c r="C117" s="187"/>
      <c r="D117" s="1"/>
      <c r="E117" s="1"/>
      <c r="F117" s="1"/>
      <c r="G117" s="1"/>
      <c r="I117" s="1"/>
    </row>
    <row r="118" spans="1:9">
      <c r="A118" s="1"/>
      <c r="B118" s="210"/>
      <c r="C118" s="187"/>
      <c r="D118" s="1"/>
      <c r="E118" s="1"/>
      <c r="F118" s="1"/>
      <c r="G118" s="1"/>
      <c r="I118" s="1"/>
    </row>
    <row r="119" spans="1:9">
      <c r="A119" s="1"/>
      <c r="B119" s="210"/>
      <c r="C119" s="187"/>
      <c r="D119" s="1"/>
      <c r="E119" s="1"/>
      <c r="F119" s="1"/>
      <c r="G119" s="1"/>
      <c r="I119" s="1"/>
    </row>
    <row r="120" spans="1:9">
      <c r="A120" s="1"/>
      <c r="B120" s="210"/>
      <c r="C120" s="187"/>
      <c r="D120" s="1"/>
      <c r="E120" s="1"/>
      <c r="F120" s="1"/>
      <c r="G120" s="1"/>
      <c r="I120" s="1"/>
    </row>
    <row r="121" spans="1:9">
      <c r="A121" s="1"/>
      <c r="B121" s="210"/>
      <c r="C121" s="187"/>
      <c r="D121" s="1"/>
      <c r="E121" s="1"/>
      <c r="F121" s="1"/>
      <c r="G121" s="1"/>
      <c r="I121" s="1"/>
    </row>
    <row r="122" spans="1:9">
      <c r="A122" s="1"/>
      <c r="B122" s="210"/>
      <c r="C122" s="187"/>
      <c r="D122" s="1"/>
      <c r="E122" s="1"/>
      <c r="F122" s="1"/>
      <c r="G122" s="1"/>
      <c r="I122" s="1"/>
    </row>
    <row r="123" spans="1:9">
      <c r="A123" s="1"/>
      <c r="B123" s="210"/>
      <c r="C123" s="187"/>
      <c r="D123" s="1"/>
      <c r="E123" s="1"/>
      <c r="F123" s="1"/>
      <c r="G123" s="1"/>
      <c r="I123" s="1"/>
    </row>
    <row r="124" spans="1:9">
      <c r="A124" s="1"/>
      <c r="B124" s="210"/>
      <c r="C124" s="187"/>
      <c r="D124" s="1"/>
      <c r="E124" s="1"/>
      <c r="F124" s="1"/>
      <c r="G124" s="1"/>
      <c r="I124" s="1"/>
    </row>
    <row r="125" spans="1:9">
      <c r="A125" s="1"/>
      <c r="B125" s="210"/>
      <c r="C125" s="187"/>
      <c r="D125" s="1"/>
      <c r="E125" s="1"/>
      <c r="F125" s="1"/>
      <c r="G125" s="1"/>
      <c r="I125" s="1"/>
    </row>
    <row r="126" spans="1:9">
      <c r="A126" s="1"/>
      <c r="B126" s="210"/>
      <c r="C126" s="187"/>
      <c r="D126" s="1"/>
      <c r="E126" s="1"/>
      <c r="F126" s="1"/>
      <c r="G126" s="1"/>
      <c r="I126" s="1"/>
    </row>
    <row r="127" spans="1:9">
      <c r="A127" s="1"/>
      <c r="B127" s="210"/>
      <c r="C127" s="187"/>
      <c r="D127" s="1"/>
      <c r="E127" s="1"/>
      <c r="F127" s="1"/>
      <c r="G127" s="1"/>
      <c r="I127" s="1"/>
    </row>
    <row r="128" spans="1:9">
      <c r="A128" s="1"/>
      <c r="B128" s="210"/>
      <c r="C128" s="187"/>
      <c r="D128" s="1"/>
      <c r="E128" s="1"/>
      <c r="F128" s="1"/>
      <c r="G128" s="1"/>
      <c r="I128" s="1"/>
    </row>
    <row r="129" spans="1:9">
      <c r="A129" s="1"/>
      <c r="B129" s="210"/>
      <c r="C129" s="187"/>
      <c r="D129" s="1"/>
      <c r="E129" s="1"/>
      <c r="F129" s="1"/>
      <c r="G129" s="1"/>
      <c r="I129" s="1"/>
    </row>
    <row r="130" spans="1:9">
      <c r="A130" s="1"/>
      <c r="B130" s="210"/>
      <c r="C130" s="187"/>
      <c r="D130" s="1"/>
      <c r="E130" s="1"/>
      <c r="F130" s="1"/>
      <c r="G130" s="1"/>
      <c r="I130" s="1"/>
    </row>
    <row r="131" spans="1:9">
      <c r="A131" s="1"/>
      <c r="B131" s="210"/>
      <c r="C131" s="187"/>
      <c r="D131" s="1"/>
      <c r="E131" s="1"/>
      <c r="F131" s="1"/>
      <c r="G131" s="1"/>
      <c r="I131" s="1"/>
    </row>
    <row r="132" spans="1:9">
      <c r="A132" s="1"/>
      <c r="B132" s="210"/>
      <c r="C132" s="187"/>
      <c r="D132" s="1"/>
      <c r="E132" s="1"/>
      <c r="F132" s="1"/>
      <c r="G132" s="1"/>
      <c r="I132" s="1"/>
    </row>
    <row r="133" spans="1:9">
      <c r="A133" s="1"/>
      <c r="B133" s="210"/>
      <c r="C133" s="187"/>
      <c r="D133" s="1"/>
      <c r="E133" s="1"/>
      <c r="F133" s="1"/>
      <c r="G133" s="1"/>
      <c r="I133" s="1"/>
    </row>
    <row r="134" spans="1:9">
      <c r="A134" s="1"/>
      <c r="B134" s="210"/>
      <c r="C134" s="187"/>
      <c r="D134" s="1"/>
      <c r="E134" s="1"/>
      <c r="F134" s="1"/>
      <c r="G134" s="1"/>
      <c r="I134" s="1"/>
    </row>
    <row r="135" spans="1:9">
      <c r="A135" s="1"/>
      <c r="B135" s="210"/>
      <c r="C135" s="187"/>
      <c r="D135" s="1"/>
      <c r="E135" s="1"/>
      <c r="F135" s="1"/>
      <c r="G135" s="1"/>
      <c r="I135" s="1"/>
    </row>
    <row r="136" spans="1:9">
      <c r="A136" s="1"/>
      <c r="B136" s="210"/>
      <c r="C136" s="187"/>
      <c r="D136" s="1"/>
      <c r="E136" s="1"/>
      <c r="F136" s="1"/>
      <c r="G136" s="1"/>
      <c r="I136" s="1"/>
    </row>
    <row r="137" spans="1:9">
      <c r="A137" s="1"/>
      <c r="B137" s="210"/>
      <c r="C137" s="187"/>
      <c r="D137" s="1"/>
      <c r="E137" s="1"/>
      <c r="F137" s="1"/>
      <c r="G137" s="1"/>
      <c r="I137" s="1"/>
    </row>
    <row r="138" spans="1:9">
      <c r="A138" s="1"/>
      <c r="B138" s="210"/>
      <c r="C138" s="187"/>
      <c r="D138" s="1"/>
      <c r="E138" s="1"/>
      <c r="F138" s="1"/>
      <c r="G138" s="1"/>
      <c r="I138" s="1"/>
    </row>
    <row r="139" spans="1:9">
      <c r="A139" s="1"/>
      <c r="B139" s="210"/>
      <c r="C139" s="187"/>
      <c r="D139" s="1"/>
      <c r="E139" s="1"/>
      <c r="F139" s="1"/>
      <c r="G139" s="1"/>
      <c r="I139" s="1"/>
    </row>
    <row r="140" spans="1:9">
      <c r="A140" s="1"/>
      <c r="B140" s="210"/>
      <c r="C140" s="187"/>
      <c r="D140" s="1"/>
      <c r="E140" s="1"/>
      <c r="F140" s="1"/>
      <c r="G140" s="1"/>
      <c r="I140" s="1"/>
    </row>
    <row r="141" spans="1:9">
      <c r="A141" s="1"/>
      <c r="B141" s="210"/>
      <c r="C141" s="187"/>
      <c r="D141" s="1"/>
      <c r="E141" s="1"/>
      <c r="F141" s="1"/>
      <c r="G141" s="1"/>
      <c r="I141" s="1"/>
    </row>
    <row r="142" spans="1:9">
      <c r="A142" s="1"/>
      <c r="B142" s="210"/>
      <c r="C142" s="187"/>
      <c r="D142" s="1"/>
      <c r="E142" s="1"/>
      <c r="F142" s="1"/>
      <c r="G142" s="1"/>
      <c r="I142" s="1"/>
    </row>
    <row r="143" spans="1:9">
      <c r="A143" s="1"/>
      <c r="B143" s="210"/>
      <c r="C143" s="187"/>
      <c r="D143" s="1"/>
      <c r="E143" s="1"/>
      <c r="F143" s="1"/>
      <c r="G143" s="1"/>
      <c r="I143" s="1"/>
    </row>
    <row r="144" spans="1:9">
      <c r="A144" s="1"/>
      <c r="B144" s="210"/>
      <c r="C144" s="187"/>
      <c r="D144" s="1"/>
      <c r="E144" s="1"/>
      <c r="F144" s="1"/>
      <c r="G144" s="1"/>
      <c r="I144" s="1"/>
    </row>
    <row r="145" spans="1:9">
      <c r="A145" s="1"/>
      <c r="B145" s="210"/>
      <c r="C145" s="187"/>
      <c r="D145" s="1"/>
      <c r="E145" s="1"/>
      <c r="F145" s="1"/>
      <c r="G145" s="1"/>
      <c r="I145" s="1"/>
    </row>
    <row r="146" spans="1:9">
      <c r="A146" s="1"/>
      <c r="B146" s="210"/>
      <c r="C146" s="187"/>
      <c r="D146" s="1"/>
      <c r="E146" s="1"/>
      <c r="F146" s="1"/>
      <c r="G146" s="1"/>
      <c r="I146" s="1"/>
    </row>
    <row r="147" spans="1:9">
      <c r="A147" s="1"/>
      <c r="B147" s="210"/>
      <c r="C147" s="187"/>
      <c r="D147" s="1"/>
      <c r="E147" s="1"/>
      <c r="F147" s="1"/>
      <c r="G147" s="1"/>
      <c r="I147" s="1"/>
    </row>
    <row r="148" spans="1:9">
      <c r="A148" s="1"/>
      <c r="B148" s="210"/>
      <c r="C148" s="187"/>
      <c r="D148" s="1"/>
      <c r="E148" s="1"/>
      <c r="F148" s="1"/>
      <c r="G148" s="1"/>
      <c r="I148" s="1"/>
    </row>
    <row r="149" spans="1:9">
      <c r="A149" s="1"/>
      <c r="B149" s="210"/>
      <c r="C149" s="187"/>
      <c r="D149" s="1"/>
      <c r="E149" s="1"/>
      <c r="F149" s="1"/>
      <c r="G149" s="1"/>
      <c r="I149" s="1"/>
    </row>
    <row r="150" spans="1:9">
      <c r="A150" s="1"/>
      <c r="B150" s="210"/>
      <c r="C150" s="187"/>
      <c r="D150" s="1"/>
      <c r="E150" s="1"/>
      <c r="F150" s="1"/>
      <c r="G150" s="1"/>
      <c r="I150" s="1"/>
    </row>
    <row r="151" spans="1:9">
      <c r="A151" s="1"/>
      <c r="B151" s="210"/>
      <c r="C151" s="187"/>
      <c r="D151" s="1"/>
      <c r="E151" s="1"/>
      <c r="F151" s="1"/>
      <c r="G151" s="1"/>
      <c r="I151" s="1"/>
    </row>
    <row r="152" spans="1:9">
      <c r="A152" s="1"/>
      <c r="B152" s="210"/>
      <c r="C152" s="187"/>
      <c r="D152" s="1"/>
      <c r="E152" s="1"/>
      <c r="F152" s="1"/>
      <c r="G152" s="1"/>
      <c r="I152" s="1"/>
    </row>
    <row r="153" spans="1:9">
      <c r="A153" s="1"/>
      <c r="B153" s="210"/>
      <c r="C153" s="187"/>
      <c r="D153" s="1"/>
      <c r="E153" s="1"/>
      <c r="F153" s="1"/>
      <c r="G153" s="1"/>
      <c r="I153" s="1"/>
    </row>
    <row r="154" spans="1:9">
      <c r="A154" s="1"/>
      <c r="B154" s="210"/>
      <c r="C154" s="187"/>
      <c r="D154" s="1"/>
      <c r="E154" s="1"/>
      <c r="F154" s="1"/>
      <c r="G154" s="1"/>
      <c r="I154" s="1"/>
    </row>
    <row r="155" spans="1:9">
      <c r="A155" s="1"/>
      <c r="B155" s="210"/>
      <c r="C155" s="187"/>
      <c r="D155" s="1"/>
      <c r="E155" s="1"/>
      <c r="F155" s="1"/>
      <c r="G155" s="1"/>
      <c r="I155" s="1"/>
    </row>
    <row r="156" spans="1:9">
      <c r="A156" s="1"/>
      <c r="B156" s="210"/>
      <c r="C156" s="187"/>
      <c r="D156" s="1"/>
      <c r="E156" s="1"/>
      <c r="F156" s="1"/>
      <c r="G156" s="1"/>
      <c r="I156" s="1"/>
    </row>
    <row r="157" spans="1:9">
      <c r="A157" s="1"/>
      <c r="B157" s="210"/>
      <c r="C157" s="187"/>
      <c r="D157" s="1"/>
      <c r="E157" s="1"/>
      <c r="F157" s="1"/>
      <c r="G157" s="1"/>
      <c r="I157" s="1"/>
    </row>
    <row r="158" spans="1:9">
      <c r="A158" s="1"/>
      <c r="B158" s="210"/>
      <c r="C158" s="187"/>
      <c r="D158" s="1"/>
      <c r="E158" s="1"/>
      <c r="F158" s="1"/>
      <c r="G158" s="1"/>
      <c r="I158" s="1"/>
    </row>
    <row r="159" spans="1:9">
      <c r="A159" s="1"/>
      <c r="B159" s="210"/>
      <c r="C159" s="187"/>
      <c r="D159" s="1"/>
      <c r="E159" s="1"/>
      <c r="F159" s="1"/>
      <c r="G159" s="1"/>
      <c r="I159" s="1"/>
    </row>
    <row r="160" spans="1:9">
      <c r="A160" s="1"/>
      <c r="B160" s="210"/>
      <c r="C160" s="187"/>
      <c r="D160" s="1"/>
      <c r="E160" s="1"/>
      <c r="F160" s="1"/>
      <c r="G160" s="1"/>
      <c r="I160" s="1"/>
    </row>
    <row r="161" spans="1:9">
      <c r="A161" s="1"/>
      <c r="B161" s="210"/>
      <c r="C161" s="187"/>
      <c r="D161" s="1"/>
      <c r="E161" s="1"/>
      <c r="F161" s="1"/>
      <c r="G161" s="1"/>
      <c r="I161" s="1"/>
    </row>
    <row r="162" spans="1:9">
      <c r="A162" s="1"/>
      <c r="B162" s="210"/>
      <c r="C162" s="187"/>
      <c r="D162" s="1"/>
      <c r="E162" s="1"/>
      <c r="F162" s="1"/>
      <c r="G162" s="1"/>
      <c r="I162" s="1"/>
    </row>
    <row r="163" spans="1:9">
      <c r="A163" s="1"/>
      <c r="B163" s="210"/>
      <c r="C163" s="187"/>
      <c r="D163" s="1"/>
      <c r="E163" s="1"/>
      <c r="F163" s="1"/>
      <c r="G163" s="1"/>
      <c r="I163" s="1"/>
    </row>
    <row r="164" spans="1:9">
      <c r="A164" s="1"/>
      <c r="B164" s="210"/>
      <c r="C164" s="187"/>
      <c r="D164" s="1"/>
      <c r="E164" s="1"/>
      <c r="F164" s="1"/>
      <c r="G164" s="1"/>
      <c r="I164" s="1"/>
    </row>
    <row r="165" spans="1:9">
      <c r="A165" s="1"/>
      <c r="B165" s="210"/>
      <c r="C165" s="187"/>
      <c r="D165" s="1"/>
      <c r="E165" s="1"/>
      <c r="F165" s="1"/>
      <c r="G165" s="1"/>
      <c r="I165" s="1"/>
    </row>
    <row r="166" spans="1:9">
      <c r="A166" s="1"/>
      <c r="B166" s="210"/>
      <c r="C166" s="187"/>
      <c r="D166" s="1"/>
      <c r="E166" s="1"/>
      <c r="F166" s="1"/>
      <c r="G166" s="1"/>
      <c r="I166" s="1"/>
    </row>
    <row r="167" spans="1:9">
      <c r="A167" s="1"/>
      <c r="B167" s="210"/>
      <c r="C167" s="187"/>
      <c r="D167" s="1"/>
      <c r="E167" s="1"/>
      <c r="F167" s="1"/>
      <c r="G167" s="1"/>
      <c r="I167" s="1"/>
    </row>
    <row r="168" spans="1:9">
      <c r="A168" s="1"/>
      <c r="B168" s="210"/>
      <c r="C168" s="187"/>
      <c r="D168" s="1"/>
      <c r="E168" s="1"/>
      <c r="F168" s="1"/>
      <c r="G168" s="1"/>
      <c r="I168" s="1"/>
    </row>
    <row r="169" spans="1:9">
      <c r="A169" s="1"/>
      <c r="B169" s="210"/>
      <c r="C169" s="187"/>
      <c r="D169" s="1"/>
      <c r="E169" s="1"/>
      <c r="F169" s="1"/>
      <c r="G169" s="1"/>
      <c r="I169" s="1"/>
    </row>
    <row r="170" spans="1:9">
      <c r="A170" s="1"/>
      <c r="B170" s="210"/>
      <c r="C170" s="187"/>
      <c r="D170" s="1"/>
      <c r="E170" s="1"/>
      <c r="F170" s="1"/>
      <c r="G170" s="1"/>
      <c r="I170" s="1"/>
    </row>
    <row r="171" spans="1:9">
      <c r="A171" s="1"/>
      <c r="B171" s="210"/>
      <c r="C171" s="187"/>
      <c r="D171" s="1"/>
      <c r="E171" s="1"/>
      <c r="F171" s="1"/>
      <c r="G171" s="1"/>
      <c r="I171" s="1"/>
    </row>
    <row r="172" spans="1:9">
      <c r="A172" s="1"/>
      <c r="B172" s="210"/>
      <c r="C172" s="187"/>
      <c r="D172" s="1"/>
      <c r="E172" s="1"/>
      <c r="F172" s="1"/>
      <c r="G172" s="1"/>
      <c r="I172" s="1"/>
    </row>
    <row r="173" spans="1:9">
      <c r="A173" s="1"/>
      <c r="B173" s="210"/>
      <c r="C173" s="187"/>
      <c r="D173" s="1"/>
      <c r="E173" s="1"/>
      <c r="F173" s="1"/>
      <c r="G173" s="1"/>
      <c r="I173" s="1"/>
    </row>
    <row r="174" spans="1:9">
      <c r="A174" s="1"/>
      <c r="B174" s="210"/>
      <c r="C174" s="187"/>
      <c r="D174" s="1"/>
      <c r="E174" s="1"/>
      <c r="F174" s="1"/>
      <c r="G174" s="1"/>
      <c r="I174" s="1"/>
    </row>
    <row r="175" spans="1:9">
      <c r="A175" s="1"/>
      <c r="B175" s="210"/>
      <c r="C175" s="187"/>
      <c r="D175" s="1"/>
      <c r="E175" s="1"/>
      <c r="F175" s="1"/>
      <c r="G175" s="1"/>
      <c r="I175" s="1"/>
    </row>
    <row r="176" spans="1:9">
      <c r="A176" s="1"/>
      <c r="B176" s="210"/>
      <c r="C176" s="187"/>
      <c r="D176" s="1"/>
      <c r="E176" s="1"/>
      <c r="F176" s="1"/>
      <c r="G176" s="1"/>
      <c r="I176" s="1"/>
    </row>
    <row r="177" spans="1:9">
      <c r="A177" s="1"/>
      <c r="B177" s="210"/>
      <c r="C177" s="187"/>
      <c r="D177" s="1"/>
      <c r="E177" s="1"/>
      <c r="F177" s="1"/>
      <c r="G177" s="1"/>
      <c r="I177" s="1"/>
    </row>
    <row r="178" spans="1:9">
      <c r="A178" s="1"/>
      <c r="B178" s="210"/>
      <c r="C178" s="187"/>
      <c r="D178" s="1"/>
      <c r="E178" s="1"/>
      <c r="F178" s="1"/>
      <c r="G178" s="1"/>
      <c r="I178" s="1"/>
    </row>
    <row r="179" spans="1:9">
      <c r="A179" s="1"/>
      <c r="B179" s="210"/>
      <c r="C179" s="187"/>
      <c r="D179" s="1"/>
      <c r="E179" s="1"/>
      <c r="F179" s="1"/>
      <c r="G179" s="1"/>
      <c r="I179" s="1"/>
    </row>
    <row r="180" spans="1:9">
      <c r="A180" s="1"/>
      <c r="B180" s="210"/>
      <c r="C180" s="187"/>
      <c r="D180" s="1"/>
      <c r="E180" s="1"/>
      <c r="F180" s="1"/>
      <c r="G180" s="1"/>
      <c r="I180" s="1"/>
    </row>
    <row r="181" spans="1:9">
      <c r="A181" s="1"/>
      <c r="B181" s="210"/>
      <c r="C181" s="187"/>
      <c r="D181" s="1"/>
      <c r="E181" s="1"/>
      <c r="F181" s="1"/>
      <c r="G181" s="1"/>
      <c r="I181" s="1"/>
    </row>
    <row r="182" spans="1:9">
      <c r="A182" s="1"/>
      <c r="B182" s="210"/>
      <c r="C182" s="187"/>
      <c r="D182" s="1"/>
      <c r="E182" s="1"/>
      <c r="F182" s="1"/>
      <c r="G182" s="1"/>
      <c r="I182" s="1"/>
    </row>
    <row r="183" spans="1:9">
      <c r="A183" s="1"/>
      <c r="B183" s="210"/>
      <c r="C183" s="187"/>
      <c r="D183" s="1"/>
      <c r="E183" s="1"/>
      <c r="F183" s="1"/>
      <c r="G183" s="1"/>
      <c r="I183" s="1"/>
    </row>
    <row r="184" spans="1:9">
      <c r="A184" s="1"/>
      <c r="B184" s="210"/>
      <c r="C184" s="187"/>
      <c r="D184" s="1"/>
      <c r="E184" s="1"/>
      <c r="F184" s="1"/>
      <c r="G184" s="1"/>
      <c r="I184" s="1"/>
    </row>
    <row r="185" spans="1:9">
      <c r="A185" s="1"/>
      <c r="B185" s="210"/>
      <c r="C185" s="187"/>
      <c r="D185" s="1"/>
      <c r="E185" s="1"/>
      <c r="F185" s="1"/>
      <c r="G185" s="1"/>
      <c r="I185" s="1"/>
    </row>
    <row r="186" spans="1:9">
      <c r="A186" s="1"/>
      <c r="B186" s="210"/>
      <c r="C186" s="187"/>
      <c r="D186" s="1"/>
      <c r="E186" s="1"/>
      <c r="F186" s="1"/>
      <c r="G186" s="1"/>
      <c r="I186" s="1"/>
    </row>
    <row r="187" spans="1:9">
      <c r="A187" s="1"/>
      <c r="B187" s="210"/>
      <c r="C187" s="187"/>
      <c r="D187" s="1"/>
      <c r="E187" s="1"/>
      <c r="F187" s="1"/>
      <c r="G187" s="1"/>
      <c r="I187" s="1"/>
    </row>
    <row r="188" spans="1:9">
      <c r="A188" s="1"/>
      <c r="B188" s="210"/>
      <c r="C188" s="187"/>
      <c r="D188" s="1"/>
      <c r="E188" s="1"/>
      <c r="F188" s="1"/>
      <c r="G188" s="1"/>
      <c r="I188" s="1"/>
    </row>
    <row r="189" spans="1:9">
      <c r="A189" s="1"/>
      <c r="B189" s="210"/>
      <c r="C189" s="187"/>
      <c r="D189" s="1"/>
      <c r="E189" s="1"/>
      <c r="F189" s="1"/>
      <c r="G189" s="1"/>
      <c r="I189" s="1"/>
    </row>
    <row r="190" spans="1:9">
      <c r="A190" s="1"/>
      <c r="B190" s="210"/>
      <c r="C190" s="187"/>
      <c r="D190" s="1"/>
      <c r="E190" s="1"/>
      <c r="F190" s="1"/>
      <c r="G190" s="1"/>
      <c r="I190" s="1"/>
    </row>
    <row r="191" spans="1:9">
      <c r="A191" s="1"/>
      <c r="B191" s="210"/>
      <c r="C191" s="187"/>
      <c r="D191" s="1"/>
      <c r="E191" s="1"/>
      <c r="F191" s="1"/>
      <c r="G191" s="1"/>
      <c r="I191" s="1"/>
    </row>
    <row r="192" spans="1:9">
      <c r="A192" s="1"/>
      <c r="B192" s="210"/>
      <c r="C192" s="187"/>
      <c r="D192" s="1"/>
      <c r="E192" s="1"/>
      <c r="F192" s="1"/>
      <c r="G192" s="1"/>
      <c r="I192" s="1"/>
    </row>
    <row r="193" spans="1:9">
      <c r="A193" s="1"/>
      <c r="B193" s="210"/>
      <c r="C193" s="187"/>
      <c r="D193" s="1"/>
      <c r="E193" s="1"/>
      <c r="F193" s="1"/>
      <c r="G193" s="1"/>
      <c r="I193" s="1"/>
    </row>
    <row r="194" spans="1:9">
      <c r="A194" s="1"/>
      <c r="B194" s="210"/>
      <c r="C194" s="187"/>
      <c r="D194" s="1"/>
      <c r="E194" s="1"/>
      <c r="F194" s="1"/>
      <c r="G194" s="1"/>
      <c r="I194" s="1"/>
    </row>
    <row r="195" spans="1:9">
      <c r="A195" s="1"/>
      <c r="B195" s="210"/>
      <c r="C195" s="187"/>
      <c r="D195" s="1"/>
      <c r="E195" s="1"/>
      <c r="F195" s="1"/>
      <c r="G195" s="1"/>
      <c r="I195" s="1"/>
    </row>
    <row r="196" spans="1:9">
      <c r="A196" s="1"/>
      <c r="B196" s="210"/>
      <c r="C196" s="187"/>
      <c r="D196" s="1"/>
      <c r="E196" s="1"/>
      <c r="F196" s="1"/>
      <c r="G196" s="1"/>
      <c r="I196" s="1"/>
    </row>
    <row r="197" spans="1:9">
      <c r="A197" s="1"/>
      <c r="B197" s="210"/>
      <c r="C197" s="187"/>
      <c r="D197" s="1"/>
      <c r="E197" s="1"/>
      <c r="F197" s="1"/>
      <c r="G197" s="1"/>
      <c r="I197" s="1"/>
    </row>
    <row r="198" spans="1:9">
      <c r="A198" s="1"/>
      <c r="B198" s="210"/>
      <c r="C198" s="187"/>
      <c r="D198" s="1"/>
      <c r="E198" s="1"/>
      <c r="F198" s="1"/>
      <c r="G198" s="1"/>
      <c r="I198" s="1"/>
    </row>
    <row r="199" spans="1:9">
      <c r="A199" s="1"/>
      <c r="B199" s="210"/>
      <c r="C199" s="187"/>
      <c r="D199" s="1"/>
      <c r="E199" s="1"/>
      <c r="F199" s="1"/>
      <c r="G199" s="1"/>
      <c r="I199" s="1"/>
    </row>
    <row r="200" spans="1:9">
      <c r="A200" s="1"/>
      <c r="B200" s="210"/>
      <c r="C200" s="187"/>
      <c r="D200" s="1"/>
      <c r="E200" s="1"/>
      <c r="F200" s="1"/>
      <c r="G200" s="1"/>
      <c r="I200" s="1"/>
    </row>
    <row r="201" spans="1:9">
      <c r="A201" s="1"/>
      <c r="B201" s="210"/>
      <c r="C201" s="187"/>
      <c r="D201" s="1"/>
      <c r="E201" s="1"/>
      <c r="F201" s="1"/>
      <c r="G201" s="1"/>
      <c r="I201" s="1"/>
    </row>
    <row r="202" spans="1:9">
      <c r="A202" s="1"/>
      <c r="B202" s="210"/>
      <c r="C202" s="187"/>
      <c r="D202" s="1"/>
      <c r="E202" s="1"/>
      <c r="F202" s="1"/>
      <c r="G202" s="1"/>
      <c r="I202" s="1"/>
    </row>
    <row r="203" spans="1:9">
      <c r="A203" s="1"/>
      <c r="B203" s="210"/>
      <c r="C203" s="187"/>
      <c r="D203" s="1"/>
      <c r="E203" s="1"/>
      <c r="F203" s="1"/>
      <c r="G203" s="1"/>
      <c r="I203" s="1"/>
    </row>
    <row r="204" spans="1:9">
      <c r="A204" s="1"/>
      <c r="B204" s="210"/>
      <c r="C204" s="187"/>
      <c r="D204" s="1"/>
      <c r="E204" s="1"/>
      <c r="F204" s="1"/>
      <c r="G204" s="1"/>
      <c r="I204" s="1"/>
    </row>
    <row r="205" spans="1:9">
      <c r="A205" s="1"/>
      <c r="B205" s="210"/>
      <c r="C205" s="187"/>
      <c r="D205" s="1"/>
      <c r="E205" s="1"/>
      <c r="F205" s="1"/>
      <c r="G205" s="1"/>
      <c r="I205" s="1"/>
    </row>
    <row r="206" spans="1:9">
      <c r="A206" s="1"/>
      <c r="B206" s="210"/>
      <c r="C206" s="187"/>
      <c r="D206" s="1"/>
      <c r="E206" s="1"/>
      <c r="F206" s="1"/>
      <c r="G206" s="1"/>
      <c r="I206" s="1"/>
    </row>
    <row r="207" spans="1:9">
      <c r="A207" s="1"/>
      <c r="B207" s="210"/>
      <c r="C207" s="187"/>
      <c r="D207" s="1"/>
      <c r="E207" s="1"/>
      <c r="F207" s="1"/>
      <c r="G207" s="1"/>
      <c r="I207" s="1"/>
    </row>
    <row r="208" spans="1:9">
      <c r="A208" s="1"/>
      <c r="B208" s="210"/>
      <c r="C208" s="187"/>
      <c r="D208" s="1"/>
      <c r="E208" s="1"/>
      <c r="F208" s="1"/>
      <c r="G208" s="1"/>
      <c r="I208" s="1"/>
    </row>
    <row r="209" spans="1:9">
      <c r="A209" s="1"/>
      <c r="B209" s="210"/>
      <c r="C209" s="187"/>
      <c r="D209" s="1"/>
      <c r="E209" s="1"/>
      <c r="F209" s="1"/>
      <c r="G209" s="1"/>
      <c r="I209" s="1"/>
    </row>
    <row r="210" spans="1:9">
      <c r="A210" s="1"/>
      <c r="B210" s="210"/>
      <c r="C210" s="187"/>
      <c r="D210" s="1"/>
      <c r="E210" s="1"/>
      <c r="F210" s="1"/>
      <c r="G210" s="1"/>
      <c r="I210" s="1"/>
    </row>
    <row r="211" spans="1:9">
      <c r="A211" s="1"/>
      <c r="B211" s="210"/>
      <c r="C211" s="187"/>
      <c r="D211" s="1"/>
      <c r="E211" s="1"/>
      <c r="F211" s="1"/>
      <c r="G211" s="1"/>
      <c r="I211" s="1"/>
    </row>
    <row r="212" spans="1:9">
      <c r="A212" s="1"/>
      <c r="B212" s="210"/>
      <c r="C212" s="187"/>
      <c r="D212" s="1"/>
      <c r="E212" s="1"/>
      <c r="F212" s="1"/>
      <c r="G212" s="1"/>
      <c r="I212" s="1"/>
    </row>
    <row r="213" spans="1:9">
      <c r="A213" s="1"/>
      <c r="B213" s="210"/>
      <c r="C213" s="187"/>
      <c r="D213" s="1"/>
      <c r="E213" s="1"/>
      <c r="F213" s="1"/>
      <c r="G213" s="1"/>
      <c r="I213" s="1"/>
    </row>
    <row r="214" spans="1:9">
      <c r="A214" s="1"/>
      <c r="B214" s="210"/>
      <c r="C214" s="187"/>
      <c r="D214" s="1"/>
      <c r="E214" s="1"/>
      <c r="F214" s="1"/>
      <c r="G214" s="1"/>
      <c r="I214" s="1"/>
    </row>
    <row r="215" spans="1:9">
      <c r="A215" s="1"/>
      <c r="B215" s="210"/>
      <c r="C215" s="187"/>
      <c r="D215" s="1"/>
      <c r="E215" s="1"/>
      <c r="F215" s="1"/>
      <c r="G215" s="1"/>
      <c r="I215" s="1"/>
    </row>
    <row r="216" spans="1:9">
      <c r="A216" s="1"/>
      <c r="B216" s="210"/>
      <c r="C216" s="187"/>
      <c r="D216" s="1"/>
      <c r="E216" s="1"/>
      <c r="F216" s="1"/>
      <c r="G216" s="1"/>
      <c r="I216" s="1"/>
    </row>
    <row r="217" spans="1:9">
      <c r="A217" s="1"/>
      <c r="B217" s="210"/>
      <c r="C217" s="187"/>
      <c r="D217" s="1"/>
      <c r="E217" s="1"/>
      <c r="F217" s="1"/>
      <c r="G217" s="1"/>
      <c r="I217" s="1"/>
    </row>
    <row r="218" spans="1:9">
      <c r="A218" s="1"/>
      <c r="B218" s="210"/>
      <c r="C218" s="187"/>
      <c r="D218" s="1"/>
      <c r="E218" s="1"/>
      <c r="F218" s="1"/>
      <c r="G218" s="1"/>
      <c r="I218" s="1"/>
    </row>
    <row r="219" spans="1:9">
      <c r="A219" s="1"/>
      <c r="B219" s="210"/>
      <c r="C219" s="187"/>
      <c r="D219" s="1"/>
      <c r="E219" s="1"/>
      <c r="F219" s="1"/>
      <c r="G219" s="1"/>
      <c r="I219" s="1"/>
    </row>
    <row r="220" spans="1:9">
      <c r="A220" s="1"/>
      <c r="B220" s="210"/>
      <c r="C220" s="187"/>
      <c r="D220" s="1"/>
      <c r="E220" s="1"/>
      <c r="F220" s="1"/>
      <c r="G220" s="1"/>
      <c r="I220" s="1"/>
    </row>
    <row r="221" spans="1:9">
      <c r="A221" s="1"/>
      <c r="B221" s="210"/>
      <c r="C221" s="187"/>
      <c r="D221" s="1"/>
      <c r="E221" s="1"/>
      <c r="F221" s="1"/>
      <c r="G221" s="1"/>
      <c r="I221" s="1"/>
    </row>
    <row r="222" spans="1:9">
      <c r="A222" s="1"/>
      <c r="B222" s="210"/>
      <c r="C222" s="187"/>
      <c r="D222" s="1"/>
      <c r="E222" s="1"/>
      <c r="F222" s="1"/>
      <c r="G222" s="1"/>
      <c r="I222" s="1"/>
    </row>
    <row r="223" spans="1:9">
      <c r="A223" s="1"/>
      <c r="B223" s="210"/>
      <c r="C223" s="187"/>
      <c r="D223" s="1"/>
      <c r="E223" s="1"/>
      <c r="F223" s="1"/>
      <c r="G223" s="1"/>
      <c r="I223" s="1"/>
    </row>
    <row r="224" spans="1:9">
      <c r="A224" s="1"/>
      <c r="B224" s="210"/>
      <c r="C224" s="187"/>
      <c r="D224" s="1"/>
      <c r="E224" s="1"/>
      <c r="F224" s="1"/>
      <c r="G224" s="1"/>
      <c r="I224" s="1"/>
    </row>
    <row r="225" spans="1:9">
      <c r="A225" s="1"/>
      <c r="B225" s="210"/>
      <c r="C225" s="187"/>
      <c r="D225" s="1"/>
      <c r="E225" s="1"/>
      <c r="F225" s="1"/>
      <c r="G225" s="1"/>
      <c r="I225" s="1"/>
    </row>
    <row r="226" spans="1:9">
      <c r="A226" s="1"/>
      <c r="B226" s="210"/>
      <c r="C226" s="187"/>
      <c r="D226" s="1"/>
      <c r="E226" s="1"/>
      <c r="F226" s="1"/>
      <c r="G226" s="1"/>
      <c r="I226" s="1"/>
    </row>
    <row r="227" spans="1:9">
      <c r="A227" s="1"/>
      <c r="B227" s="210"/>
      <c r="C227" s="187"/>
      <c r="D227" s="1"/>
      <c r="E227" s="1"/>
      <c r="F227" s="1"/>
      <c r="G227" s="1"/>
      <c r="I227" s="1"/>
    </row>
    <row r="228" spans="1:9">
      <c r="A228" s="1"/>
      <c r="B228" s="210"/>
      <c r="C228" s="187"/>
      <c r="D228" s="1"/>
      <c r="E228" s="1"/>
      <c r="F228" s="1"/>
      <c r="G228" s="1"/>
      <c r="I228" s="1"/>
    </row>
    <row r="229" spans="1:9">
      <c r="A229" s="1"/>
      <c r="B229" s="210"/>
      <c r="C229" s="187"/>
      <c r="D229" s="1"/>
      <c r="E229" s="1"/>
      <c r="F229" s="1"/>
      <c r="G229" s="1"/>
      <c r="I229" s="1"/>
    </row>
    <row r="230" spans="1:9">
      <c r="A230" s="1"/>
      <c r="B230" s="210"/>
      <c r="C230" s="187"/>
      <c r="D230" s="1"/>
      <c r="E230" s="1"/>
      <c r="F230" s="1"/>
      <c r="G230" s="1"/>
      <c r="I230" s="1"/>
    </row>
    <row r="231" spans="1:9">
      <c r="A231" s="1"/>
      <c r="B231" s="210"/>
      <c r="C231" s="187"/>
      <c r="D231" s="1"/>
      <c r="E231" s="1"/>
      <c r="F231" s="1"/>
      <c r="G231" s="1"/>
      <c r="I231" s="1"/>
    </row>
    <row r="232" spans="1:9">
      <c r="A232" s="1"/>
      <c r="B232" s="210"/>
      <c r="C232" s="187"/>
      <c r="D232" s="1"/>
      <c r="E232" s="1"/>
      <c r="F232" s="1"/>
      <c r="G232" s="1"/>
      <c r="I232" s="1"/>
    </row>
    <row r="233" spans="1:9">
      <c r="A233" s="1"/>
      <c r="B233" s="210"/>
      <c r="C233" s="187"/>
      <c r="D233" s="1"/>
      <c r="E233" s="1"/>
      <c r="F233" s="1"/>
      <c r="G233" s="1"/>
      <c r="I233" s="1"/>
    </row>
    <row r="234" spans="1:9">
      <c r="A234" s="1"/>
      <c r="B234" s="210"/>
      <c r="C234" s="187"/>
      <c r="D234" s="1"/>
      <c r="E234" s="1"/>
      <c r="F234" s="1"/>
      <c r="G234" s="1"/>
      <c r="I234" s="1"/>
    </row>
    <row r="235" spans="1:9">
      <c r="A235" s="1"/>
      <c r="B235" s="210"/>
      <c r="C235" s="187"/>
      <c r="D235" s="1"/>
      <c r="E235" s="1"/>
      <c r="F235" s="1"/>
      <c r="G235" s="1"/>
      <c r="I235" s="1"/>
    </row>
    <row r="236" spans="1:9">
      <c r="A236" s="1"/>
      <c r="B236" s="210"/>
      <c r="C236" s="187"/>
      <c r="D236" s="1"/>
      <c r="E236" s="1"/>
      <c r="F236" s="1"/>
      <c r="G236" s="1"/>
      <c r="I236" s="1"/>
    </row>
    <row r="237" spans="1:9">
      <c r="A237" s="1"/>
      <c r="B237" s="210"/>
      <c r="C237" s="187"/>
      <c r="D237" s="1"/>
      <c r="E237" s="1"/>
      <c r="F237" s="1"/>
      <c r="G237" s="1"/>
      <c r="I237" s="1"/>
    </row>
    <row r="238" spans="1:9">
      <c r="A238" s="1"/>
      <c r="B238" s="210"/>
      <c r="C238" s="187"/>
      <c r="D238" s="1"/>
      <c r="E238" s="1"/>
      <c r="F238" s="1"/>
      <c r="G238" s="1"/>
      <c r="I238" s="1"/>
    </row>
    <row r="239" spans="1:9">
      <c r="A239" s="1"/>
      <c r="B239" s="210"/>
      <c r="C239" s="187"/>
      <c r="D239" s="1"/>
      <c r="E239" s="1"/>
      <c r="F239" s="1"/>
      <c r="G239" s="1"/>
      <c r="I239" s="1"/>
    </row>
    <row r="240" spans="1:9">
      <c r="A240" s="1"/>
      <c r="B240" s="210"/>
      <c r="C240" s="187"/>
      <c r="D240" s="1"/>
      <c r="E240" s="1"/>
      <c r="F240" s="1"/>
      <c r="G240" s="1"/>
      <c r="I240" s="1"/>
    </row>
    <row r="241" spans="1:9">
      <c r="A241" s="1"/>
      <c r="B241" s="210"/>
      <c r="C241" s="187"/>
      <c r="D241" s="1"/>
      <c r="E241" s="1"/>
      <c r="F241" s="1"/>
      <c r="G241" s="1"/>
      <c r="I241" s="1"/>
    </row>
    <row r="242" spans="1:9">
      <c r="A242" s="1"/>
      <c r="B242" s="210"/>
      <c r="C242" s="187"/>
      <c r="D242" s="1"/>
      <c r="E242" s="1"/>
      <c r="F242" s="1"/>
      <c r="G242" s="1"/>
      <c r="I242" s="1"/>
    </row>
    <row r="243" spans="1:9">
      <c r="A243" s="1"/>
      <c r="B243" s="210"/>
      <c r="C243" s="187"/>
      <c r="D243" s="1"/>
      <c r="E243" s="1"/>
      <c r="F243" s="1"/>
      <c r="G243" s="1"/>
      <c r="I243" s="1"/>
    </row>
    <row r="244" spans="1:9">
      <c r="A244" s="1"/>
      <c r="B244" s="210"/>
      <c r="C244" s="187"/>
      <c r="D244" s="1"/>
      <c r="E244" s="1"/>
      <c r="F244" s="1"/>
      <c r="G244" s="1"/>
      <c r="I244" s="1"/>
    </row>
    <row r="245" spans="1:9">
      <c r="A245" s="1"/>
      <c r="B245" s="210"/>
      <c r="C245" s="187"/>
      <c r="D245" s="1"/>
      <c r="E245" s="1"/>
      <c r="F245" s="1"/>
      <c r="G245" s="1"/>
      <c r="I245" s="1"/>
    </row>
    <row r="246" spans="1:9">
      <c r="A246" s="1"/>
      <c r="B246" s="210"/>
      <c r="C246" s="187"/>
      <c r="D246" s="1"/>
      <c r="E246" s="1"/>
      <c r="F246" s="1"/>
      <c r="G246" s="1"/>
      <c r="I246" s="1"/>
    </row>
    <row r="247" spans="1:9">
      <c r="A247" s="1"/>
      <c r="B247" s="210"/>
      <c r="C247" s="187"/>
      <c r="D247" s="1"/>
      <c r="E247" s="1"/>
      <c r="F247" s="1"/>
      <c r="G247" s="1"/>
      <c r="I247" s="1"/>
    </row>
    <row r="248" spans="1:9">
      <c r="A248" s="1"/>
      <c r="B248" s="210"/>
      <c r="C248" s="187"/>
      <c r="D248" s="1"/>
      <c r="E248" s="1"/>
      <c r="F248" s="1"/>
      <c r="G248" s="1"/>
      <c r="I248" s="1"/>
    </row>
    <row r="249" spans="1:9">
      <c r="A249" s="1"/>
      <c r="B249" s="210"/>
      <c r="C249" s="187"/>
      <c r="D249" s="1"/>
      <c r="E249" s="1"/>
      <c r="F249" s="1"/>
      <c r="G249" s="1"/>
      <c r="I249" s="1"/>
    </row>
    <row r="250" spans="1:9">
      <c r="A250" s="1"/>
      <c r="B250" s="210"/>
      <c r="C250" s="187"/>
      <c r="D250" s="1"/>
      <c r="E250" s="1"/>
      <c r="F250" s="1"/>
      <c r="G250" s="1"/>
      <c r="I250" s="1"/>
    </row>
    <row r="251" spans="1:9">
      <c r="A251" s="1"/>
      <c r="B251" s="210"/>
      <c r="C251" s="187"/>
      <c r="D251" s="1"/>
      <c r="E251" s="1"/>
      <c r="F251" s="1"/>
      <c r="G251" s="1"/>
      <c r="I251" s="1"/>
    </row>
    <row r="252" spans="1:9">
      <c r="A252" s="1"/>
      <c r="B252" s="210"/>
      <c r="C252" s="187"/>
      <c r="D252" s="1"/>
      <c r="E252" s="1"/>
      <c r="F252" s="1"/>
      <c r="G252" s="1"/>
      <c r="I252" s="1"/>
    </row>
    <row r="253" spans="1:9">
      <c r="A253" s="1"/>
      <c r="B253" s="210"/>
      <c r="C253" s="187"/>
      <c r="D253" s="1"/>
      <c r="E253" s="1"/>
      <c r="F253" s="1"/>
      <c r="G253" s="1"/>
      <c r="I253" s="1"/>
    </row>
    <row r="254" spans="1:9">
      <c r="A254" s="1"/>
      <c r="B254" s="210"/>
      <c r="C254" s="187"/>
      <c r="D254" s="1"/>
      <c r="E254" s="1"/>
      <c r="F254" s="1"/>
      <c r="G254" s="1"/>
      <c r="I254" s="1"/>
    </row>
    <row r="255" spans="1:9">
      <c r="A255" s="1"/>
      <c r="B255" s="210"/>
      <c r="C255" s="187"/>
      <c r="D255" s="1"/>
      <c r="E255" s="1"/>
      <c r="F255" s="1"/>
      <c r="G255" s="1"/>
      <c r="I255" s="1"/>
    </row>
    <row r="256" spans="1:9">
      <c r="A256" s="1"/>
      <c r="B256" s="210"/>
      <c r="C256" s="187"/>
      <c r="D256" s="1"/>
      <c r="E256" s="1"/>
      <c r="F256" s="1"/>
      <c r="G256" s="1"/>
      <c r="I256" s="1"/>
    </row>
    <row r="257" spans="1:9">
      <c r="A257" s="1"/>
      <c r="B257" s="210"/>
      <c r="C257" s="187"/>
      <c r="D257" s="1"/>
      <c r="E257" s="1"/>
      <c r="F257" s="1"/>
      <c r="G257" s="1"/>
      <c r="I257" s="1"/>
    </row>
    <row r="258" spans="1:9">
      <c r="A258" s="1"/>
      <c r="B258" s="210"/>
      <c r="C258" s="187"/>
      <c r="D258" s="1"/>
      <c r="E258" s="1"/>
      <c r="F258" s="1"/>
      <c r="G258" s="1"/>
      <c r="I258" s="1"/>
    </row>
    <row r="259" spans="1:9">
      <c r="A259" s="1"/>
      <c r="B259" s="210"/>
      <c r="C259" s="187"/>
      <c r="D259" s="1"/>
      <c r="E259" s="1"/>
      <c r="F259" s="1"/>
      <c r="G259" s="1"/>
      <c r="I259" s="1"/>
    </row>
    <row r="260" spans="1:9">
      <c r="A260" s="1"/>
      <c r="B260" s="210"/>
      <c r="C260" s="187"/>
      <c r="D260" s="1"/>
      <c r="E260" s="1"/>
      <c r="F260" s="1"/>
      <c r="G260" s="1"/>
      <c r="I260" s="1"/>
    </row>
    <row r="261" spans="1:9">
      <c r="A261" s="1"/>
      <c r="B261" s="210"/>
      <c r="C261" s="187"/>
      <c r="D261" s="1"/>
      <c r="E261" s="1"/>
      <c r="F261" s="1"/>
      <c r="G261" s="1"/>
      <c r="I261" s="1"/>
    </row>
    <row r="262" spans="1:9">
      <c r="A262" s="1"/>
      <c r="B262" s="210"/>
      <c r="C262" s="187"/>
      <c r="D262" s="1"/>
      <c r="E262" s="1"/>
      <c r="F262" s="1"/>
      <c r="G262" s="1"/>
      <c r="I262" s="1"/>
    </row>
    <row r="263" spans="1:9">
      <c r="A263" s="1"/>
      <c r="B263" s="210"/>
      <c r="C263" s="187"/>
      <c r="D263" s="1"/>
      <c r="E263" s="1"/>
      <c r="F263" s="1"/>
      <c r="G263" s="1"/>
      <c r="I263" s="1"/>
    </row>
    <row r="264" spans="1:9">
      <c r="A264" s="1"/>
      <c r="B264" s="210"/>
      <c r="C264" s="187"/>
      <c r="D264" s="1"/>
      <c r="E264" s="1"/>
      <c r="F264" s="1"/>
      <c r="G264" s="1"/>
      <c r="I264" s="1"/>
    </row>
    <row r="265" spans="1:9">
      <c r="A265" s="1"/>
      <c r="B265" s="210"/>
      <c r="C265" s="187"/>
      <c r="D265" s="1"/>
      <c r="E265" s="1"/>
      <c r="F265" s="1"/>
      <c r="G265" s="1"/>
      <c r="I265" s="1"/>
    </row>
    <row r="266" spans="1:9">
      <c r="A266" s="1"/>
      <c r="B266" s="210"/>
      <c r="C266" s="187"/>
      <c r="D266" s="1"/>
      <c r="E266" s="1"/>
      <c r="F266" s="1"/>
      <c r="G266" s="1"/>
      <c r="I266" s="1"/>
    </row>
    <row r="267" spans="1:9">
      <c r="A267" s="1"/>
      <c r="B267" s="210"/>
      <c r="C267" s="187"/>
      <c r="D267" s="1"/>
      <c r="E267" s="1"/>
      <c r="F267" s="1"/>
      <c r="G267" s="1"/>
      <c r="I267" s="1"/>
    </row>
    <row r="268" spans="1:9">
      <c r="A268" s="1"/>
      <c r="B268" s="210"/>
      <c r="C268" s="187"/>
      <c r="D268" s="1"/>
      <c r="E268" s="1"/>
      <c r="F268" s="1"/>
      <c r="G268" s="1"/>
      <c r="I268" s="1"/>
    </row>
    <row r="269" spans="1:9">
      <c r="A269" s="1"/>
      <c r="B269" s="210"/>
      <c r="C269" s="187"/>
      <c r="D269" s="1"/>
      <c r="E269" s="1"/>
      <c r="F269" s="1"/>
      <c r="G269" s="1"/>
      <c r="I269" s="1"/>
    </row>
    <row r="270" spans="1:9">
      <c r="A270" s="1"/>
      <c r="B270" s="210"/>
      <c r="C270" s="187"/>
      <c r="D270" s="1"/>
      <c r="E270" s="1"/>
      <c r="F270" s="1"/>
      <c r="G270" s="1"/>
      <c r="I270" s="1"/>
    </row>
    <row r="271" spans="1:9">
      <c r="A271" s="1"/>
      <c r="B271" s="210"/>
      <c r="C271" s="187"/>
      <c r="D271" s="1"/>
      <c r="E271" s="1"/>
      <c r="F271" s="1"/>
      <c r="G271" s="1"/>
      <c r="I271" s="1"/>
    </row>
    <row r="272" spans="1:9">
      <c r="A272" s="1"/>
      <c r="B272" s="210"/>
      <c r="C272" s="187"/>
      <c r="D272" s="1"/>
      <c r="E272" s="1"/>
      <c r="F272" s="1"/>
      <c r="G272" s="1"/>
      <c r="I272" s="1"/>
    </row>
    <row r="273" spans="1:9">
      <c r="A273" s="1"/>
      <c r="B273" s="210"/>
      <c r="C273" s="187"/>
      <c r="D273" s="1"/>
      <c r="E273" s="1"/>
      <c r="F273" s="1"/>
      <c r="G273" s="1"/>
      <c r="I273" s="1"/>
    </row>
    <row r="274" spans="1:9">
      <c r="A274" s="1"/>
      <c r="B274" s="210"/>
      <c r="C274" s="187"/>
      <c r="D274" s="1"/>
      <c r="E274" s="1"/>
      <c r="F274" s="1"/>
      <c r="G274" s="1"/>
      <c r="I274" s="1"/>
    </row>
    <row r="275" spans="1:9">
      <c r="A275" s="1"/>
      <c r="B275" s="210"/>
      <c r="C275" s="187"/>
      <c r="D275" s="1"/>
      <c r="E275" s="1"/>
      <c r="F275" s="1"/>
      <c r="G275" s="1"/>
      <c r="I275" s="1"/>
    </row>
    <row r="276" spans="1:9">
      <c r="A276" s="1"/>
      <c r="B276" s="210"/>
      <c r="C276" s="187"/>
      <c r="D276" s="1"/>
      <c r="E276" s="1"/>
      <c r="F276" s="1"/>
      <c r="G276" s="1"/>
      <c r="I276" s="1"/>
    </row>
    <row r="277" spans="1:9">
      <c r="A277" s="1"/>
      <c r="B277" s="210"/>
      <c r="C277" s="187"/>
      <c r="D277" s="1"/>
      <c r="E277" s="1"/>
      <c r="F277" s="1"/>
      <c r="G277" s="1"/>
      <c r="I277" s="1"/>
    </row>
    <row r="278" spans="1:9">
      <c r="A278" s="1"/>
      <c r="B278" s="210"/>
      <c r="C278" s="187"/>
      <c r="D278" s="1"/>
      <c r="E278" s="1"/>
      <c r="F278" s="1"/>
      <c r="G278" s="1"/>
      <c r="I278" s="1"/>
    </row>
    <row r="279" spans="1:9">
      <c r="A279" s="1"/>
      <c r="B279" s="210"/>
      <c r="C279" s="187"/>
      <c r="D279" s="1"/>
      <c r="E279" s="1"/>
      <c r="F279" s="1"/>
      <c r="G279" s="1"/>
      <c r="I279" s="1"/>
    </row>
    <row r="280" spans="1:9">
      <c r="A280" s="1"/>
      <c r="B280" s="210"/>
      <c r="C280" s="187"/>
      <c r="D280" s="1"/>
      <c r="E280" s="1"/>
      <c r="F280" s="1"/>
      <c r="G280" s="1"/>
      <c r="I280" s="1"/>
    </row>
    <row r="281" spans="1:9">
      <c r="A281" s="1"/>
      <c r="B281" s="210"/>
      <c r="C281" s="187"/>
      <c r="D281" s="1"/>
      <c r="E281" s="1"/>
      <c r="F281" s="1"/>
      <c r="G281" s="1"/>
      <c r="I281" s="1"/>
    </row>
    <row r="282" spans="1:9">
      <c r="A282" s="1"/>
      <c r="B282" s="210"/>
      <c r="C282" s="187"/>
      <c r="D282" s="1"/>
      <c r="E282" s="1"/>
      <c r="F282" s="1"/>
      <c r="G282" s="1"/>
      <c r="I282" s="1"/>
    </row>
    <row r="283" spans="1:9">
      <c r="A283" s="1"/>
      <c r="B283" s="210"/>
      <c r="C283" s="187"/>
      <c r="D283" s="1"/>
      <c r="E283" s="1"/>
      <c r="F283" s="1"/>
      <c r="G283" s="1"/>
      <c r="I283" s="1"/>
    </row>
    <row r="284" spans="1:9">
      <c r="A284" s="1"/>
      <c r="B284" s="210"/>
      <c r="C284" s="187"/>
      <c r="D284" s="1"/>
      <c r="E284" s="1"/>
      <c r="F284" s="1"/>
      <c r="G284" s="1"/>
      <c r="I284" s="1"/>
    </row>
    <row r="285" spans="1:9">
      <c r="A285" s="1"/>
      <c r="B285" s="210"/>
      <c r="C285" s="187"/>
      <c r="D285" s="1"/>
      <c r="E285" s="1"/>
      <c r="F285" s="1"/>
      <c r="G285" s="1"/>
      <c r="I285" s="1"/>
    </row>
    <row r="286" spans="1:9">
      <c r="A286" s="1"/>
      <c r="B286" s="210"/>
      <c r="C286" s="187"/>
      <c r="D286" s="1"/>
      <c r="E286" s="1"/>
      <c r="F286" s="1"/>
      <c r="G286" s="1"/>
      <c r="I286" s="1"/>
    </row>
    <row r="287" spans="1:9">
      <c r="A287" s="1"/>
      <c r="B287" s="210"/>
      <c r="C287" s="187"/>
      <c r="D287" s="1"/>
      <c r="E287" s="1"/>
      <c r="F287" s="1"/>
      <c r="G287" s="1"/>
      <c r="I287" s="1"/>
    </row>
    <row r="288" spans="1:9">
      <c r="A288" s="1"/>
      <c r="B288" s="210"/>
      <c r="C288" s="187"/>
      <c r="D288" s="1"/>
      <c r="E288" s="1"/>
      <c r="F288" s="1"/>
      <c r="G288" s="1"/>
      <c r="I288" s="1"/>
    </row>
    <row r="289" spans="1:9">
      <c r="A289" s="1"/>
      <c r="B289" s="210"/>
      <c r="C289" s="187"/>
      <c r="D289" s="1"/>
      <c r="E289" s="1"/>
      <c r="F289" s="1"/>
      <c r="G289" s="1"/>
      <c r="I289" s="1"/>
    </row>
    <row r="290" spans="1:9">
      <c r="A290" s="1"/>
      <c r="B290" s="210"/>
      <c r="C290" s="187"/>
      <c r="D290" s="1"/>
      <c r="E290" s="1"/>
      <c r="F290" s="1"/>
      <c r="G290" s="1"/>
      <c r="I290" s="1"/>
    </row>
    <row r="291" spans="1:9">
      <c r="A291" s="1"/>
      <c r="B291" s="210"/>
      <c r="C291" s="187"/>
      <c r="D291" s="1"/>
      <c r="E291" s="1"/>
      <c r="F291" s="1"/>
      <c r="G291" s="1"/>
      <c r="I291" s="1"/>
    </row>
    <row r="292" spans="1:9">
      <c r="A292" s="1"/>
      <c r="B292" s="210"/>
      <c r="C292" s="187"/>
      <c r="D292" s="1"/>
      <c r="E292" s="1"/>
      <c r="F292" s="1"/>
      <c r="G292" s="1"/>
      <c r="I292" s="1"/>
    </row>
    <row r="293" spans="1:9">
      <c r="A293" s="1"/>
      <c r="B293" s="210"/>
      <c r="C293" s="187"/>
      <c r="D293" s="1"/>
      <c r="E293" s="1"/>
      <c r="F293" s="1"/>
      <c r="G293" s="1"/>
      <c r="I293" s="1"/>
    </row>
    <row r="294" spans="1:9">
      <c r="A294" s="1"/>
      <c r="B294" s="210"/>
      <c r="C294" s="187"/>
      <c r="D294" s="1"/>
      <c r="E294" s="1"/>
      <c r="F294" s="1"/>
      <c r="G294" s="1"/>
      <c r="I294" s="1"/>
    </row>
    <row r="295" spans="1:9">
      <c r="A295" s="1"/>
      <c r="B295" s="210"/>
      <c r="C295" s="187"/>
      <c r="D295" s="1"/>
      <c r="E295" s="1"/>
      <c r="F295" s="1"/>
      <c r="G295" s="1"/>
      <c r="I295" s="1"/>
    </row>
    <row r="296" spans="1:9">
      <c r="A296" s="1"/>
      <c r="B296" s="210"/>
      <c r="C296" s="187"/>
      <c r="D296" s="1"/>
      <c r="E296" s="1"/>
      <c r="F296" s="1"/>
      <c r="G296" s="1"/>
      <c r="I296" s="1"/>
    </row>
    <row r="297" spans="1:9">
      <c r="A297" s="1"/>
      <c r="B297" s="210"/>
      <c r="C297" s="187"/>
      <c r="D297" s="1"/>
      <c r="E297" s="1"/>
      <c r="F297" s="1"/>
      <c r="G297" s="1"/>
      <c r="I297" s="1"/>
    </row>
    <row r="298" spans="1:9">
      <c r="A298" s="1"/>
      <c r="B298" s="210"/>
      <c r="C298" s="187"/>
      <c r="D298" s="1"/>
      <c r="E298" s="1"/>
      <c r="F298" s="1"/>
      <c r="G298" s="1"/>
      <c r="I298" s="1"/>
    </row>
    <row r="299" spans="1:9">
      <c r="A299" s="1"/>
      <c r="B299" s="210"/>
      <c r="C299" s="187"/>
      <c r="D299" s="1"/>
      <c r="E299" s="1"/>
      <c r="F299" s="1"/>
      <c r="G299" s="1"/>
      <c r="I299" s="1"/>
    </row>
    <row r="300" spans="1:9">
      <c r="A300" s="1"/>
      <c r="B300" s="210"/>
      <c r="C300" s="187"/>
      <c r="D300" s="1"/>
      <c r="E300" s="1"/>
      <c r="F300" s="1"/>
      <c r="G300" s="1"/>
      <c r="I300" s="1"/>
    </row>
    <row r="301" spans="1:9">
      <c r="A301" s="1"/>
      <c r="B301" s="210"/>
      <c r="C301" s="187"/>
      <c r="D301" s="1"/>
      <c r="E301" s="1"/>
      <c r="F301" s="1"/>
      <c r="G301" s="1"/>
      <c r="I301" s="1"/>
    </row>
    <row r="302" spans="1:9">
      <c r="A302" s="1"/>
      <c r="B302" s="210"/>
      <c r="C302" s="187"/>
      <c r="D302" s="1"/>
      <c r="E302" s="1"/>
      <c r="F302" s="1"/>
      <c r="G302" s="1"/>
      <c r="I302" s="1"/>
    </row>
    <row r="303" spans="1:9">
      <c r="A303" s="1"/>
      <c r="B303" s="210"/>
      <c r="C303" s="187"/>
      <c r="D303" s="1"/>
      <c r="E303" s="1"/>
      <c r="F303" s="1"/>
      <c r="G303" s="1"/>
      <c r="I303" s="1"/>
    </row>
    <row r="304" spans="1:9">
      <c r="A304" s="1"/>
      <c r="B304" s="210"/>
      <c r="C304" s="187"/>
      <c r="D304" s="1"/>
      <c r="E304" s="1"/>
      <c r="F304" s="1"/>
      <c r="G304" s="1"/>
      <c r="I304" s="1"/>
    </row>
    <row r="305" spans="1:9">
      <c r="A305" s="1"/>
      <c r="B305" s="210"/>
      <c r="C305" s="187"/>
      <c r="D305" s="1"/>
      <c r="E305" s="1"/>
      <c r="F305" s="1"/>
      <c r="G305" s="1"/>
      <c r="I305" s="1"/>
    </row>
    <row r="306" spans="1:9">
      <c r="A306" s="1"/>
      <c r="B306" s="210"/>
      <c r="C306" s="187"/>
      <c r="D306" s="1"/>
      <c r="E306" s="1"/>
      <c r="F306" s="1"/>
      <c r="G306" s="1"/>
      <c r="I306" s="1"/>
    </row>
    <row r="307" spans="1:9">
      <c r="A307" s="1"/>
      <c r="B307" s="210"/>
      <c r="C307" s="187"/>
      <c r="D307" s="1"/>
      <c r="E307" s="1"/>
      <c r="F307" s="1"/>
      <c r="G307" s="1"/>
      <c r="I307" s="1"/>
    </row>
    <row r="308" spans="1:9">
      <c r="A308" s="1"/>
      <c r="B308" s="210"/>
      <c r="C308" s="187"/>
      <c r="D308" s="1"/>
      <c r="E308" s="1"/>
      <c r="F308" s="1"/>
      <c r="G308" s="1"/>
      <c r="I308" s="1"/>
    </row>
    <row r="309" spans="1:9">
      <c r="A309" s="1"/>
      <c r="B309" s="210"/>
      <c r="C309" s="187"/>
      <c r="D309" s="1"/>
      <c r="E309" s="1"/>
      <c r="F309" s="1"/>
      <c r="G309" s="1"/>
      <c r="I309" s="1"/>
    </row>
    <row r="310" spans="1:9">
      <c r="A310" s="1"/>
      <c r="B310" s="210"/>
      <c r="C310" s="187"/>
      <c r="D310" s="1"/>
      <c r="E310" s="1"/>
      <c r="F310" s="1"/>
      <c r="G310" s="1"/>
      <c r="I310" s="1"/>
    </row>
    <row r="311" spans="1:9">
      <c r="A311" s="1"/>
      <c r="B311" s="210"/>
      <c r="C311" s="187"/>
      <c r="D311" s="1"/>
      <c r="E311" s="1"/>
      <c r="F311" s="1"/>
      <c r="G311" s="1"/>
      <c r="I311" s="1"/>
    </row>
    <row r="312" spans="1:9">
      <c r="A312" s="1"/>
      <c r="B312" s="210"/>
      <c r="C312" s="187"/>
      <c r="D312" s="1"/>
      <c r="E312" s="1"/>
      <c r="F312" s="1"/>
      <c r="G312" s="1"/>
      <c r="I312" s="1"/>
    </row>
    <row r="313" spans="1:9">
      <c r="A313" s="1"/>
      <c r="B313" s="210"/>
      <c r="C313" s="187"/>
      <c r="D313" s="1"/>
      <c r="E313" s="1"/>
      <c r="F313" s="1"/>
      <c r="G313" s="1"/>
      <c r="I313" s="1"/>
    </row>
    <row r="314" spans="1:9">
      <c r="A314" s="1"/>
      <c r="B314" s="210"/>
      <c r="C314" s="187"/>
      <c r="D314" s="1"/>
      <c r="E314" s="1"/>
      <c r="F314" s="1"/>
      <c r="G314" s="1"/>
      <c r="I314" s="1"/>
    </row>
    <row r="315" spans="1:9">
      <c r="A315" s="1"/>
      <c r="B315" s="210"/>
      <c r="C315" s="187"/>
      <c r="D315" s="1"/>
      <c r="E315" s="1"/>
      <c r="F315" s="1"/>
      <c r="G315" s="1"/>
      <c r="I315" s="1"/>
    </row>
    <row r="316" spans="1:9">
      <c r="A316" s="1"/>
      <c r="B316" s="210"/>
      <c r="C316" s="187"/>
      <c r="D316" s="1"/>
      <c r="E316" s="1"/>
      <c r="F316" s="1"/>
      <c r="G316" s="1"/>
      <c r="I316" s="1"/>
    </row>
    <row r="317" spans="1:9">
      <c r="A317" s="1"/>
      <c r="B317" s="210"/>
      <c r="C317" s="187"/>
      <c r="D317" s="1"/>
      <c r="E317" s="1"/>
      <c r="F317" s="1"/>
      <c r="G317" s="1"/>
      <c r="I317" s="1"/>
    </row>
    <row r="318" spans="1:9">
      <c r="A318" s="1"/>
      <c r="B318" s="210"/>
      <c r="C318" s="187"/>
      <c r="D318" s="1"/>
      <c r="E318" s="1"/>
      <c r="F318" s="1"/>
      <c r="G318" s="1"/>
      <c r="I318" s="1"/>
    </row>
    <row r="319" spans="1:9">
      <c r="A319" s="1"/>
      <c r="B319" s="210"/>
      <c r="C319" s="187"/>
      <c r="D319" s="1"/>
      <c r="E319" s="1"/>
      <c r="F319" s="1"/>
      <c r="G319" s="1"/>
      <c r="I319" s="1"/>
    </row>
    <row r="320" spans="1:9">
      <c r="A320" s="1"/>
      <c r="B320" s="210"/>
      <c r="C320" s="187"/>
      <c r="D320" s="1"/>
      <c r="E320" s="1"/>
      <c r="F320" s="1"/>
      <c r="G320" s="1"/>
      <c r="I320" s="1"/>
    </row>
    <row r="321" spans="1:9">
      <c r="A321" s="1"/>
      <c r="B321" s="210"/>
      <c r="C321" s="187"/>
      <c r="D321" s="1"/>
      <c r="E321" s="1"/>
      <c r="F321" s="1"/>
      <c r="G321" s="1"/>
      <c r="I321" s="1"/>
    </row>
    <row r="322" spans="1:9">
      <c r="A322" s="1"/>
      <c r="B322" s="210"/>
      <c r="C322" s="187"/>
      <c r="D322" s="1"/>
      <c r="E322" s="1"/>
      <c r="F322" s="1"/>
      <c r="G322" s="1"/>
      <c r="I322" s="1"/>
    </row>
    <row r="323" spans="1:9">
      <c r="A323" s="1"/>
      <c r="B323" s="210"/>
      <c r="C323" s="187"/>
      <c r="D323" s="1"/>
      <c r="E323" s="1"/>
      <c r="F323" s="1"/>
      <c r="G323" s="1"/>
      <c r="I323" s="1"/>
    </row>
    <row r="324" spans="1:9">
      <c r="A324" s="1"/>
      <c r="B324" s="210"/>
      <c r="C324" s="187"/>
      <c r="D324" s="1"/>
      <c r="E324" s="1"/>
      <c r="F324" s="1"/>
      <c r="G324" s="1"/>
      <c r="I324" s="1"/>
    </row>
    <row r="325" spans="1:9">
      <c r="A325" s="1"/>
      <c r="B325" s="210"/>
      <c r="C325" s="187"/>
      <c r="D325" s="1"/>
      <c r="E325" s="1"/>
      <c r="F325" s="1"/>
      <c r="G325" s="1"/>
      <c r="I325" s="1"/>
    </row>
    <row r="326" spans="1:9">
      <c r="A326" s="1"/>
      <c r="B326" s="210"/>
      <c r="C326" s="187"/>
      <c r="D326" s="1"/>
      <c r="E326" s="1"/>
      <c r="F326" s="1"/>
      <c r="G326" s="1"/>
      <c r="I326" s="1"/>
    </row>
    <row r="327" spans="1:9">
      <c r="A327" s="1"/>
      <c r="B327" s="210"/>
      <c r="C327" s="187"/>
      <c r="D327" s="1"/>
      <c r="E327" s="1"/>
      <c r="F327" s="1"/>
      <c r="G327" s="1"/>
      <c r="I327" s="1"/>
    </row>
    <row r="328" spans="1:9">
      <c r="A328" s="1"/>
      <c r="B328" s="210"/>
      <c r="C328" s="187"/>
      <c r="D328" s="1"/>
      <c r="E328" s="1"/>
      <c r="F328" s="1"/>
      <c r="G328" s="1"/>
      <c r="I328" s="1"/>
    </row>
    <row r="329" spans="1:9">
      <c r="A329" s="1"/>
      <c r="B329" s="210"/>
      <c r="C329" s="187"/>
      <c r="D329" s="1"/>
      <c r="E329" s="1"/>
      <c r="F329" s="1"/>
      <c r="G329" s="1"/>
      <c r="I329" s="1"/>
    </row>
    <row r="330" spans="1:9">
      <c r="A330" s="1"/>
      <c r="B330" s="210"/>
      <c r="C330" s="187"/>
      <c r="D330" s="1"/>
      <c r="E330" s="1"/>
      <c r="F330" s="1"/>
      <c r="G330" s="1"/>
      <c r="I330" s="1"/>
    </row>
    <row r="331" spans="1:9">
      <c r="A331" s="1"/>
      <c r="B331" s="210"/>
      <c r="C331" s="187"/>
      <c r="D331" s="1"/>
      <c r="E331" s="1"/>
      <c r="F331" s="1"/>
      <c r="G331" s="1"/>
      <c r="I331" s="1"/>
    </row>
    <row r="332" spans="1:9">
      <c r="A332" s="1"/>
      <c r="B332" s="210"/>
      <c r="C332" s="187"/>
      <c r="D332" s="1"/>
      <c r="E332" s="1"/>
      <c r="F332" s="1"/>
      <c r="G332" s="1"/>
      <c r="I332" s="1"/>
    </row>
    <row r="333" spans="1:9">
      <c r="A333" s="1"/>
      <c r="B333" s="210"/>
      <c r="C333" s="187"/>
      <c r="D333" s="1"/>
      <c r="E333" s="1"/>
      <c r="F333" s="1"/>
      <c r="G333" s="1"/>
      <c r="I333" s="1"/>
    </row>
    <row r="334" spans="1:9">
      <c r="A334" s="1"/>
      <c r="B334" s="210"/>
      <c r="C334" s="187"/>
      <c r="D334" s="1"/>
      <c r="E334" s="1"/>
      <c r="F334" s="1"/>
      <c r="G334" s="1"/>
      <c r="I334" s="1"/>
    </row>
    <row r="335" spans="1:9">
      <c r="A335" s="1"/>
      <c r="B335" s="210"/>
      <c r="C335" s="187"/>
      <c r="D335" s="1"/>
      <c r="E335" s="1"/>
      <c r="F335" s="1"/>
      <c r="G335" s="1"/>
      <c r="I335" s="1"/>
    </row>
    <row r="336" spans="1:9">
      <c r="A336" s="1"/>
      <c r="B336" s="210"/>
      <c r="C336" s="187"/>
      <c r="D336" s="1"/>
      <c r="E336" s="1"/>
      <c r="F336" s="1"/>
      <c r="G336" s="1"/>
      <c r="I336" s="1"/>
    </row>
    <row r="337" spans="1:9">
      <c r="A337" s="1"/>
      <c r="B337" s="210"/>
      <c r="C337" s="187"/>
      <c r="D337" s="1"/>
      <c r="E337" s="1"/>
      <c r="F337" s="1"/>
      <c r="G337" s="1"/>
      <c r="I337" s="1"/>
    </row>
    <row r="338" spans="1:9">
      <c r="A338" s="1"/>
      <c r="B338" s="210"/>
      <c r="C338" s="187"/>
      <c r="D338" s="1"/>
      <c r="E338" s="1"/>
      <c r="F338" s="1"/>
      <c r="G338" s="1"/>
      <c r="I338" s="1"/>
    </row>
    <row r="339" spans="1:9">
      <c r="A339" s="1"/>
      <c r="B339" s="210"/>
      <c r="C339" s="187"/>
      <c r="D339" s="1"/>
      <c r="E339" s="1"/>
      <c r="F339" s="1"/>
      <c r="G339" s="1"/>
      <c r="I339" s="1"/>
    </row>
    <row r="340" spans="1:9">
      <c r="A340" s="1"/>
      <c r="B340" s="210"/>
      <c r="C340" s="187"/>
      <c r="D340" s="1"/>
      <c r="E340" s="1"/>
      <c r="F340" s="1"/>
      <c r="G340" s="1"/>
      <c r="I340" s="1"/>
    </row>
    <row r="341" spans="1:9">
      <c r="A341" s="1"/>
      <c r="B341" s="210"/>
      <c r="C341" s="187"/>
      <c r="D341" s="1"/>
      <c r="E341" s="1"/>
      <c r="F341" s="1"/>
      <c r="G341" s="1"/>
      <c r="I341" s="1"/>
    </row>
    <row r="342" spans="1:9">
      <c r="A342" s="1"/>
      <c r="B342" s="210"/>
      <c r="C342" s="187"/>
      <c r="D342" s="1"/>
      <c r="E342" s="1"/>
      <c r="F342" s="1"/>
      <c r="G342" s="1"/>
      <c r="I342" s="1"/>
    </row>
    <row r="343" spans="1:9">
      <c r="A343" s="1"/>
      <c r="B343" s="210"/>
      <c r="C343" s="187"/>
      <c r="D343" s="1"/>
      <c r="E343" s="1"/>
      <c r="F343" s="1"/>
      <c r="G343" s="1"/>
      <c r="I343" s="1"/>
    </row>
    <row r="344" spans="1:9">
      <c r="A344" s="1"/>
      <c r="B344" s="210"/>
      <c r="C344" s="187"/>
      <c r="D344" s="1"/>
      <c r="E344" s="1"/>
      <c r="F344" s="1"/>
      <c r="G344" s="1"/>
      <c r="I344" s="1"/>
    </row>
    <row r="345" spans="1:9">
      <c r="A345" s="1"/>
      <c r="B345" s="210"/>
      <c r="C345" s="187"/>
      <c r="D345" s="1"/>
      <c r="E345" s="1"/>
      <c r="F345" s="1"/>
      <c r="G345" s="1"/>
      <c r="I345" s="1"/>
    </row>
    <row r="346" spans="1:9">
      <c r="A346" s="1"/>
      <c r="B346" s="210"/>
      <c r="C346" s="187"/>
      <c r="D346" s="1"/>
      <c r="E346" s="1"/>
      <c r="F346" s="1"/>
      <c r="G346" s="1"/>
      <c r="I346" s="1"/>
    </row>
    <row r="347" spans="1:9">
      <c r="A347" s="1"/>
      <c r="B347" s="210"/>
      <c r="C347" s="187"/>
      <c r="D347" s="1"/>
      <c r="E347" s="1"/>
      <c r="F347" s="1"/>
      <c r="G347" s="1"/>
      <c r="I347" s="1"/>
    </row>
    <row r="348" spans="1:9">
      <c r="A348" s="1"/>
      <c r="B348" s="210"/>
      <c r="C348" s="187"/>
      <c r="D348" s="1"/>
      <c r="E348" s="1"/>
      <c r="F348" s="1"/>
      <c r="G348" s="1"/>
      <c r="I348" s="1"/>
    </row>
    <row r="349" spans="1:9">
      <c r="A349" s="1"/>
      <c r="B349" s="210"/>
      <c r="C349" s="187"/>
      <c r="D349" s="1"/>
      <c r="E349" s="1"/>
      <c r="F349" s="1"/>
      <c r="G349" s="1"/>
      <c r="I349" s="1"/>
    </row>
    <row r="350" spans="1:9">
      <c r="A350" s="1"/>
      <c r="B350" s="210"/>
      <c r="C350" s="187"/>
      <c r="D350" s="1"/>
      <c r="E350" s="1"/>
      <c r="F350" s="1"/>
      <c r="G350" s="1"/>
      <c r="I350" s="1"/>
    </row>
    <row r="351" spans="1:9">
      <c r="A351" s="1"/>
      <c r="B351" s="210"/>
      <c r="C351" s="187"/>
      <c r="D351" s="1"/>
      <c r="E351" s="1"/>
      <c r="F351" s="1"/>
      <c r="G351" s="1"/>
      <c r="I351" s="1"/>
    </row>
    <row r="352" spans="1:9">
      <c r="A352" s="1"/>
      <c r="B352" s="210"/>
      <c r="C352" s="187"/>
      <c r="D352" s="1"/>
      <c r="E352" s="1"/>
      <c r="F352" s="1"/>
      <c r="G352" s="1"/>
      <c r="I352" s="1"/>
    </row>
    <row r="353" spans="1:9">
      <c r="A353" s="1"/>
      <c r="B353" s="210"/>
      <c r="C353" s="187"/>
      <c r="D353" s="1"/>
      <c r="E353" s="1"/>
      <c r="F353" s="1"/>
      <c r="G353" s="1"/>
      <c r="I353" s="1"/>
    </row>
    <row r="354" spans="1:9">
      <c r="A354" s="1"/>
      <c r="B354" s="210"/>
      <c r="C354" s="187"/>
      <c r="D354" s="1"/>
      <c r="E354" s="1"/>
      <c r="F354" s="1"/>
      <c r="G354" s="1"/>
      <c r="I354" s="1"/>
    </row>
    <row r="355" spans="1:9">
      <c r="A355" s="1"/>
      <c r="B355" s="210"/>
      <c r="C355" s="187"/>
      <c r="D355" s="1"/>
      <c r="E355" s="1"/>
      <c r="F355" s="1"/>
      <c r="G355" s="1"/>
      <c r="I355" s="1"/>
    </row>
    <row r="356" spans="1:9">
      <c r="A356" s="1"/>
      <c r="B356" s="210"/>
      <c r="C356" s="187"/>
      <c r="D356" s="1"/>
      <c r="E356" s="1"/>
      <c r="F356" s="1"/>
      <c r="G356" s="1"/>
      <c r="I356" s="1"/>
    </row>
    <row r="357" spans="1:9">
      <c r="A357" s="1"/>
      <c r="B357" s="210"/>
      <c r="C357" s="187"/>
      <c r="D357" s="1"/>
      <c r="E357" s="1"/>
      <c r="F357" s="1"/>
      <c r="G357" s="1"/>
      <c r="I357" s="1"/>
    </row>
    <row r="358" spans="1:9">
      <c r="A358" s="1"/>
      <c r="B358" s="210"/>
      <c r="C358" s="187"/>
      <c r="D358" s="1"/>
      <c r="E358" s="1"/>
      <c r="F358" s="1"/>
      <c r="G358" s="1"/>
      <c r="I358" s="1"/>
    </row>
    <row r="359" spans="1:9">
      <c r="A359" s="1"/>
      <c r="B359" s="210"/>
      <c r="C359" s="187"/>
      <c r="D359" s="1"/>
      <c r="E359" s="1"/>
      <c r="F359" s="1"/>
      <c r="G359" s="1"/>
      <c r="I359" s="1"/>
    </row>
    <row r="360" spans="1:9">
      <c r="A360" s="1"/>
      <c r="B360" s="210"/>
      <c r="C360" s="187"/>
      <c r="D360" s="1"/>
      <c r="E360" s="1"/>
      <c r="F360" s="1"/>
      <c r="G360" s="1"/>
      <c r="I360" s="1"/>
    </row>
    <row r="361" spans="1:9">
      <c r="A361" s="1"/>
      <c r="B361" s="210"/>
      <c r="C361" s="187"/>
      <c r="D361" s="1"/>
      <c r="E361" s="1"/>
      <c r="F361" s="1"/>
      <c r="G361" s="1"/>
      <c r="I361" s="1"/>
    </row>
    <row r="362" spans="1:9">
      <c r="A362" s="1"/>
      <c r="B362" s="210"/>
      <c r="C362" s="187"/>
      <c r="D362" s="1"/>
      <c r="E362" s="1"/>
      <c r="F362" s="1"/>
      <c r="G362" s="1"/>
      <c r="I362" s="1"/>
    </row>
    <row r="363" spans="1:9">
      <c r="A363" s="1"/>
      <c r="B363" s="210"/>
      <c r="C363" s="187"/>
      <c r="D363" s="1"/>
      <c r="E363" s="1"/>
      <c r="F363" s="1"/>
      <c r="G363" s="1"/>
      <c r="I363" s="1"/>
    </row>
    <row r="364" spans="1:9">
      <c r="A364" s="1"/>
      <c r="B364" s="210"/>
      <c r="C364" s="187"/>
      <c r="D364" s="1"/>
      <c r="E364" s="1"/>
      <c r="F364" s="1"/>
      <c r="G364" s="1"/>
      <c r="I364" s="1"/>
    </row>
    <row r="365" spans="1:9">
      <c r="A365" s="1"/>
      <c r="B365" s="210"/>
      <c r="C365" s="187"/>
      <c r="D365" s="1"/>
      <c r="E365" s="1"/>
      <c r="F365" s="1"/>
      <c r="G365" s="1"/>
      <c r="I365" s="1"/>
    </row>
    <row r="366" spans="1:9">
      <c r="A366" s="1"/>
      <c r="B366" s="210"/>
      <c r="C366" s="187"/>
      <c r="D366" s="1"/>
      <c r="E366" s="1"/>
      <c r="F366" s="1"/>
      <c r="G366" s="1"/>
      <c r="I366" s="1"/>
    </row>
    <row r="367" spans="1:9">
      <c r="A367" s="1"/>
      <c r="B367" s="210"/>
      <c r="C367" s="187"/>
      <c r="D367" s="1"/>
      <c r="E367" s="1"/>
      <c r="F367" s="1"/>
      <c r="G367" s="1"/>
      <c r="I367" s="1"/>
    </row>
    <row r="368" spans="1:9">
      <c r="A368" s="1"/>
      <c r="B368" s="210"/>
      <c r="C368" s="187"/>
      <c r="D368" s="1"/>
      <c r="E368" s="1"/>
      <c r="F368" s="1"/>
      <c r="G368" s="1"/>
      <c r="I368" s="1"/>
    </row>
    <row r="369" spans="1:9">
      <c r="A369" s="1"/>
      <c r="B369" s="210"/>
      <c r="C369" s="187"/>
      <c r="D369" s="1"/>
      <c r="E369" s="1"/>
      <c r="F369" s="1"/>
      <c r="G369" s="1"/>
      <c r="I369" s="1"/>
    </row>
    <row r="370" spans="1:9">
      <c r="A370" s="1"/>
      <c r="B370" s="210"/>
      <c r="C370" s="187"/>
      <c r="D370" s="1"/>
      <c r="E370" s="1"/>
      <c r="F370" s="1"/>
      <c r="G370" s="1"/>
      <c r="I370" s="1"/>
    </row>
    <row r="371" spans="1:9">
      <c r="A371" s="1"/>
      <c r="B371" s="210"/>
      <c r="C371" s="187"/>
      <c r="D371" s="1"/>
      <c r="E371" s="1"/>
      <c r="F371" s="1"/>
      <c r="G371" s="1"/>
      <c r="I371" s="1"/>
    </row>
    <row r="372" spans="1:9">
      <c r="A372" s="1"/>
      <c r="B372" s="210"/>
      <c r="C372" s="187"/>
      <c r="D372" s="1"/>
      <c r="E372" s="1"/>
      <c r="F372" s="1"/>
      <c r="G372" s="1"/>
      <c r="I372" s="1"/>
    </row>
    <row r="373" spans="1:9">
      <c r="A373" s="1"/>
      <c r="B373" s="210"/>
      <c r="C373" s="187"/>
      <c r="D373" s="1"/>
      <c r="E373" s="1"/>
      <c r="F373" s="1"/>
      <c r="G373" s="1"/>
      <c r="I373" s="1"/>
    </row>
    <row r="374" spans="1:9">
      <c r="A374" s="1"/>
      <c r="B374" s="210"/>
      <c r="C374" s="187"/>
      <c r="D374" s="1"/>
      <c r="E374" s="1"/>
      <c r="F374" s="1"/>
      <c r="G374" s="1"/>
      <c r="I374" s="1"/>
    </row>
    <row r="375" spans="1:9">
      <c r="A375" s="1"/>
      <c r="B375" s="210"/>
      <c r="C375" s="187"/>
      <c r="D375" s="1"/>
      <c r="E375" s="1"/>
      <c r="F375" s="1"/>
      <c r="G375" s="1"/>
      <c r="I375" s="1"/>
    </row>
    <row r="376" spans="1:9">
      <c r="A376" s="1"/>
      <c r="B376" s="210"/>
      <c r="C376" s="187"/>
      <c r="D376" s="1"/>
      <c r="E376" s="1"/>
      <c r="F376" s="1"/>
      <c r="G376" s="1"/>
      <c r="I376" s="1"/>
    </row>
    <row r="377" spans="1:9">
      <c r="A377" s="1"/>
      <c r="B377" s="210"/>
      <c r="C377" s="187"/>
      <c r="D377" s="1"/>
      <c r="E377" s="1"/>
      <c r="F377" s="1"/>
      <c r="G377" s="1"/>
      <c r="I377" s="1"/>
    </row>
    <row r="378" spans="1:9">
      <c r="A378" s="1"/>
      <c r="B378" s="210"/>
      <c r="C378" s="187"/>
      <c r="D378" s="1"/>
      <c r="E378" s="1"/>
      <c r="F378" s="1"/>
      <c r="G378" s="1"/>
      <c r="I378" s="1"/>
    </row>
    <row r="379" spans="1:9">
      <c r="A379" s="1"/>
      <c r="B379" s="210"/>
      <c r="C379" s="187"/>
      <c r="D379" s="1"/>
      <c r="E379" s="1"/>
      <c r="F379" s="1"/>
      <c r="G379" s="1"/>
      <c r="I379" s="1"/>
    </row>
    <row r="380" spans="1:9">
      <c r="A380" s="1"/>
      <c r="B380" s="210"/>
      <c r="C380" s="187"/>
      <c r="D380" s="1"/>
      <c r="E380" s="1"/>
      <c r="F380" s="1"/>
      <c r="G380" s="1"/>
      <c r="I380" s="1"/>
    </row>
    <row r="381" spans="1:9">
      <c r="A381" s="1"/>
      <c r="B381" s="210"/>
      <c r="C381" s="187"/>
      <c r="D381" s="1"/>
      <c r="E381" s="1"/>
      <c r="F381" s="1"/>
      <c r="G381" s="1"/>
      <c r="I381" s="1"/>
    </row>
    <row r="382" spans="1:9">
      <c r="A382" s="1"/>
      <c r="B382" s="210"/>
      <c r="C382" s="187"/>
      <c r="D382" s="1"/>
      <c r="E382" s="1"/>
      <c r="F382" s="1"/>
      <c r="G382" s="1"/>
      <c r="I382" s="1"/>
    </row>
    <row r="383" spans="1:9">
      <c r="A383" s="1"/>
      <c r="B383" s="210"/>
      <c r="C383" s="187"/>
      <c r="D383" s="1"/>
      <c r="E383" s="1"/>
      <c r="F383" s="1"/>
      <c r="G383" s="1"/>
      <c r="I383" s="1"/>
    </row>
    <row r="384" spans="1:9">
      <c r="A384" s="1"/>
      <c r="B384" s="210"/>
      <c r="C384" s="187"/>
      <c r="D384" s="1"/>
      <c r="E384" s="1"/>
      <c r="F384" s="1"/>
      <c r="G384" s="1"/>
      <c r="I384" s="1"/>
    </row>
    <row r="385" spans="1:9">
      <c r="A385" s="1"/>
      <c r="B385" s="210"/>
      <c r="C385" s="187"/>
      <c r="D385" s="1"/>
      <c r="E385" s="1"/>
      <c r="F385" s="1"/>
      <c r="G385" s="1"/>
      <c r="I385" s="1"/>
    </row>
    <row r="386" spans="1:9">
      <c r="A386" s="1"/>
      <c r="B386" s="210"/>
      <c r="C386" s="187"/>
      <c r="D386" s="1"/>
      <c r="E386" s="1"/>
      <c r="F386" s="1"/>
      <c r="G386" s="1"/>
      <c r="I386" s="1"/>
    </row>
    <row r="387" spans="1:9">
      <c r="A387" s="1"/>
      <c r="B387" s="210"/>
      <c r="C387" s="187"/>
      <c r="D387" s="1"/>
      <c r="E387" s="1"/>
      <c r="F387" s="1"/>
      <c r="G387" s="1"/>
      <c r="I387" s="1"/>
    </row>
    <row r="388" spans="1:9">
      <c r="A388" s="1"/>
      <c r="B388" s="210"/>
      <c r="C388" s="187"/>
      <c r="D388" s="1"/>
      <c r="E388" s="1"/>
      <c r="F388" s="1"/>
      <c r="G388" s="1"/>
      <c r="I388" s="1"/>
    </row>
    <row r="389" spans="1:9">
      <c r="A389" s="1"/>
      <c r="B389" s="210"/>
      <c r="C389" s="187"/>
      <c r="D389" s="1"/>
      <c r="E389" s="1"/>
      <c r="F389" s="1"/>
      <c r="G389" s="1"/>
      <c r="I389" s="1"/>
    </row>
    <row r="390" spans="1:9">
      <c r="A390" s="1"/>
      <c r="B390" s="210"/>
      <c r="C390" s="187"/>
      <c r="D390" s="1"/>
      <c r="E390" s="1"/>
      <c r="F390" s="1"/>
      <c r="G390" s="1"/>
      <c r="I390" s="1"/>
    </row>
    <row r="391" spans="1:9">
      <c r="A391" s="1"/>
      <c r="B391" s="210"/>
      <c r="C391" s="187"/>
      <c r="D391" s="1"/>
      <c r="E391" s="1"/>
      <c r="F391" s="1"/>
      <c r="G391" s="1"/>
      <c r="I391" s="1"/>
    </row>
    <row r="392" spans="1:9">
      <c r="A392" s="1"/>
      <c r="B392" s="210"/>
      <c r="C392" s="187"/>
      <c r="D392" s="1"/>
      <c r="E392" s="1"/>
      <c r="F392" s="1"/>
      <c r="G392" s="1"/>
      <c r="I392" s="1"/>
    </row>
    <row r="393" spans="1:9">
      <c r="A393" s="1"/>
      <c r="B393" s="210"/>
      <c r="C393" s="187"/>
      <c r="D393" s="1"/>
      <c r="E393" s="1"/>
      <c r="F393" s="1"/>
      <c r="G393" s="1"/>
      <c r="I393" s="1"/>
    </row>
    <row r="394" spans="1:9">
      <c r="A394" s="1"/>
      <c r="B394" s="210"/>
      <c r="C394" s="187"/>
      <c r="D394" s="1"/>
      <c r="E394" s="1"/>
      <c r="F394" s="1"/>
      <c r="G394" s="1"/>
      <c r="I394" s="1"/>
    </row>
    <row r="395" spans="1:9">
      <c r="A395" s="1"/>
      <c r="B395" s="210"/>
      <c r="C395" s="187"/>
      <c r="D395" s="1"/>
      <c r="E395" s="1"/>
      <c r="F395" s="1"/>
      <c r="G395" s="1"/>
      <c r="I395" s="1"/>
    </row>
    <row r="396" spans="1:9">
      <c r="A396" s="1"/>
      <c r="B396" s="210"/>
      <c r="C396" s="187"/>
      <c r="D396" s="1"/>
      <c r="E396" s="1"/>
      <c r="F396" s="1"/>
      <c r="G396" s="1"/>
      <c r="I396" s="1"/>
    </row>
    <row r="397" spans="1:9">
      <c r="A397" s="1"/>
      <c r="B397" s="210"/>
      <c r="C397" s="187"/>
      <c r="D397" s="1"/>
      <c r="E397" s="1"/>
      <c r="F397" s="1"/>
      <c r="G397" s="1"/>
      <c r="I397" s="1"/>
    </row>
    <row r="398" spans="1:9">
      <c r="A398" s="1"/>
      <c r="B398" s="210"/>
      <c r="C398" s="187"/>
      <c r="D398" s="1"/>
      <c r="E398" s="1"/>
      <c r="F398" s="1"/>
      <c r="G398" s="1"/>
      <c r="I398" s="1"/>
    </row>
    <row r="399" spans="1:9">
      <c r="A399" s="1"/>
      <c r="B399" s="210"/>
      <c r="C399" s="187"/>
      <c r="D399" s="1"/>
      <c r="E399" s="1"/>
      <c r="F399" s="1"/>
      <c r="G399" s="1"/>
      <c r="I399" s="1"/>
    </row>
    <row r="400" spans="1:9">
      <c r="A400" s="1"/>
      <c r="B400" s="210"/>
      <c r="C400" s="187"/>
      <c r="D400" s="1"/>
      <c r="E400" s="1"/>
      <c r="F400" s="1"/>
      <c r="G400" s="1"/>
      <c r="I400" s="1"/>
    </row>
    <row r="401" spans="1:9">
      <c r="A401" s="1"/>
      <c r="B401" s="210"/>
      <c r="C401" s="187"/>
      <c r="D401" s="1"/>
      <c r="E401" s="1"/>
      <c r="F401" s="1"/>
      <c r="G401" s="1"/>
      <c r="I401" s="1"/>
    </row>
    <row r="402" spans="1:9">
      <c r="A402" s="1"/>
      <c r="B402" s="210"/>
      <c r="C402" s="187"/>
      <c r="D402" s="1"/>
      <c r="E402" s="1"/>
      <c r="F402" s="1"/>
      <c r="G402" s="1"/>
      <c r="I402" s="1"/>
    </row>
    <row r="403" spans="1:9">
      <c r="A403" s="1"/>
      <c r="B403" s="210"/>
      <c r="C403" s="187"/>
      <c r="D403" s="1"/>
      <c r="E403" s="1"/>
      <c r="F403" s="1"/>
      <c r="G403" s="1"/>
      <c r="I403" s="1"/>
    </row>
    <row r="404" spans="1:9">
      <c r="A404" s="1"/>
      <c r="B404" s="210"/>
      <c r="C404" s="187"/>
      <c r="D404" s="1"/>
      <c r="E404" s="1"/>
      <c r="F404" s="1"/>
      <c r="G404" s="1"/>
      <c r="I404" s="1"/>
    </row>
    <row r="405" spans="1:9">
      <c r="A405" s="1"/>
      <c r="B405" s="210"/>
      <c r="C405" s="187"/>
      <c r="D405" s="1"/>
      <c r="E405" s="1"/>
      <c r="F405" s="1"/>
      <c r="G405" s="1"/>
      <c r="I405" s="1"/>
    </row>
    <row r="406" spans="1:9">
      <c r="A406" s="1"/>
      <c r="B406" s="210"/>
      <c r="C406" s="187"/>
      <c r="D406" s="1"/>
      <c r="E406" s="1"/>
      <c r="F406" s="1"/>
      <c r="G406" s="1"/>
      <c r="I406" s="1"/>
    </row>
    <row r="407" spans="1:9">
      <c r="A407" s="1"/>
      <c r="B407" s="210"/>
      <c r="C407" s="187"/>
      <c r="D407" s="1"/>
      <c r="E407" s="1"/>
      <c r="F407" s="1"/>
      <c r="G407" s="1"/>
      <c r="I407" s="1"/>
    </row>
    <row r="408" spans="1:9">
      <c r="A408" s="1"/>
      <c r="B408" s="210"/>
      <c r="C408" s="187"/>
      <c r="D408" s="1"/>
      <c r="E408" s="1"/>
      <c r="F408" s="1"/>
      <c r="G408" s="1"/>
      <c r="I408" s="1"/>
    </row>
    <row r="409" spans="1:9">
      <c r="A409" s="1"/>
      <c r="B409" s="210"/>
      <c r="C409" s="187"/>
      <c r="D409" s="1"/>
      <c r="E409" s="1"/>
      <c r="F409" s="1"/>
      <c r="G409" s="1"/>
      <c r="I409" s="1"/>
    </row>
    <row r="410" spans="1:9">
      <c r="A410" s="1"/>
      <c r="B410" s="210"/>
      <c r="C410" s="187"/>
      <c r="D410" s="1"/>
      <c r="E410" s="1"/>
      <c r="F410" s="1"/>
      <c r="G410" s="1"/>
      <c r="I410" s="1"/>
    </row>
    <row r="411" spans="1:9">
      <c r="A411" s="1"/>
      <c r="B411" s="210"/>
      <c r="C411" s="187"/>
      <c r="D411" s="1"/>
      <c r="E411" s="1"/>
      <c r="F411" s="1"/>
      <c r="G411" s="1"/>
      <c r="I411" s="1"/>
    </row>
    <row r="412" spans="1:9">
      <c r="A412" s="1"/>
      <c r="B412" s="210"/>
      <c r="C412" s="187"/>
      <c r="D412" s="1"/>
      <c r="E412" s="1"/>
      <c r="F412" s="1"/>
      <c r="G412" s="1"/>
      <c r="I412" s="1"/>
    </row>
    <row r="413" spans="1:9">
      <c r="A413" s="1"/>
      <c r="B413" s="210"/>
      <c r="C413" s="187"/>
      <c r="D413" s="1"/>
      <c r="E413" s="1"/>
      <c r="F413" s="1"/>
      <c r="G413" s="1"/>
      <c r="I413" s="1"/>
    </row>
    <row r="414" spans="1:9">
      <c r="A414" s="1"/>
      <c r="B414" s="210"/>
      <c r="C414" s="187"/>
      <c r="D414" s="1"/>
      <c r="E414" s="1"/>
      <c r="F414" s="1"/>
      <c r="G414" s="1"/>
      <c r="I414" s="1"/>
    </row>
    <row r="415" spans="1:9">
      <c r="A415" s="1"/>
      <c r="B415" s="210"/>
      <c r="C415" s="187"/>
      <c r="D415" s="1"/>
      <c r="E415" s="1"/>
      <c r="F415" s="1"/>
      <c r="G415" s="1"/>
      <c r="I415" s="1"/>
    </row>
    <row r="416" spans="1:9">
      <c r="A416" s="1"/>
      <c r="B416" s="210"/>
      <c r="C416" s="187"/>
      <c r="D416" s="1"/>
      <c r="E416" s="1"/>
      <c r="F416" s="1"/>
      <c r="G416" s="1"/>
      <c r="I416" s="1"/>
    </row>
    <row r="417" spans="1:9">
      <c r="A417" s="1"/>
      <c r="B417" s="210"/>
      <c r="C417" s="187"/>
      <c r="D417" s="1"/>
      <c r="E417" s="1"/>
      <c r="F417" s="1"/>
      <c r="G417" s="1"/>
      <c r="I417" s="1"/>
    </row>
    <row r="418" spans="1:9">
      <c r="A418" s="1"/>
      <c r="B418" s="210"/>
      <c r="C418" s="187"/>
      <c r="D418" s="1"/>
      <c r="E418" s="1"/>
      <c r="F418" s="1"/>
      <c r="G418" s="1"/>
      <c r="I418" s="1"/>
    </row>
    <row r="419" spans="1:9">
      <c r="A419" s="1"/>
      <c r="B419" s="210"/>
      <c r="C419" s="187"/>
      <c r="D419" s="1"/>
      <c r="E419" s="1"/>
      <c r="F419" s="1"/>
      <c r="G419" s="1"/>
      <c r="I419" s="1"/>
    </row>
    <row r="420" spans="1:9">
      <c r="A420" s="1"/>
      <c r="B420" s="210"/>
      <c r="C420" s="187"/>
      <c r="D420" s="1"/>
      <c r="E420" s="1"/>
      <c r="F420" s="1"/>
      <c r="G420" s="1"/>
      <c r="I420" s="1"/>
    </row>
    <row r="421" spans="1:9">
      <c r="A421" s="1"/>
      <c r="B421" s="210"/>
      <c r="C421" s="187"/>
      <c r="D421" s="1"/>
      <c r="E421" s="1"/>
      <c r="F421" s="1"/>
      <c r="G421" s="1"/>
      <c r="I421" s="1"/>
    </row>
    <row r="422" spans="1:9">
      <c r="A422" s="1"/>
      <c r="B422" s="210"/>
      <c r="C422" s="187"/>
      <c r="D422" s="1"/>
      <c r="E422" s="1"/>
      <c r="F422" s="1"/>
      <c r="G422" s="1"/>
      <c r="I422" s="1"/>
    </row>
    <row r="423" spans="1:9">
      <c r="A423" s="1"/>
      <c r="B423" s="210"/>
      <c r="C423" s="187"/>
      <c r="D423" s="1"/>
      <c r="E423" s="1"/>
      <c r="F423" s="1"/>
      <c r="G423" s="1"/>
      <c r="I423" s="1"/>
    </row>
    <row r="424" spans="1:9">
      <c r="A424" s="1"/>
      <c r="B424" s="210"/>
      <c r="C424" s="187"/>
      <c r="D424" s="1"/>
      <c r="E424" s="1"/>
      <c r="F424" s="1"/>
      <c r="G424" s="1"/>
      <c r="I424" s="1"/>
    </row>
    <row r="425" spans="1:9">
      <c r="A425" s="1"/>
      <c r="B425" s="210"/>
      <c r="C425" s="187"/>
      <c r="D425" s="1"/>
      <c r="E425" s="1"/>
      <c r="F425" s="1"/>
      <c r="G425" s="1"/>
      <c r="I425" s="1"/>
    </row>
    <row r="426" spans="1:9">
      <c r="A426" s="1"/>
      <c r="B426" s="210"/>
      <c r="C426" s="187"/>
      <c r="D426" s="1"/>
      <c r="E426" s="1"/>
      <c r="F426" s="1"/>
      <c r="G426" s="1"/>
      <c r="I426" s="1"/>
    </row>
    <row r="427" spans="1:9">
      <c r="A427" s="1"/>
      <c r="B427" s="210"/>
      <c r="C427" s="187"/>
      <c r="D427" s="1"/>
      <c r="E427" s="1"/>
      <c r="F427" s="1"/>
      <c r="G427" s="1"/>
      <c r="I427" s="1"/>
    </row>
    <row r="428" spans="1:9">
      <c r="A428" s="1"/>
      <c r="B428" s="210"/>
      <c r="C428" s="187"/>
      <c r="D428" s="1"/>
      <c r="E428" s="1"/>
      <c r="F428" s="1"/>
      <c r="G428" s="1"/>
      <c r="I428" s="1"/>
    </row>
    <row r="429" spans="1:9">
      <c r="A429" s="1"/>
      <c r="B429" s="210"/>
      <c r="C429" s="187"/>
      <c r="D429" s="1"/>
      <c r="E429" s="1"/>
      <c r="F429" s="1"/>
      <c r="G429" s="1"/>
      <c r="I429" s="1"/>
    </row>
    <row r="430" spans="1:9">
      <c r="A430" s="1"/>
      <c r="B430" s="210"/>
      <c r="C430" s="187"/>
      <c r="D430" s="1"/>
      <c r="E430" s="1"/>
      <c r="F430" s="1"/>
      <c r="G430" s="1"/>
      <c r="I430" s="1"/>
    </row>
    <row r="431" spans="1:9">
      <c r="A431" s="1"/>
      <c r="B431" s="210"/>
      <c r="C431" s="187"/>
      <c r="D431" s="1"/>
      <c r="E431" s="1"/>
      <c r="F431" s="1"/>
      <c r="G431" s="1"/>
      <c r="I431" s="1"/>
    </row>
    <row r="432" spans="1:9">
      <c r="A432" s="1"/>
      <c r="B432" s="210"/>
      <c r="C432" s="187"/>
      <c r="D432" s="1"/>
      <c r="E432" s="1"/>
      <c r="F432" s="1"/>
      <c r="G432" s="1"/>
      <c r="I432" s="1"/>
    </row>
    <row r="433" spans="1:9">
      <c r="A433" s="1"/>
      <c r="B433" s="210"/>
      <c r="C433" s="187"/>
      <c r="D433" s="1"/>
      <c r="E433" s="1"/>
      <c r="F433" s="1"/>
      <c r="G433" s="1"/>
      <c r="I433" s="1"/>
    </row>
    <row r="434" spans="1:9">
      <c r="A434" s="1"/>
      <c r="B434" s="210"/>
      <c r="C434" s="187"/>
      <c r="D434" s="1"/>
      <c r="E434" s="1"/>
      <c r="F434" s="1"/>
      <c r="G434" s="1"/>
      <c r="I434" s="1"/>
    </row>
    <row r="435" spans="1:9">
      <c r="A435" s="1"/>
      <c r="B435" s="210"/>
      <c r="C435" s="187"/>
      <c r="D435" s="1"/>
      <c r="E435" s="1"/>
      <c r="F435" s="1"/>
      <c r="G435" s="1"/>
      <c r="I435" s="1"/>
    </row>
    <row r="436" spans="1:9">
      <c r="A436" s="1"/>
      <c r="B436" s="210"/>
      <c r="C436" s="187"/>
      <c r="D436" s="1"/>
      <c r="E436" s="1"/>
      <c r="F436" s="1"/>
      <c r="G436" s="1"/>
      <c r="I436" s="1"/>
    </row>
    <row r="437" spans="1:9">
      <c r="A437" s="1"/>
      <c r="B437" s="210"/>
      <c r="C437" s="187"/>
      <c r="D437" s="1"/>
      <c r="E437" s="1"/>
      <c r="F437" s="1"/>
      <c r="G437" s="1"/>
      <c r="I437" s="1"/>
    </row>
    <row r="438" spans="1:9">
      <c r="A438" s="1"/>
      <c r="B438" s="210"/>
      <c r="C438" s="187"/>
      <c r="D438" s="1"/>
      <c r="E438" s="1"/>
      <c r="F438" s="1"/>
      <c r="G438" s="1"/>
      <c r="I438" s="1"/>
    </row>
    <row r="439" spans="1:9">
      <c r="A439" s="1"/>
      <c r="B439" s="210"/>
      <c r="C439" s="187"/>
      <c r="D439" s="1"/>
      <c r="E439" s="1"/>
      <c r="F439" s="1"/>
      <c r="G439" s="1"/>
      <c r="I439" s="1"/>
    </row>
    <row r="440" spans="1:9">
      <c r="A440" s="1"/>
      <c r="B440" s="210"/>
      <c r="C440" s="187"/>
      <c r="D440" s="1"/>
      <c r="E440" s="1"/>
      <c r="F440" s="1"/>
      <c r="G440" s="1"/>
      <c r="I440" s="1"/>
    </row>
    <row r="441" spans="1:9">
      <c r="A441" s="1"/>
      <c r="B441" s="210"/>
      <c r="C441" s="187"/>
      <c r="D441" s="1"/>
      <c r="E441" s="1"/>
      <c r="F441" s="1"/>
      <c r="G441" s="1"/>
      <c r="I441" s="1"/>
    </row>
    <row r="442" spans="1:9">
      <c r="A442" s="1"/>
      <c r="B442" s="210"/>
      <c r="C442" s="187"/>
      <c r="D442" s="1"/>
      <c r="E442" s="1"/>
      <c r="F442" s="1"/>
      <c r="G442" s="1"/>
      <c r="I442" s="1"/>
    </row>
    <row r="443" spans="1:9">
      <c r="A443" s="1"/>
      <c r="B443" s="210"/>
      <c r="C443" s="187"/>
      <c r="D443" s="1"/>
      <c r="E443" s="1"/>
      <c r="F443" s="1"/>
      <c r="G443" s="1"/>
      <c r="I443" s="1"/>
    </row>
    <row r="444" spans="1:9">
      <c r="A444" s="1"/>
      <c r="B444" s="210"/>
      <c r="C444" s="187"/>
      <c r="D444" s="1"/>
      <c r="E444" s="1"/>
      <c r="F444" s="1"/>
      <c r="G444" s="1"/>
      <c r="I444" s="1"/>
    </row>
    <row r="445" spans="1:9">
      <c r="A445" s="1"/>
      <c r="B445" s="210"/>
      <c r="C445" s="187"/>
      <c r="D445" s="1"/>
      <c r="E445" s="1"/>
      <c r="F445" s="1"/>
      <c r="G445" s="1"/>
      <c r="I445" s="1"/>
    </row>
    <row r="446" spans="1:9">
      <c r="A446" s="1"/>
      <c r="B446" s="210"/>
      <c r="C446" s="187"/>
      <c r="D446" s="1"/>
      <c r="E446" s="1"/>
      <c r="F446" s="1"/>
      <c r="G446" s="1"/>
      <c r="I446" s="1"/>
    </row>
    <row r="447" spans="1:9">
      <c r="A447" s="1"/>
      <c r="B447" s="210"/>
      <c r="C447" s="187"/>
      <c r="D447" s="1"/>
      <c r="E447" s="1"/>
      <c r="F447" s="1"/>
      <c r="G447" s="1"/>
      <c r="I447" s="1"/>
    </row>
    <row r="448" spans="1:9">
      <c r="A448" s="1"/>
      <c r="B448" s="210"/>
      <c r="C448" s="187"/>
      <c r="D448" s="1"/>
      <c r="E448" s="1"/>
      <c r="F448" s="1"/>
      <c r="G448" s="1"/>
      <c r="I448" s="1"/>
    </row>
    <row r="449" spans="1:9">
      <c r="A449" s="1"/>
      <c r="B449" s="210"/>
      <c r="C449" s="187"/>
      <c r="D449" s="1"/>
      <c r="E449" s="1"/>
      <c r="F449" s="1"/>
      <c r="G449" s="1"/>
      <c r="I449" s="1"/>
    </row>
    <row r="450" spans="1:9">
      <c r="A450" s="1"/>
      <c r="B450" s="210"/>
      <c r="C450" s="187"/>
      <c r="D450" s="1"/>
      <c r="E450" s="1"/>
      <c r="F450" s="1"/>
      <c r="G450" s="1"/>
      <c r="I450" s="1"/>
    </row>
    <row r="451" spans="1:9">
      <c r="A451" s="1"/>
      <c r="B451" s="210"/>
      <c r="C451" s="187"/>
      <c r="D451" s="1"/>
      <c r="E451" s="1"/>
      <c r="F451" s="1"/>
      <c r="G451" s="1"/>
      <c r="I451" s="1"/>
    </row>
    <row r="452" spans="1:9">
      <c r="A452" s="1"/>
      <c r="B452" s="210"/>
      <c r="C452" s="187"/>
      <c r="D452" s="1"/>
      <c r="E452" s="1"/>
      <c r="F452" s="1"/>
      <c r="G452" s="1"/>
      <c r="I452" s="1"/>
    </row>
    <row r="453" spans="1:9">
      <c r="A453" s="1"/>
      <c r="B453" s="210"/>
      <c r="C453" s="187"/>
      <c r="D453" s="1"/>
      <c r="E453" s="1"/>
      <c r="F453" s="1"/>
      <c r="G453" s="1"/>
      <c r="I453" s="1"/>
    </row>
    <row r="454" spans="1:9">
      <c r="A454" s="1"/>
      <c r="B454" s="210"/>
      <c r="C454" s="187"/>
      <c r="D454" s="1"/>
      <c r="E454" s="1"/>
      <c r="F454" s="1"/>
      <c r="G454" s="1"/>
      <c r="I454" s="1"/>
    </row>
    <row r="455" spans="1:9">
      <c r="A455" s="1"/>
      <c r="B455" s="210"/>
      <c r="C455" s="187"/>
      <c r="D455" s="1"/>
      <c r="E455" s="1"/>
      <c r="F455" s="1"/>
      <c r="G455" s="1"/>
      <c r="I455" s="1"/>
    </row>
    <row r="456" spans="1:9">
      <c r="A456" s="1"/>
      <c r="B456" s="210"/>
      <c r="C456" s="187"/>
      <c r="D456" s="1"/>
      <c r="E456" s="1"/>
      <c r="F456" s="1"/>
      <c r="G456" s="1"/>
      <c r="I456" s="1"/>
    </row>
    <row r="457" spans="1:9">
      <c r="A457" s="1"/>
      <c r="B457" s="210"/>
      <c r="C457" s="187"/>
      <c r="D457" s="1"/>
      <c r="E457" s="1"/>
      <c r="F457" s="1"/>
      <c r="G457" s="1"/>
      <c r="I457" s="1"/>
    </row>
    <row r="458" spans="1:9">
      <c r="A458" s="1"/>
      <c r="B458" s="210"/>
      <c r="C458" s="187"/>
      <c r="D458" s="1"/>
      <c r="E458" s="1"/>
      <c r="F458" s="1"/>
      <c r="G458" s="1"/>
      <c r="I458" s="1"/>
    </row>
    <row r="459" spans="1:9">
      <c r="A459" s="1"/>
      <c r="B459" s="210"/>
      <c r="C459" s="187"/>
      <c r="D459" s="1"/>
      <c r="E459" s="1"/>
      <c r="F459" s="1"/>
      <c r="G459" s="1"/>
      <c r="I459" s="1"/>
    </row>
    <row r="460" spans="1:9">
      <c r="A460" s="1"/>
      <c r="B460" s="210"/>
      <c r="C460" s="187"/>
      <c r="D460" s="1"/>
      <c r="E460" s="1"/>
      <c r="F460" s="1"/>
      <c r="G460" s="1"/>
      <c r="I460" s="1"/>
    </row>
    <row r="461" spans="1:9">
      <c r="A461" s="1"/>
      <c r="B461" s="210"/>
      <c r="C461" s="187"/>
      <c r="D461" s="1"/>
      <c r="E461" s="1"/>
      <c r="F461" s="1"/>
      <c r="G461" s="1"/>
      <c r="I461" s="1"/>
    </row>
    <row r="462" spans="1:9">
      <c r="A462" s="1"/>
      <c r="B462" s="210"/>
      <c r="C462" s="187"/>
      <c r="D462" s="1"/>
      <c r="E462" s="1"/>
      <c r="F462" s="1"/>
      <c r="G462" s="1"/>
      <c r="I462" s="1"/>
    </row>
    <row r="463" spans="1:9">
      <c r="A463" s="1"/>
      <c r="B463" s="210"/>
      <c r="C463" s="187"/>
      <c r="D463" s="1"/>
      <c r="E463" s="1"/>
      <c r="F463" s="1"/>
      <c r="G463" s="1"/>
      <c r="I463" s="1"/>
    </row>
    <row r="464" spans="1:9">
      <c r="A464" s="1"/>
      <c r="B464" s="210"/>
      <c r="C464" s="187"/>
      <c r="D464" s="1"/>
      <c r="E464" s="1"/>
      <c r="F464" s="1"/>
      <c r="G464" s="1"/>
      <c r="I464" s="1"/>
    </row>
    <row r="465" spans="1:9">
      <c r="A465" s="1"/>
      <c r="B465" s="210"/>
      <c r="C465" s="187"/>
      <c r="D465" s="1"/>
      <c r="E465" s="1"/>
      <c r="F465" s="1"/>
      <c r="G465" s="1"/>
      <c r="I465" s="1"/>
    </row>
    <row r="466" spans="1:9">
      <c r="A466" s="1"/>
      <c r="B466" s="210"/>
      <c r="C466" s="187"/>
      <c r="D466" s="1"/>
      <c r="E466" s="1"/>
      <c r="F466" s="1"/>
      <c r="G466" s="1"/>
      <c r="I466" s="1"/>
    </row>
    <row r="467" spans="1:9">
      <c r="A467" s="1"/>
      <c r="B467" s="210"/>
      <c r="C467" s="187"/>
      <c r="D467" s="1"/>
      <c r="E467" s="1"/>
      <c r="F467" s="1"/>
      <c r="G467" s="1"/>
      <c r="I467" s="1"/>
    </row>
    <row r="468" spans="1:9">
      <c r="A468" s="1"/>
      <c r="B468" s="210"/>
      <c r="C468" s="187"/>
      <c r="D468" s="1"/>
      <c r="E468" s="1"/>
      <c r="F468" s="1"/>
      <c r="G468" s="1"/>
      <c r="I468" s="1"/>
    </row>
    <row r="469" spans="1:9">
      <c r="A469" s="1"/>
      <c r="B469" s="210"/>
      <c r="C469" s="187"/>
      <c r="D469" s="1"/>
      <c r="E469" s="1"/>
      <c r="F469" s="1"/>
      <c r="G469" s="1"/>
      <c r="I469" s="1"/>
    </row>
    <row r="470" spans="1:9">
      <c r="A470" s="1"/>
      <c r="B470" s="210"/>
      <c r="C470" s="187"/>
      <c r="D470" s="1"/>
      <c r="E470" s="1"/>
      <c r="F470" s="1"/>
      <c r="G470" s="1"/>
      <c r="I470" s="1"/>
    </row>
    <row r="471" spans="1:9">
      <c r="A471" s="1"/>
      <c r="B471" s="210"/>
      <c r="C471" s="187"/>
      <c r="D471" s="1"/>
      <c r="E471" s="1"/>
      <c r="F471" s="1"/>
      <c r="G471" s="1"/>
      <c r="I471" s="1"/>
    </row>
    <row r="472" spans="1:9">
      <c r="A472" s="1"/>
      <c r="B472" s="210"/>
      <c r="C472" s="187"/>
      <c r="D472" s="1"/>
      <c r="E472" s="1"/>
      <c r="F472" s="1"/>
      <c r="G472" s="1"/>
      <c r="I472" s="1"/>
    </row>
    <row r="473" spans="1:9">
      <c r="A473" s="1"/>
      <c r="B473" s="210"/>
      <c r="C473" s="187"/>
      <c r="D473" s="1"/>
      <c r="E473" s="1"/>
      <c r="F473" s="1"/>
      <c r="G473" s="1"/>
      <c r="I473" s="1"/>
    </row>
    <row r="474" spans="1:9">
      <c r="A474" s="1"/>
      <c r="B474" s="210"/>
      <c r="C474" s="187"/>
      <c r="D474" s="1"/>
      <c r="E474" s="1"/>
      <c r="F474" s="1"/>
      <c r="G474" s="1"/>
      <c r="I474" s="1"/>
    </row>
    <row r="475" spans="1:9">
      <c r="A475" s="1"/>
      <c r="B475" s="210"/>
      <c r="C475" s="187"/>
      <c r="D475" s="1"/>
      <c r="E475" s="1"/>
      <c r="F475" s="1"/>
      <c r="G475" s="1"/>
      <c r="I475" s="1"/>
    </row>
    <row r="476" spans="1:9">
      <c r="A476" s="1"/>
      <c r="B476" s="210"/>
      <c r="C476" s="187"/>
      <c r="D476" s="1"/>
      <c r="E476" s="1"/>
      <c r="F476" s="1"/>
      <c r="G476" s="1"/>
      <c r="I476" s="1"/>
    </row>
    <row r="477" spans="1:9">
      <c r="A477" s="1"/>
      <c r="B477" s="210"/>
      <c r="C477" s="187"/>
      <c r="D477" s="1"/>
      <c r="E477" s="1"/>
      <c r="F477" s="1"/>
      <c r="G477" s="1"/>
      <c r="I477" s="1"/>
    </row>
    <row r="478" spans="1:9">
      <c r="A478" s="1"/>
      <c r="B478" s="210"/>
      <c r="C478" s="187"/>
      <c r="D478" s="1"/>
      <c r="E478" s="1"/>
      <c r="F478" s="1"/>
      <c r="G478" s="1"/>
      <c r="I478" s="1"/>
    </row>
    <row r="479" spans="1:9">
      <c r="A479" s="1"/>
      <c r="B479" s="210"/>
      <c r="C479" s="187"/>
      <c r="D479" s="1"/>
      <c r="E479" s="1"/>
      <c r="F479" s="1"/>
      <c r="G479" s="1"/>
      <c r="I479" s="1"/>
    </row>
    <row r="480" spans="1:9">
      <c r="A480" s="1"/>
      <c r="B480" s="210"/>
      <c r="C480" s="187"/>
      <c r="D480" s="1"/>
      <c r="E480" s="1"/>
      <c r="F480" s="1"/>
      <c r="G480" s="1"/>
      <c r="I480" s="1"/>
    </row>
    <row r="481" spans="1:9">
      <c r="A481" s="1"/>
      <c r="B481" s="210"/>
      <c r="C481" s="187"/>
      <c r="D481" s="1"/>
      <c r="E481" s="1"/>
      <c r="F481" s="1"/>
      <c r="G481" s="1"/>
      <c r="I481" s="1"/>
    </row>
    <row r="482" spans="1:9">
      <c r="A482" s="1"/>
      <c r="B482" s="210"/>
      <c r="C482" s="187"/>
      <c r="D482" s="1"/>
      <c r="E482" s="1"/>
      <c r="F482" s="1"/>
      <c r="G482" s="1"/>
      <c r="I482" s="1"/>
    </row>
    <row r="483" spans="1:9">
      <c r="A483" s="1"/>
      <c r="B483" s="210"/>
      <c r="C483" s="187"/>
      <c r="D483" s="1"/>
      <c r="E483" s="1"/>
      <c r="F483" s="1"/>
      <c r="G483" s="1"/>
      <c r="I483" s="1"/>
    </row>
    <row r="484" spans="1:9">
      <c r="A484" s="1"/>
      <c r="B484" s="210"/>
      <c r="C484" s="187"/>
      <c r="D484" s="1"/>
      <c r="E484" s="1"/>
      <c r="F484" s="1"/>
      <c r="G484" s="1"/>
      <c r="I484" s="1"/>
    </row>
    <row r="485" spans="1:9">
      <c r="A485" s="1"/>
      <c r="B485" s="210"/>
      <c r="C485" s="187"/>
      <c r="D485" s="1"/>
      <c r="E485" s="1"/>
      <c r="F485" s="1"/>
      <c r="G485" s="1"/>
      <c r="I485" s="1"/>
    </row>
    <row r="486" spans="1:9">
      <c r="A486" s="1"/>
      <c r="B486" s="210"/>
      <c r="C486" s="187"/>
      <c r="D486" s="1"/>
      <c r="E486" s="1"/>
      <c r="F486" s="1"/>
      <c r="G486" s="1"/>
      <c r="I486" s="1"/>
    </row>
    <row r="487" spans="1:9">
      <c r="A487" s="1"/>
      <c r="B487" s="210"/>
      <c r="C487" s="187"/>
      <c r="D487" s="1"/>
      <c r="E487" s="1"/>
      <c r="F487" s="1"/>
      <c r="G487" s="1"/>
      <c r="I487" s="1"/>
    </row>
    <row r="488" spans="1:9">
      <c r="A488" s="1"/>
      <c r="B488" s="210"/>
      <c r="C488" s="187"/>
      <c r="D488" s="1"/>
      <c r="E488" s="1"/>
      <c r="F488" s="1"/>
      <c r="G488" s="1"/>
      <c r="I488" s="1"/>
    </row>
    <row r="489" spans="1:9">
      <c r="A489" s="1"/>
      <c r="B489" s="210"/>
      <c r="C489" s="187"/>
      <c r="D489" s="1"/>
      <c r="E489" s="1"/>
      <c r="F489" s="1"/>
      <c r="G489" s="1"/>
      <c r="I489" s="1"/>
    </row>
    <row r="490" spans="1:9">
      <c r="A490" s="1"/>
      <c r="B490" s="210"/>
      <c r="C490" s="187"/>
      <c r="D490" s="1"/>
      <c r="E490" s="1"/>
      <c r="F490" s="1"/>
      <c r="G490" s="1"/>
      <c r="I490" s="1"/>
    </row>
    <row r="491" spans="1:9">
      <c r="A491" s="1"/>
      <c r="B491" s="210"/>
      <c r="C491" s="187"/>
      <c r="D491" s="1"/>
      <c r="E491" s="1"/>
      <c r="F491" s="1"/>
      <c r="G491" s="1"/>
      <c r="I491" s="1"/>
    </row>
    <row r="492" spans="1:9">
      <c r="A492" s="1"/>
      <c r="B492" s="210"/>
      <c r="C492" s="187"/>
      <c r="D492" s="1"/>
      <c r="E492" s="1"/>
      <c r="F492" s="1"/>
      <c r="G492" s="1"/>
      <c r="I492" s="1"/>
    </row>
    <row r="493" spans="1:9">
      <c r="A493" s="1"/>
      <c r="B493" s="210"/>
      <c r="C493" s="187"/>
      <c r="D493" s="1"/>
      <c r="E493" s="1"/>
      <c r="F493" s="1"/>
      <c r="G493" s="1"/>
      <c r="I493" s="1"/>
    </row>
    <row r="494" spans="1:9">
      <c r="A494" s="1"/>
      <c r="B494" s="210"/>
      <c r="C494" s="187"/>
      <c r="D494" s="1"/>
      <c r="E494" s="1"/>
      <c r="F494" s="1"/>
      <c r="G494" s="1"/>
      <c r="I494" s="1"/>
    </row>
    <row r="495" spans="1:9">
      <c r="A495" s="1"/>
      <c r="B495" s="210"/>
      <c r="C495" s="187"/>
      <c r="D495" s="1"/>
      <c r="E495" s="1"/>
      <c r="F495" s="1"/>
      <c r="G495" s="1"/>
      <c r="I495" s="1"/>
    </row>
    <row r="496" spans="1:9">
      <c r="A496" s="1"/>
      <c r="B496" s="210"/>
      <c r="C496" s="187"/>
      <c r="D496" s="1"/>
      <c r="E496" s="1"/>
      <c r="F496" s="1"/>
      <c r="G496" s="1"/>
      <c r="I496" s="1"/>
    </row>
    <row r="497" spans="1:9">
      <c r="A497" s="1"/>
      <c r="B497" s="210"/>
      <c r="C497" s="187"/>
      <c r="D497" s="1"/>
      <c r="E497" s="1"/>
      <c r="F497" s="1"/>
      <c r="G497" s="1"/>
      <c r="I497" s="1"/>
    </row>
    <row r="498" spans="1:9">
      <c r="A498" s="1"/>
      <c r="B498" s="210"/>
      <c r="C498" s="187"/>
      <c r="D498" s="1"/>
      <c r="E498" s="1"/>
      <c r="F498" s="1"/>
      <c r="G498" s="1"/>
      <c r="I498" s="1"/>
    </row>
    <row r="499" spans="1:9">
      <c r="A499" s="1"/>
      <c r="B499" s="210"/>
      <c r="C499" s="187"/>
      <c r="D499" s="1"/>
      <c r="E499" s="1"/>
      <c r="F499" s="1"/>
      <c r="G499" s="1"/>
      <c r="I499" s="1"/>
    </row>
    <row r="500" spans="1:9">
      <c r="A500" s="1"/>
      <c r="B500" s="210"/>
      <c r="C500" s="187"/>
      <c r="D500" s="1"/>
      <c r="E500" s="1"/>
      <c r="F500" s="1"/>
      <c r="G500" s="1"/>
      <c r="I500" s="1"/>
    </row>
    <row r="501" spans="1:9">
      <c r="A501" s="1"/>
      <c r="B501" s="210"/>
      <c r="C501" s="187"/>
      <c r="D501" s="1"/>
      <c r="E501" s="1"/>
      <c r="F501" s="1"/>
      <c r="G501" s="1"/>
      <c r="I501" s="1"/>
    </row>
    <row r="502" spans="1:9">
      <c r="A502" s="1"/>
      <c r="B502" s="210"/>
      <c r="C502" s="187"/>
      <c r="D502" s="1"/>
      <c r="E502" s="1"/>
      <c r="F502" s="1"/>
      <c r="G502" s="1"/>
      <c r="I502" s="1"/>
    </row>
    <row r="503" spans="1:9">
      <c r="A503" s="1"/>
      <c r="B503" s="210"/>
      <c r="C503" s="187"/>
      <c r="D503" s="1"/>
      <c r="E503" s="1"/>
      <c r="F503" s="1"/>
      <c r="G503" s="1"/>
      <c r="I503" s="1"/>
    </row>
    <row r="504" spans="1:9">
      <c r="A504" s="1"/>
      <c r="B504" s="210"/>
      <c r="C504" s="187"/>
      <c r="D504" s="1"/>
      <c r="E504" s="1"/>
      <c r="F504" s="1"/>
      <c r="G504" s="1"/>
      <c r="I504" s="1"/>
    </row>
    <row r="505" spans="1:9">
      <c r="A505" s="1"/>
      <c r="B505" s="210"/>
      <c r="C505" s="187"/>
      <c r="D505" s="1"/>
      <c r="E505" s="1"/>
      <c r="F505" s="1"/>
      <c r="G505" s="1"/>
      <c r="I505" s="1"/>
    </row>
    <row r="506" spans="1:9">
      <c r="A506" s="1"/>
      <c r="B506" s="210"/>
      <c r="C506" s="187"/>
      <c r="D506" s="1"/>
      <c r="E506" s="1"/>
      <c r="F506" s="1"/>
      <c r="G506" s="1"/>
      <c r="I506" s="1"/>
    </row>
    <row r="507" spans="1:9">
      <c r="A507" s="1"/>
      <c r="B507" s="210"/>
      <c r="C507" s="187"/>
      <c r="D507" s="1"/>
      <c r="E507" s="1"/>
      <c r="F507" s="1"/>
      <c r="G507" s="1"/>
      <c r="I507" s="1"/>
    </row>
    <row r="508" spans="1:9">
      <c r="A508" s="1"/>
      <c r="B508" s="210"/>
      <c r="C508" s="187"/>
      <c r="D508" s="1"/>
      <c r="E508" s="1"/>
      <c r="F508" s="1"/>
      <c r="G508" s="1"/>
      <c r="I508" s="1"/>
    </row>
    <row r="509" spans="1:9">
      <c r="A509" s="1"/>
      <c r="B509" s="210"/>
      <c r="C509" s="187"/>
      <c r="D509" s="1"/>
      <c r="E509" s="1"/>
      <c r="F509" s="1"/>
      <c r="G509" s="1"/>
      <c r="I509" s="1"/>
    </row>
    <row r="510" spans="1:9">
      <c r="A510" s="1"/>
      <c r="B510" s="210"/>
      <c r="C510" s="187"/>
      <c r="D510" s="1"/>
      <c r="E510" s="1"/>
      <c r="F510" s="1"/>
      <c r="G510" s="1"/>
      <c r="I510" s="1"/>
    </row>
    <row r="511" spans="1:9">
      <c r="A511" s="1"/>
      <c r="B511" s="210"/>
      <c r="C511" s="187"/>
      <c r="D511" s="1"/>
      <c r="E511" s="1"/>
      <c r="F511" s="1"/>
      <c r="G511" s="1"/>
      <c r="I511" s="1"/>
    </row>
    <row r="512" spans="1:9">
      <c r="A512" s="1"/>
      <c r="B512" s="210"/>
      <c r="C512" s="187"/>
      <c r="D512" s="1"/>
      <c r="E512" s="1"/>
      <c r="F512" s="1"/>
      <c r="G512" s="1"/>
      <c r="I512" s="1"/>
    </row>
    <row r="513" spans="1:9">
      <c r="A513" s="1"/>
      <c r="B513" s="210"/>
      <c r="C513" s="187"/>
      <c r="D513" s="1"/>
      <c r="E513" s="1"/>
      <c r="F513" s="1"/>
      <c r="G513" s="1"/>
      <c r="I513" s="1"/>
    </row>
    <row r="514" spans="1:9">
      <c r="A514" s="1"/>
      <c r="B514" s="210"/>
      <c r="C514" s="187"/>
      <c r="D514" s="1"/>
      <c r="E514" s="1"/>
      <c r="F514" s="1"/>
      <c r="G514" s="1"/>
      <c r="I514" s="1"/>
    </row>
    <row r="515" spans="1:9">
      <c r="A515" s="1"/>
      <c r="B515" s="210"/>
      <c r="C515" s="187"/>
      <c r="D515" s="1"/>
      <c r="E515" s="1"/>
      <c r="F515" s="1"/>
      <c r="G515" s="1"/>
      <c r="I515" s="1"/>
    </row>
    <row r="516" spans="1:9">
      <c r="A516" s="1"/>
      <c r="B516" s="210"/>
      <c r="C516" s="187"/>
      <c r="D516" s="1"/>
      <c r="E516" s="1"/>
      <c r="F516" s="1"/>
      <c r="G516" s="1"/>
      <c r="I516" s="1"/>
    </row>
    <row r="517" spans="1:9">
      <c r="A517" s="1"/>
      <c r="B517" s="210"/>
      <c r="C517" s="187"/>
      <c r="D517" s="1"/>
      <c r="E517" s="1"/>
      <c r="F517" s="1"/>
      <c r="G517" s="1"/>
      <c r="I517" s="1"/>
    </row>
    <row r="518" spans="1:9">
      <c r="A518" s="1"/>
      <c r="B518" s="210"/>
      <c r="C518" s="187"/>
      <c r="D518" s="1"/>
      <c r="E518" s="1"/>
      <c r="F518" s="1"/>
      <c r="G518" s="1"/>
      <c r="I518" s="1"/>
    </row>
    <row r="519" spans="1:9">
      <c r="A519" s="1"/>
      <c r="B519" s="210"/>
      <c r="C519" s="187"/>
      <c r="D519" s="1"/>
      <c r="E519" s="1"/>
      <c r="F519" s="1"/>
      <c r="G519" s="1"/>
      <c r="I519" s="1"/>
    </row>
    <row r="520" spans="1:9">
      <c r="A520" s="1"/>
      <c r="B520" s="210"/>
      <c r="C520" s="187"/>
      <c r="D520" s="1"/>
      <c r="E520" s="1"/>
      <c r="F520" s="1"/>
      <c r="G520" s="1"/>
      <c r="I520" s="1"/>
    </row>
    <row r="521" spans="1:9">
      <c r="A521" s="1"/>
      <c r="B521" s="210"/>
      <c r="C521" s="187"/>
      <c r="D521" s="1"/>
      <c r="E521" s="1"/>
      <c r="F521" s="1"/>
      <c r="G521" s="1"/>
      <c r="I521" s="1"/>
    </row>
    <row r="522" spans="1:9">
      <c r="A522" s="1"/>
      <c r="B522" s="210"/>
      <c r="C522" s="187"/>
      <c r="D522" s="1"/>
      <c r="E522" s="1"/>
      <c r="F522" s="1"/>
      <c r="G522" s="1"/>
      <c r="I522" s="1"/>
    </row>
    <row r="523" spans="1:9">
      <c r="A523" s="1"/>
      <c r="B523" s="210"/>
      <c r="C523" s="187"/>
      <c r="D523" s="1"/>
      <c r="E523" s="1"/>
      <c r="F523" s="1"/>
      <c r="G523" s="1"/>
      <c r="I523" s="1"/>
    </row>
    <row r="524" spans="1:9">
      <c r="A524" s="1"/>
      <c r="B524" s="210"/>
      <c r="C524" s="187"/>
      <c r="D524" s="1"/>
      <c r="E524" s="1"/>
      <c r="F524" s="1"/>
      <c r="G524" s="1"/>
      <c r="I524" s="1"/>
    </row>
    <row r="525" spans="1:9">
      <c r="A525" s="1"/>
      <c r="B525" s="210"/>
      <c r="C525" s="187"/>
      <c r="D525" s="1"/>
      <c r="E525" s="1"/>
      <c r="F525" s="1"/>
      <c r="G525" s="1"/>
      <c r="I525" s="1"/>
    </row>
    <row r="526" spans="1:9">
      <c r="A526" s="1"/>
      <c r="B526" s="210"/>
      <c r="C526" s="187"/>
      <c r="D526" s="1"/>
      <c r="E526" s="1"/>
      <c r="F526" s="1"/>
      <c r="G526" s="1"/>
      <c r="I526" s="1"/>
    </row>
    <row r="527" spans="1:9">
      <c r="A527" s="1"/>
      <c r="B527" s="210"/>
      <c r="C527" s="187"/>
      <c r="D527" s="1"/>
      <c r="E527" s="1"/>
      <c r="F527" s="1"/>
      <c r="G527" s="1"/>
      <c r="I527" s="1"/>
    </row>
    <row r="528" spans="1:9">
      <c r="A528" s="1"/>
      <c r="B528" s="210"/>
      <c r="C528" s="187"/>
      <c r="D528" s="1"/>
      <c r="E528" s="1"/>
      <c r="F528" s="1"/>
      <c r="G528" s="1"/>
      <c r="I528" s="1"/>
    </row>
    <row r="529" spans="1:9">
      <c r="A529" s="1"/>
      <c r="B529" s="210"/>
      <c r="C529" s="187"/>
      <c r="D529" s="1"/>
      <c r="E529" s="1"/>
      <c r="F529" s="1"/>
      <c r="G529" s="1"/>
      <c r="I529" s="1"/>
    </row>
    <row r="530" spans="1:9">
      <c r="A530" s="1"/>
      <c r="B530" s="210"/>
      <c r="C530" s="187"/>
      <c r="D530" s="1"/>
      <c r="E530" s="1"/>
      <c r="F530" s="1"/>
      <c r="G530" s="1"/>
      <c r="I530" s="1"/>
    </row>
    <row r="531" spans="1:9">
      <c r="A531" s="1"/>
      <c r="B531" s="210"/>
      <c r="C531" s="187"/>
      <c r="D531" s="1"/>
      <c r="E531" s="1"/>
      <c r="F531" s="1"/>
      <c r="G531" s="1"/>
      <c r="I531" s="1"/>
    </row>
    <row r="532" spans="1:9">
      <c r="A532" s="1"/>
      <c r="B532" s="210"/>
      <c r="C532" s="187"/>
      <c r="D532" s="1"/>
      <c r="E532" s="1"/>
      <c r="F532" s="1"/>
      <c r="G532" s="1"/>
      <c r="I532" s="1"/>
    </row>
    <row r="533" spans="1:9">
      <c r="A533" s="1"/>
      <c r="B533" s="210"/>
      <c r="C533" s="187"/>
      <c r="D533" s="1"/>
      <c r="E533" s="1"/>
      <c r="F533" s="1"/>
      <c r="G533" s="1"/>
      <c r="I533" s="1"/>
    </row>
    <row r="534" spans="1:9">
      <c r="A534" s="1"/>
      <c r="B534" s="210"/>
      <c r="C534" s="187"/>
      <c r="D534" s="1"/>
      <c r="E534" s="1"/>
      <c r="F534" s="1"/>
      <c r="G534" s="1"/>
      <c r="I534" s="1"/>
    </row>
    <row r="535" spans="1:9">
      <c r="A535" s="1"/>
      <c r="B535" s="210"/>
      <c r="C535" s="187"/>
      <c r="D535" s="1"/>
      <c r="E535" s="1"/>
      <c r="F535" s="1"/>
      <c r="G535" s="1"/>
      <c r="I535" s="1"/>
    </row>
    <row r="536" spans="1:9">
      <c r="A536" s="1"/>
      <c r="B536" s="210"/>
      <c r="C536" s="187"/>
      <c r="D536" s="1"/>
      <c r="E536" s="1"/>
      <c r="F536" s="1"/>
      <c r="G536" s="1"/>
      <c r="I536" s="1"/>
    </row>
    <row r="537" spans="1:9">
      <c r="A537" s="1"/>
      <c r="B537" s="210"/>
      <c r="C537" s="187"/>
      <c r="D537" s="1"/>
      <c r="E537" s="1"/>
      <c r="F537" s="1"/>
      <c r="G537" s="1"/>
      <c r="I537" s="1"/>
    </row>
    <row r="538" spans="1:9">
      <c r="A538" s="1"/>
      <c r="B538" s="210"/>
      <c r="C538" s="187"/>
      <c r="D538" s="1"/>
      <c r="E538" s="1"/>
      <c r="F538" s="1"/>
      <c r="G538" s="1"/>
      <c r="I538" s="1"/>
    </row>
    <row r="539" spans="1:9">
      <c r="A539" s="1"/>
      <c r="B539" s="210"/>
      <c r="C539" s="187"/>
      <c r="D539" s="1"/>
      <c r="E539" s="1"/>
      <c r="F539" s="1"/>
      <c r="G539" s="1"/>
      <c r="I539" s="1"/>
    </row>
    <row r="540" spans="1:9">
      <c r="A540" s="1"/>
      <c r="B540" s="210"/>
      <c r="C540" s="187"/>
      <c r="D540" s="1"/>
      <c r="E540" s="1"/>
      <c r="F540" s="1"/>
      <c r="G540" s="1"/>
      <c r="I540" s="1"/>
    </row>
    <row r="541" spans="1:9">
      <c r="A541" s="1"/>
      <c r="B541" s="210"/>
      <c r="C541" s="187"/>
      <c r="D541" s="1"/>
      <c r="E541" s="1"/>
      <c r="F541" s="1"/>
      <c r="G541" s="1"/>
      <c r="I541" s="1"/>
    </row>
    <row r="542" spans="1:9">
      <c r="A542" s="1"/>
      <c r="B542" s="210"/>
      <c r="C542" s="187"/>
      <c r="D542" s="1"/>
      <c r="E542" s="1"/>
      <c r="F542" s="1"/>
      <c r="G542" s="1"/>
      <c r="I542" s="1"/>
    </row>
    <row r="543" spans="1:9">
      <c r="A543" s="1"/>
      <c r="B543" s="210"/>
      <c r="C543" s="187"/>
      <c r="D543" s="1"/>
      <c r="E543" s="1"/>
      <c r="F543" s="1"/>
      <c r="G543" s="1"/>
      <c r="I543" s="1"/>
    </row>
    <row r="544" spans="1:9">
      <c r="A544" s="1"/>
      <c r="B544" s="210"/>
      <c r="C544" s="187"/>
      <c r="D544" s="1"/>
      <c r="E544" s="1"/>
      <c r="F544" s="1"/>
      <c r="G544" s="1"/>
      <c r="I544" s="1"/>
    </row>
    <row r="545" spans="1:9">
      <c r="A545" s="1"/>
      <c r="B545" s="210"/>
      <c r="C545" s="187"/>
      <c r="D545" s="1"/>
      <c r="E545" s="1"/>
      <c r="F545" s="1"/>
      <c r="G545" s="1"/>
      <c r="I545" s="1"/>
    </row>
    <row r="546" spans="1:9">
      <c r="A546" s="1"/>
      <c r="B546" s="210"/>
      <c r="C546" s="187"/>
      <c r="D546" s="1"/>
      <c r="E546" s="1"/>
      <c r="F546" s="1"/>
      <c r="G546" s="1"/>
      <c r="I546" s="1"/>
    </row>
    <row r="547" spans="1:9">
      <c r="A547" s="1"/>
      <c r="B547" s="210"/>
      <c r="C547" s="187"/>
      <c r="D547" s="1"/>
      <c r="E547" s="1"/>
      <c r="F547" s="1"/>
      <c r="G547" s="1"/>
      <c r="I547" s="1"/>
    </row>
    <row r="548" spans="1:9">
      <c r="A548" s="1"/>
      <c r="B548" s="210"/>
      <c r="C548" s="187"/>
      <c r="D548" s="1"/>
      <c r="E548" s="1"/>
      <c r="F548" s="1"/>
      <c r="G548" s="1"/>
      <c r="I548" s="1"/>
    </row>
    <row r="549" spans="1:9">
      <c r="A549" s="1"/>
      <c r="B549" s="210"/>
      <c r="C549" s="187"/>
      <c r="D549" s="1"/>
      <c r="E549" s="1"/>
      <c r="F549" s="1"/>
      <c r="G549" s="1"/>
      <c r="I549" s="1"/>
    </row>
    <row r="550" spans="1:9">
      <c r="A550" s="1"/>
      <c r="B550" s="210"/>
      <c r="C550" s="187"/>
      <c r="D550" s="1"/>
      <c r="E550" s="1"/>
      <c r="F550" s="1"/>
      <c r="G550" s="1"/>
      <c r="I550" s="1"/>
    </row>
    <row r="551" spans="1:9">
      <c r="A551" s="1"/>
      <c r="B551" s="210"/>
      <c r="C551" s="187"/>
      <c r="D551" s="1"/>
      <c r="E551" s="1"/>
      <c r="F551" s="1"/>
      <c r="G551" s="1"/>
      <c r="I551" s="1"/>
    </row>
    <row r="552" spans="1:9">
      <c r="A552" s="1"/>
      <c r="B552" s="210"/>
      <c r="C552" s="187"/>
      <c r="D552" s="1"/>
      <c r="E552" s="1"/>
      <c r="F552" s="1"/>
      <c r="G552" s="1"/>
      <c r="I552" s="1"/>
    </row>
    <row r="553" spans="1:9">
      <c r="A553" s="1"/>
      <c r="B553" s="210"/>
      <c r="C553" s="187"/>
      <c r="D553" s="1"/>
      <c r="E553" s="1"/>
      <c r="F553" s="1"/>
      <c r="G553" s="1"/>
      <c r="I553" s="1"/>
    </row>
    <row r="554" spans="1:9">
      <c r="A554" s="1"/>
      <c r="B554" s="210"/>
      <c r="C554" s="187"/>
      <c r="D554" s="1"/>
      <c r="E554" s="1"/>
      <c r="F554" s="1"/>
      <c r="G554" s="1"/>
      <c r="I554" s="1"/>
    </row>
    <row r="555" spans="1:9">
      <c r="A555" s="1"/>
      <c r="B555" s="210"/>
      <c r="C555" s="187"/>
      <c r="D555" s="1"/>
      <c r="E555" s="1"/>
      <c r="F555" s="1"/>
      <c r="G555" s="1"/>
      <c r="I555" s="1"/>
    </row>
    <row r="556" spans="1:9">
      <c r="A556" s="1"/>
      <c r="B556" s="210"/>
      <c r="C556" s="187"/>
      <c r="D556" s="1"/>
      <c r="E556" s="1"/>
      <c r="F556" s="1"/>
      <c r="G556" s="1"/>
      <c r="I556" s="1"/>
    </row>
    <row r="557" spans="1:9">
      <c r="A557" s="1"/>
      <c r="B557" s="210"/>
      <c r="C557" s="187"/>
      <c r="D557" s="1"/>
      <c r="E557" s="1"/>
      <c r="F557" s="1"/>
      <c r="G557" s="1"/>
      <c r="I557" s="1"/>
    </row>
    <row r="558" spans="1:9">
      <c r="A558" s="1"/>
      <c r="B558" s="210"/>
      <c r="C558" s="187"/>
      <c r="D558" s="1"/>
      <c r="E558" s="1"/>
      <c r="F558" s="1"/>
      <c r="G558" s="1"/>
      <c r="I558" s="1"/>
    </row>
    <row r="559" spans="1:9">
      <c r="A559" s="1"/>
      <c r="B559" s="210"/>
      <c r="C559" s="187"/>
      <c r="D559" s="1"/>
      <c r="E559" s="1"/>
      <c r="F559" s="1"/>
      <c r="G559" s="1"/>
      <c r="I559" s="1"/>
    </row>
    <row r="560" spans="1:9">
      <c r="A560" s="1"/>
      <c r="B560" s="210"/>
      <c r="C560" s="187"/>
      <c r="D560" s="1"/>
      <c r="E560" s="1"/>
      <c r="F560" s="1"/>
      <c r="G560" s="1"/>
      <c r="I560" s="1"/>
    </row>
    <row r="561" spans="1:9">
      <c r="A561" s="1"/>
      <c r="B561" s="210"/>
      <c r="C561" s="187"/>
      <c r="D561" s="1"/>
      <c r="E561" s="1"/>
      <c r="F561" s="1"/>
      <c r="G561" s="1"/>
      <c r="I561" s="1"/>
    </row>
    <row r="562" spans="1:9">
      <c r="A562" s="1"/>
      <c r="B562" s="210"/>
      <c r="C562" s="187"/>
      <c r="D562" s="1"/>
      <c r="E562" s="1"/>
      <c r="F562" s="1"/>
      <c r="G562" s="1"/>
      <c r="I562" s="1"/>
    </row>
    <row r="563" spans="1:9">
      <c r="A563" s="1"/>
      <c r="B563" s="210"/>
      <c r="C563" s="187"/>
      <c r="D563" s="1"/>
      <c r="E563" s="1"/>
      <c r="F563" s="1"/>
      <c r="G563" s="1"/>
      <c r="I563" s="1"/>
    </row>
    <row r="564" spans="1:9">
      <c r="A564" s="1"/>
      <c r="B564" s="210"/>
      <c r="C564" s="187"/>
      <c r="D564" s="1"/>
      <c r="E564" s="1"/>
      <c r="F564" s="1"/>
      <c r="G564" s="1"/>
      <c r="I564" s="1"/>
    </row>
    <row r="565" spans="1:9">
      <c r="A565" s="1"/>
      <c r="B565" s="210"/>
      <c r="C565" s="187"/>
      <c r="D565" s="1"/>
      <c r="E565" s="1"/>
      <c r="F565" s="1"/>
      <c r="G565" s="1"/>
      <c r="I565" s="1"/>
    </row>
    <row r="566" spans="1:9">
      <c r="A566" s="1"/>
      <c r="B566" s="210"/>
      <c r="C566" s="187"/>
      <c r="D566" s="1"/>
      <c r="E566" s="1"/>
      <c r="F566" s="1"/>
      <c r="G566" s="1"/>
      <c r="I566" s="1"/>
    </row>
    <row r="567" spans="1:9">
      <c r="A567" s="1"/>
      <c r="B567" s="210"/>
      <c r="C567" s="187"/>
      <c r="D567" s="1"/>
      <c r="E567" s="1"/>
      <c r="F567" s="1"/>
      <c r="G567" s="1"/>
      <c r="I567" s="1"/>
    </row>
    <row r="568" spans="1:9">
      <c r="A568" s="1"/>
      <c r="B568" s="210"/>
      <c r="C568" s="187"/>
      <c r="D568" s="1"/>
      <c r="E568" s="1"/>
      <c r="F568" s="1"/>
      <c r="G568" s="1"/>
      <c r="I568" s="1"/>
    </row>
    <row r="569" spans="1:9">
      <c r="A569" s="1"/>
      <c r="B569" s="210"/>
      <c r="C569" s="187"/>
      <c r="D569" s="1"/>
      <c r="E569" s="1"/>
      <c r="F569" s="1"/>
      <c r="G569" s="1"/>
      <c r="I569" s="1"/>
    </row>
    <row r="570" spans="1:9">
      <c r="A570" s="1"/>
      <c r="B570" s="210"/>
      <c r="C570" s="187"/>
      <c r="D570" s="1"/>
      <c r="E570" s="1"/>
      <c r="F570" s="1"/>
      <c r="G570" s="1"/>
      <c r="I570" s="1"/>
    </row>
    <row r="571" spans="1:9">
      <c r="A571" s="1"/>
      <c r="B571" s="210"/>
      <c r="C571" s="187"/>
      <c r="D571" s="1"/>
      <c r="E571" s="1"/>
      <c r="F571" s="1"/>
      <c r="G571" s="1"/>
      <c r="I571" s="1"/>
    </row>
    <row r="572" spans="1:9">
      <c r="A572" s="1"/>
      <c r="B572" s="210"/>
      <c r="C572" s="187"/>
      <c r="D572" s="1"/>
      <c r="E572" s="1"/>
      <c r="F572" s="1"/>
      <c r="G572" s="1"/>
      <c r="I572" s="1"/>
    </row>
    <row r="573" spans="1:9">
      <c r="A573" s="1"/>
      <c r="B573" s="210"/>
      <c r="C573" s="187"/>
      <c r="D573" s="1"/>
      <c r="E573" s="1"/>
      <c r="F573" s="1"/>
      <c r="G573" s="1"/>
      <c r="I573" s="1"/>
    </row>
    <row r="574" spans="1:9">
      <c r="A574" s="1"/>
      <c r="B574" s="210"/>
      <c r="C574" s="187"/>
      <c r="D574" s="1"/>
      <c r="E574" s="1"/>
      <c r="F574" s="1"/>
      <c r="G574" s="1"/>
      <c r="I574" s="1"/>
    </row>
    <row r="575" spans="1:9">
      <c r="A575" s="1"/>
      <c r="B575" s="210"/>
      <c r="C575" s="187"/>
      <c r="D575" s="1"/>
      <c r="E575" s="1"/>
      <c r="F575" s="1"/>
      <c r="G575" s="1"/>
      <c r="I575" s="1"/>
    </row>
    <row r="576" spans="1:9">
      <c r="A576" s="1"/>
      <c r="B576" s="210"/>
      <c r="C576" s="187"/>
      <c r="D576" s="1"/>
      <c r="E576" s="1"/>
      <c r="F576" s="1"/>
      <c r="G576" s="1"/>
      <c r="I576" s="1"/>
    </row>
    <row r="577" spans="1:9">
      <c r="A577" s="1"/>
      <c r="B577" s="210"/>
      <c r="C577" s="187"/>
      <c r="D577" s="1"/>
      <c r="E577" s="1"/>
      <c r="F577" s="1"/>
      <c r="G577" s="1"/>
      <c r="I577" s="1"/>
    </row>
    <row r="578" spans="1:9">
      <c r="A578" s="1"/>
      <c r="B578" s="210"/>
      <c r="C578" s="187"/>
      <c r="D578" s="1"/>
      <c r="E578" s="1"/>
      <c r="F578" s="1"/>
      <c r="G578" s="1"/>
      <c r="I578" s="1"/>
    </row>
    <row r="579" spans="1:9">
      <c r="A579" s="1"/>
      <c r="B579" s="210"/>
      <c r="C579" s="187"/>
      <c r="D579" s="1"/>
      <c r="E579" s="1"/>
      <c r="F579" s="1"/>
      <c r="G579" s="1"/>
      <c r="I579" s="1"/>
    </row>
    <row r="580" spans="1:9">
      <c r="A580" s="1"/>
      <c r="B580" s="210"/>
      <c r="C580" s="187"/>
      <c r="D580" s="1"/>
      <c r="E580" s="1"/>
      <c r="F580" s="1"/>
      <c r="G580" s="1"/>
      <c r="I580" s="1"/>
    </row>
    <row r="581" spans="1:9">
      <c r="A581" s="1"/>
      <c r="B581" s="210"/>
      <c r="C581" s="187"/>
      <c r="D581" s="1"/>
      <c r="E581" s="1"/>
      <c r="F581" s="1"/>
      <c r="G581" s="1"/>
      <c r="I581" s="1"/>
    </row>
    <row r="582" spans="1:9">
      <c r="A582" s="1"/>
      <c r="B582" s="210"/>
      <c r="C582" s="187"/>
      <c r="D582" s="1"/>
      <c r="E582" s="1"/>
      <c r="F582" s="1"/>
      <c r="G582" s="1"/>
      <c r="I582" s="1"/>
    </row>
    <row r="583" spans="1:9">
      <c r="A583" s="1"/>
      <c r="B583" s="210"/>
      <c r="C583" s="187"/>
      <c r="D583" s="1"/>
      <c r="E583" s="1"/>
      <c r="F583" s="1"/>
      <c r="G583" s="1"/>
      <c r="I583" s="1"/>
    </row>
    <row r="584" spans="1:9">
      <c r="A584" s="1"/>
      <c r="B584" s="210"/>
      <c r="C584" s="187"/>
      <c r="D584" s="1"/>
      <c r="E584" s="1"/>
      <c r="F584" s="1"/>
      <c r="G584" s="1"/>
      <c r="I584" s="1"/>
    </row>
    <row r="585" spans="1:9">
      <c r="A585" s="1"/>
      <c r="B585" s="210"/>
      <c r="C585" s="187"/>
      <c r="D585" s="1"/>
      <c r="E585" s="1"/>
      <c r="F585" s="1"/>
      <c r="G585" s="1"/>
      <c r="I585" s="1"/>
    </row>
    <row r="586" spans="1:9">
      <c r="A586" s="1"/>
      <c r="B586" s="210"/>
      <c r="C586" s="187"/>
      <c r="D586" s="1"/>
      <c r="E586" s="1"/>
      <c r="F586" s="1"/>
      <c r="G586" s="1"/>
      <c r="I586" s="1"/>
    </row>
    <row r="587" spans="1:9">
      <c r="A587" s="1"/>
      <c r="B587" s="210"/>
      <c r="C587" s="187"/>
      <c r="D587" s="1"/>
      <c r="E587" s="1"/>
      <c r="F587" s="1"/>
      <c r="G587" s="1"/>
      <c r="I587" s="1"/>
    </row>
    <row r="588" spans="1:9">
      <c r="A588" s="1"/>
      <c r="B588" s="210"/>
      <c r="C588" s="187"/>
      <c r="D588" s="1"/>
      <c r="E588" s="1"/>
      <c r="F588" s="1"/>
      <c r="G588" s="1"/>
      <c r="I588" s="1"/>
    </row>
    <row r="589" spans="1:9">
      <c r="A589" s="1"/>
      <c r="B589" s="210"/>
      <c r="C589" s="187"/>
      <c r="D589" s="1"/>
      <c r="E589" s="1"/>
      <c r="F589" s="1"/>
      <c r="G589" s="1"/>
      <c r="I589" s="1"/>
    </row>
    <row r="590" spans="1:9">
      <c r="A590" s="1"/>
      <c r="B590" s="210"/>
      <c r="C590" s="187"/>
      <c r="D590" s="1"/>
      <c r="E590" s="1"/>
      <c r="F590" s="1"/>
      <c r="G590" s="1"/>
      <c r="I590" s="1"/>
    </row>
    <row r="591" spans="1:9">
      <c r="A591" s="1"/>
      <c r="B591" s="210"/>
      <c r="C591" s="187"/>
      <c r="D591" s="1"/>
      <c r="E591" s="1"/>
      <c r="F591" s="1"/>
      <c r="G591" s="1"/>
      <c r="I591" s="1"/>
    </row>
    <row r="592" spans="1:9">
      <c r="A592" s="1"/>
      <c r="B592" s="210"/>
      <c r="C592" s="187"/>
      <c r="D592" s="1"/>
      <c r="E592" s="1"/>
      <c r="F592" s="1"/>
      <c r="G592" s="1"/>
      <c r="I592" s="1"/>
    </row>
    <row r="593" spans="1:9">
      <c r="A593" s="1"/>
      <c r="B593" s="210"/>
      <c r="C593" s="187"/>
      <c r="D593" s="1"/>
      <c r="E593" s="1"/>
      <c r="F593" s="1"/>
      <c r="G593" s="1"/>
      <c r="I593" s="1"/>
    </row>
    <row r="594" spans="1:9">
      <c r="A594" s="1"/>
      <c r="B594" s="210"/>
      <c r="C594" s="187"/>
      <c r="D594" s="1"/>
      <c r="E594" s="1"/>
      <c r="F594" s="1"/>
      <c r="G594" s="1"/>
      <c r="I594" s="1"/>
    </row>
    <row r="595" spans="1:9">
      <c r="A595" s="1"/>
      <c r="B595" s="210"/>
      <c r="C595" s="187"/>
      <c r="D595" s="1"/>
      <c r="E595" s="1"/>
      <c r="F595" s="1"/>
      <c r="G595" s="1"/>
      <c r="I595" s="1"/>
    </row>
    <row r="596" spans="1:9">
      <c r="A596" s="1"/>
      <c r="B596" s="210"/>
      <c r="C596" s="187"/>
      <c r="D596" s="1"/>
      <c r="E596" s="1"/>
      <c r="F596" s="1"/>
      <c r="G596" s="1"/>
      <c r="I596" s="1"/>
    </row>
    <row r="597" spans="1:9">
      <c r="A597" s="1"/>
      <c r="B597" s="210"/>
      <c r="C597" s="187"/>
      <c r="D597" s="1"/>
      <c r="E597" s="1"/>
      <c r="F597" s="1"/>
      <c r="G597" s="1"/>
      <c r="I597" s="1"/>
    </row>
    <row r="598" spans="1:9">
      <c r="A598" s="1"/>
      <c r="B598" s="210"/>
      <c r="C598" s="187"/>
      <c r="D598" s="1"/>
      <c r="E598" s="1"/>
      <c r="F598" s="1"/>
      <c r="G598" s="1"/>
      <c r="I598" s="1"/>
    </row>
    <row r="599" spans="1:9">
      <c r="A599" s="1"/>
      <c r="B599" s="210"/>
      <c r="C599" s="187"/>
      <c r="D599" s="1"/>
      <c r="E599" s="1"/>
      <c r="F599" s="1"/>
      <c r="G599" s="1"/>
      <c r="I599" s="1"/>
    </row>
    <row r="600" spans="1:9">
      <c r="A600" s="1"/>
      <c r="B600" s="210"/>
      <c r="C600" s="187"/>
      <c r="D600" s="1"/>
      <c r="E600" s="1"/>
      <c r="F600" s="1"/>
      <c r="G600" s="1"/>
      <c r="I600" s="1"/>
    </row>
    <row r="601" spans="1:9">
      <c r="A601" s="1"/>
      <c r="B601" s="210"/>
      <c r="C601" s="187"/>
      <c r="D601" s="1"/>
      <c r="E601" s="1"/>
      <c r="F601" s="1"/>
      <c r="G601" s="1"/>
      <c r="I601" s="1"/>
    </row>
    <row r="602" spans="1:9">
      <c r="A602" s="1"/>
      <c r="B602" s="210"/>
      <c r="C602" s="187"/>
      <c r="D602" s="1"/>
      <c r="E602" s="1"/>
      <c r="F602" s="1"/>
      <c r="G602" s="1"/>
      <c r="I602" s="1"/>
    </row>
    <row r="603" spans="1:9">
      <c r="A603" s="1"/>
      <c r="B603" s="210"/>
      <c r="C603" s="187"/>
      <c r="D603" s="1"/>
      <c r="E603" s="1"/>
      <c r="F603" s="1"/>
      <c r="G603" s="1"/>
      <c r="I603" s="1"/>
    </row>
    <row r="604" spans="1:9">
      <c r="A604" s="1"/>
      <c r="B604" s="210"/>
      <c r="C604" s="187"/>
      <c r="D604" s="1"/>
      <c r="E604" s="1"/>
      <c r="F604" s="1"/>
      <c r="G604" s="1"/>
      <c r="I604" s="1"/>
    </row>
    <row r="605" spans="1:9">
      <c r="A605" s="1"/>
      <c r="B605" s="210"/>
      <c r="C605" s="187"/>
      <c r="D605" s="1"/>
      <c r="E605" s="1"/>
      <c r="F605" s="1"/>
      <c r="G605" s="1"/>
      <c r="I605" s="1"/>
    </row>
    <row r="606" spans="1:9">
      <c r="A606" s="1"/>
      <c r="B606" s="210"/>
      <c r="C606" s="187"/>
      <c r="D606" s="1"/>
      <c r="E606" s="1"/>
      <c r="F606" s="1"/>
      <c r="G606" s="1"/>
      <c r="I606" s="1"/>
    </row>
    <row r="607" spans="1:9">
      <c r="A607" s="1"/>
      <c r="B607" s="210"/>
      <c r="C607" s="187"/>
      <c r="D607" s="1"/>
      <c r="E607" s="1"/>
      <c r="F607" s="1"/>
      <c r="G607" s="1"/>
      <c r="I607" s="1"/>
    </row>
    <row r="608" spans="1:9">
      <c r="A608" s="1"/>
      <c r="B608" s="210"/>
      <c r="C608" s="187"/>
      <c r="D608" s="1"/>
      <c r="E608" s="1"/>
      <c r="F608" s="1"/>
      <c r="G608" s="1"/>
      <c r="I608" s="1"/>
    </row>
    <row r="609" spans="1:9">
      <c r="A609" s="1"/>
      <c r="B609" s="210"/>
      <c r="C609" s="187"/>
      <c r="D609" s="1"/>
      <c r="E609" s="1"/>
      <c r="F609" s="1"/>
      <c r="G609" s="1"/>
      <c r="I609" s="1"/>
    </row>
    <row r="610" spans="1:9">
      <c r="A610" s="1"/>
      <c r="B610" s="210"/>
      <c r="C610" s="187"/>
      <c r="D610" s="1"/>
      <c r="E610" s="1"/>
      <c r="F610" s="1"/>
      <c r="G610" s="1"/>
      <c r="I610" s="1"/>
    </row>
    <row r="611" spans="1:9">
      <c r="A611" s="1"/>
      <c r="B611" s="210"/>
      <c r="C611" s="187"/>
      <c r="D611" s="1"/>
      <c r="E611" s="1"/>
      <c r="F611" s="1"/>
      <c r="G611" s="1"/>
      <c r="I611" s="1"/>
    </row>
    <row r="612" spans="1:9">
      <c r="A612" s="1"/>
      <c r="B612" s="210"/>
      <c r="C612" s="187"/>
      <c r="D612" s="1"/>
      <c r="E612" s="1"/>
      <c r="F612" s="1"/>
      <c r="G612" s="1"/>
      <c r="I612" s="1"/>
    </row>
    <row r="613" spans="1:9">
      <c r="A613" s="1"/>
      <c r="B613" s="210"/>
      <c r="C613" s="187"/>
      <c r="D613" s="1"/>
      <c r="E613" s="1"/>
      <c r="F613" s="1"/>
      <c r="G613" s="1"/>
      <c r="I613" s="1"/>
    </row>
    <row r="614" spans="1:9">
      <c r="A614" s="1"/>
      <c r="B614" s="210"/>
      <c r="C614" s="187"/>
      <c r="D614" s="1"/>
      <c r="E614" s="1"/>
      <c r="F614" s="1"/>
      <c r="G614" s="1"/>
      <c r="I614" s="1"/>
    </row>
    <row r="615" spans="1:9">
      <c r="A615" s="1"/>
      <c r="B615" s="210"/>
      <c r="C615" s="187"/>
      <c r="D615" s="1"/>
      <c r="E615" s="1"/>
      <c r="F615" s="1"/>
      <c r="G615" s="1"/>
      <c r="I615" s="1"/>
    </row>
    <row r="616" spans="1:9">
      <c r="A616" s="1"/>
      <c r="B616" s="210"/>
      <c r="C616" s="187"/>
      <c r="D616" s="1"/>
      <c r="E616" s="1"/>
      <c r="F616" s="1"/>
      <c r="G616" s="1"/>
      <c r="I616" s="1"/>
    </row>
    <row r="617" spans="1:9">
      <c r="A617" s="1"/>
      <c r="B617" s="210"/>
      <c r="C617" s="187"/>
      <c r="D617" s="1"/>
      <c r="E617" s="1"/>
      <c r="F617" s="1"/>
      <c r="G617" s="1"/>
      <c r="I617" s="1"/>
    </row>
    <row r="618" spans="1:9">
      <c r="A618" s="1"/>
      <c r="B618" s="210"/>
      <c r="C618" s="187"/>
      <c r="D618" s="1"/>
      <c r="E618" s="1"/>
      <c r="F618" s="1"/>
      <c r="G618" s="1"/>
      <c r="I618" s="1"/>
    </row>
    <row r="619" spans="1:9">
      <c r="A619" s="1"/>
      <c r="B619" s="210"/>
      <c r="C619" s="187"/>
      <c r="D619" s="1"/>
      <c r="E619" s="1"/>
      <c r="F619" s="1"/>
      <c r="G619" s="1"/>
      <c r="I619" s="1"/>
    </row>
    <row r="620" spans="1:9">
      <c r="A620" s="1"/>
      <c r="B620" s="210"/>
      <c r="C620" s="187"/>
      <c r="D620" s="1"/>
      <c r="E620" s="1"/>
      <c r="F620" s="1"/>
      <c r="G620" s="1"/>
      <c r="I620" s="1"/>
    </row>
    <row r="621" spans="1:9">
      <c r="A621" s="1"/>
      <c r="B621" s="210"/>
      <c r="C621" s="187"/>
      <c r="D621" s="1"/>
      <c r="E621" s="1"/>
      <c r="F621" s="1"/>
      <c r="G621" s="1"/>
      <c r="I621" s="1"/>
    </row>
    <row r="622" spans="1:9">
      <c r="A622" s="1"/>
      <c r="B622" s="210"/>
      <c r="C622" s="187"/>
      <c r="D622" s="1"/>
      <c r="E622" s="1"/>
      <c r="F622" s="1"/>
      <c r="G622" s="1"/>
      <c r="I622" s="1"/>
    </row>
    <row r="623" spans="1:9">
      <c r="A623" s="1"/>
      <c r="B623" s="210"/>
      <c r="C623" s="187"/>
      <c r="D623" s="1"/>
      <c r="E623" s="1"/>
      <c r="F623" s="1"/>
      <c r="G623" s="1"/>
      <c r="I623" s="1"/>
    </row>
    <row r="624" spans="1:9">
      <c r="A624" s="1"/>
      <c r="B624" s="210"/>
      <c r="C624" s="187"/>
      <c r="D624" s="1"/>
      <c r="E624" s="1"/>
      <c r="F624" s="1"/>
      <c r="G624" s="1"/>
      <c r="I624" s="1"/>
    </row>
    <row r="625" spans="1:9">
      <c r="A625" s="1"/>
      <c r="B625" s="210"/>
      <c r="C625" s="187"/>
      <c r="D625" s="1"/>
      <c r="E625" s="1"/>
      <c r="F625" s="1"/>
      <c r="G625" s="1"/>
      <c r="I625" s="1"/>
    </row>
    <row r="626" spans="1:9">
      <c r="A626" s="1"/>
      <c r="B626" s="210"/>
      <c r="C626" s="187"/>
      <c r="D626" s="1"/>
      <c r="E626" s="1"/>
      <c r="F626" s="1"/>
      <c r="G626" s="1"/>
      <c r="I626" s="1"/>
    </row>
    <row r="627" spans="1:9">
      <c r="A627" s="1"/>
      <c r="B627" s="210"/>
      <c r="C627" s="187"/>
      <c r="D627" s="1"/>
      <c r="E627" s="1"/>
      <c r="F627" s="1"/>
      <c r="G627" s="1"/>
      <c r="I627" s="1"/>
    </row>
    <row r="628" spans="1:9">
      <c r="A628" s="1"/>
      <c r="B628" s="210"/>
      <c r="C628" s="187"/>
      <c r="D628" s="1"/>
      <c r="E628" s="1"/>
      <c r="F628" s="1"/>
      <c r="G628" s="1"/>
      <c r="I628" s="1"/>
    </row>
    <row r="629" spans="1:9">
      <c r="A629" s="1"/>
      <c r="B629" s="210"/>
      <c r="C629" s="187"/>
      <c r="D629" s="1"/>
      <c r="E629" s="1"/>
      <c r="F629" s="1"/>
      <c r="G629" s="1"/>
      <c r="I629" s="1"/>
    </row>
    <row r="630" spans="1:9">
      <c r="A630" s="1"/>
      <c r="B630" s="210"/>
      <c r="C630" s="187"/>
      <c r="D630" s="1"/>
      <c r="E630" s="1"/>
      <c r="F630" s="1"/>
      <c r="G630" s="1"/>
      <c r="I630" s="1"/>
    </row>
    <row r="631" spans="1:9">
      <c r="A631" s="1"/>
      <c r="B631" s="210"/>
      <c r="C631" s="187"/>
      <c r="D631" s="1"/>
      <c r="E631" s="1"/>
      <c r="F631" s="1"/>
      <c r="G631" s="1"/>
      <c r="I631" s="1"/>
    </row>
    <row r="632" spans="1:9">
      <c r="A632" s="1"/>
      <c r="B632" s="210"/>
      <c r="C632" s="187"/>
      <c r="D632" s="1"/>
      <c r="E632" s="1"/>
      <c r="F632" s="1"/>
      <c r="G632" s="1"/>
      <c r="I632" s="1"/>
    </row>
    <row r="633" spans="1:9">
      <c r="A633" s="1"/>
      <c r="B633" s="210"/>
      <c r="C633" s="187"/>
      <c r="D633" s="1"/>
      <c r="E633" s="1"/>
      <c r="F633" s="1"/>
      <c r="G633" s="1"/>
      <c r="I633" s="1"/>
    </row>
    <row r="634" spans="1:9">
      <c r="A634" s="1"/>
      <c r="B634" s="210"/>
      <c r="C634" s="187"/>
      <c r="D634" s="1"/>
      <c r="E634" s="1"/>
      <c r="F634" s="1"/>
      <c r="G634" s="1"/>
      <c r="I634" s="1"/>
    </row>
    <row r="635" spans="1:9">
      <c r="A635" s="1"/>
      <c r="B635" s="210"/>
      <c r="C635" s="187"/>
      <c r="D635" s="1"/>
      <c r="E635" s="1"/>
      <c r="F635" s="1"/>
      <c r="G635" s="1"/>
      <c r="I635" s="1"/>
    </row>
    <row r="636" spans="1:9">
      <c r="A636" s="1"/>
      <c r="B636" s="210"/>
      <c r="C636" s="187"/>
      <c r="D636" s="1"/>
      <c r="E636" s="1"/>
      <c r="F636" s="1"/>
      <c r="G636" s="1"/>
      <c r="I636" s="1"/>
    </row>
    <row r="637" spans="1:9">
      <c r="A637" s="1"/>
      <c r="B637" s="210"/>
      <c r="C637" s="187"/>
      <c r="D637" s="1"/>
      <c r="E637" s="1"/>
      <c r="F637" s="1"/>
      <c r="G637" s="1"/>
      <c r="I637" s="1"/>
    </row>
    <row r="638" spans="1:9">
      <c r="A638" s="1"/>
      <c r="B638" s="210"/>
      <c r="C638" s="187"/>
      <c r="D638" s="1"/>
      <c r="E638" s="1"/>
      <c r="F638" s="1"/>
      <c r="G638" s="1"/>
      <c r="I638" s="1"/>
    </row>
    <row r="639" spans="1:9">
      <c r="A639" s="1"/>
      <c r="B639" s="210"/>
      <c r="C639" s="187"/>
      <c r="D639" s="1"/>
      <c r="E639" s="1"/>
      <c r="F639" s="1"/>
      <c r="G639" s="1"/>
      <c r="I639" s="1"/>
    </row>
    <row r="640" spans="1:9">
      <c r="A640" s="1"/>
      <c r="B640" s="210"/>
      <c r="C640" s="187"/>
      <c r="D640" s="1"/>
      <c r="E640" s="1"/>
      <c r="F640" s="1"/>
      <c r="G640" s="1"/>
      <c r="I640" s="1"/>
    </row>
    <row r="641" spans="1:9">
      <c r="A641" s="1"/>
      <c r="B641" s="210"/>
      <c r="C641" s="187"/>
      <c r="D641" s="1"/>
      <c r="E641" s="1"/>
      <c r="F641" s="1"/>
      <c r="G641" s="1"/>
      <c r="I641" s="1"/>
    </row>
    <row r="642" spans="1:9">
      <c r="A642" s="1"/>
      <c r="B642" s="210"/>
      <c r="C642" s="187"/>
      <c r="D642" s="1"/>
      <c r="E642" s="1"/>
      <c r="F642" s="1"/>
      <c r="G642" s="1"/>
      <c r="I642" s="1"/>
    </row>
    <row r="643" spans="1:9">
      <c r="A643" s="1"/>
      <c r="B643" s="210"/>
      <c r="C643" s="187"/>
      <c r="D643" s="1"/>
      <c r="E643" s="1"/>
      <c r="F643" s="1"/>
      <c r="G643" s="1"/>
      <c r="I643" s="1"/>
    </row>
    <row r="644" spans="1:9">
      <c r="A644" s="1"/>
      <c r="B644" s="210"/>
      <c r="C644" s="187"/>
      <c r="D644" s="1"/>
      <c r="E644" s="1"/>
      <c r="F644" s="1"/>
      <c r="G644" s="1"/>
      <c r="I644" s="1"/>
    </row>
    <row r="645" spans="1:9">
      <c r="A645" s="1"/>
      <c r="B645" s="210"/>
      <c r="C645" s="187"/>
      <c r="D645" s="1"/>
      <c r="E645" s="1"/>
      <c r="F645" s="1"/>
      <c r="G645" s="1"/>
      <c r="I645" s="1"/>
    </row>
    <row r="646" spans="1:9">
      <c r="A646" s="1"/>
      <c r="B646" s="210"/>
      <c r="C646" s="187"/>
      <c r="D646" s="1"/>
      <c r="E646" s="1"/>
      <c r="F646" s="1"/>
      <c r="G646" s="1"/>
      <c r="I646" s="1"/>
    </row>
    <row r="647" spans="1:9">
      <c r="A647" s="1"/>
      <c r="B647" s="210"/>
      <c r="C647" s="187"/>
      <c r="D647" s="1"/>
      <c r="E647" s="1"/>
      <c r="F647" s="1"/>
      <c r="G647" s="1"/>
      <c r="I647" s="1"/>
    </row>
    <row r="648" spans="1:9">
      <c r="A648" s="1"/>
      <c r="B648" s="210"/>
      <c r="C648" s="187"/>
      <c r="D648" s="1"/>
      <c r="E648" s="1"/>
      <c r="F648" s="1"/>
      <c r="G648" s="1"/>
      <c r="I648" s="1"/>
    </row>
    <row r="649" spans="1:9">
      <c r="A649" s="1"/>
      <c r="B649" s="210"/>
      <c r="C649" s="187"/>
      <c r="D649" s="1"/>
      <c r="E649" s="1"/>
      <c r="F649" s="1"/>
      <c r="G649" s="1"/>
      <c r="I649" s="1"/>
    </row>
    <row r="650" spans="1:9">
      <c r="A650" s="1"/>
      <c r="B650" s="210"/>
      <c r="C650" s="187"/>
      <c r="D650" s="1"/>
      <c r="E650" s="1"/>
      <c r="F650" s="1"/>
      <c r="G650" s="1"/>
      <c r="I650" s="1"/>
    </row>
    <row r="651" spans="1:9">
      <c r="A651" s="1"/>
      <c r="B651" s="210"/>
      <c r="C651" s="187"/>
      <c r="D651" s="1"/>
      <c r="E651" s="1"/>
      <c r="F651" s="1"/>
      <c r="G651" s="1"/>
      <c r="I651" s="1"/>
    </row>
    <row r="652" spans="1:9">
      <c r="A652" s="1"/>
      <c r="B652" s="210"/>
      <c r="C652" s="187"/>
      <c r="D652" s="1"/>
      <c r="E652" s="1"/>
      <c r="F652" s="1"/>
      <c r="G652" s="1"/>
      <c r="I652" s="1"/>
    </row>
    <row r="653" spans="1:9">
      <c r="A653" s="1"/>
      <c r="B653" s="210"/>
      <c r="C653" s="187"/>
      <c r="D653" s="1"/>
      <c r="E653" s="1"/>
      <c r="F653" s="1"/>
      <c r="G653" s="1"/>
      <c r="I653" s="1"/>
    </row>
    <row r="654" spans="1:9">
      <c r="A654" s="1"/>
      <c r="B654" s="210"/>
      <c r="C654" s="187"/>
      <c r="D654" s="1"/>
      <c r="E654" s="1"/>
      <c r="F654" s="1"/>
      <c r="G654" s="1"/>
      <c r="I654" s="1"/>
    </row>
    <row r="655" spans="1:9">
      <c r="A655" s="1"/>
      <c r="B655" s="210"/>
      <c r="C655" s="187"/>
      <c r="D655" s="1"/>
      <c r="E655" s="1"/>
      <c r="F655" s="1"/>
      <c r="G655" s="1"/>
      <c r="I655" s="1"/>
    </row>
    <row r="656" spans="1:9">
      <c r="A656" s="1"/>
      <c r="B656" s="210"/>
      <c r="C656" s="187"/>
      <c r="D656" s="1"/>
      <c r="E656" s="1"/>
      <c r="F656" s="1"/>
      <c r="G656" s="1"/>
      <c r="I656" s="1"/>
    </row>
    <row r="657" spans="1:9">
      <c r="A657" s="1"/>
      <c r="B657" s="210"/>
      <c r="C657" s="187"/>
      <c r="D657" s="1"/>
      <c r="E657" s="1"/>
      <c r="F657" s="1"/>
      <c r="G657" s="1"/>
      <c r="I657" s="1"/>
    </row>
    <row r="658" spans="1:9">
      <c r="A658" s="1"/>
      <c r="B658" s="210"/>
      <c r="C658" s="187"/>
      <c r="D658" s="1"/>
      <c r="E658" s="1"/>
      <c r="F658" s="1"/>
      <c r="G658" s="1"/>
      <c r="I658" s="1"/>
    </row>
    <row r="659" spans="1:9">
      <c r="A659" s="1"/>
      <c r="B659" s="210"/>
      <c r="C659" s="187"/>
      <c r="D659" s="1"/>
      <c r="E659" s="1"/>
      <c r="F659" s="1"/>
      <c r="G659" s="1"/>
      <c r="I659" s="1"/>
    </row>
    <row r="660" spans="1:9">
      <c r="A660" s="1"/>
      <c r="B660" s="210"/>
      <c r="C660" s="187"/>
      <c r="D660" s="1"/>
      <c r="E660" s="1"/>
      <c r="F660" s="1"/>
      <c r="G660" s="1"/>
      <c r="I660" s="1"/>
    </row>
    <row r="661" spans="1:9">
      <c r="A661" s="1"/>
      <c r="B661" s="210"/>
      <c r="C661" s="187"/>
      <c r="D661" s="1"/>
      <c r="E661" s="1"/>
      <c r="F661" s="1"/>
      <c r="G661" s="1"/>
      <c r="I661" s="1"/>
    </row>
    <row r="662" spans="1:9">
      <c r="A662" s="1"/>
      <c r="B662" s="210"/>
      <c r="C662" s="187"/>
      <c r="D662" s="1"/>
      <c r="E662" s="1"/>
      <c r="F662" s="1"/>
      <c r="G662" s="1"/>
      <c r="I662" s="1"/>
    </row>
    <row r="663" spans="1:9">
      <c r="A663" s="1"/>
      <c r="B663" s="210"/>
      <c r="C663" s="187"/>
      <c r="D663" s="1"/>
      <c r="E663" s="1"/>
      <c r="F663" s="1"/>
      <c r="G663" s="1"/>
      <c r="I663" s="1"/>
    </row>
    <row r="664" spans="1:9">
      <c r="A664" s="1"/>
      <c r="B664" s="210"/>
      <c r="C664" s="187"/>
      <c r="D664" s="1"/>
      <c r="E664" s="1"/>
      <c r="F664" s="1"/>
      <c r="G664" s="1"/>
      <c r="I664" s="1"/>
    </row>
    <row r="665" spans="1:9">
      <c r="A665" s="1"/>
      <c r="B665" s="210"/>
      <c r="C665" s="187"/>
      <c r="D665" s="1"/>
      <c r="E665" s="1"/>
      <c r="F665" s="1"/>
      <c r="G665" s="1"/>
      <c r="I665" s="1"/>
    </row>
    <row r="666" spans="1:9">
      <c r="A666" s="1"/>
      <c r="B666" s="210"/>
      <c r="C666" s="187"/>
      <c r="D666" s="1"/>
      <c r="E666" s="1"/>
      <c r="F666" s="1"/>
      <c r="G666" s="1"/>
      <c r="I666" s="1"/>
    </row>
    <row r="667" spans="1:9">
      <c r="A667" s="1"/>
      <c r="B667" s="210"/>
      <c r="C667" s="187"/>
      <c r="D667" s="1"/>
      <c r="E667" s="1"/>
      <c r="F667" s="1"/>
      <c r="G667" s="1"/>
      <c r="I667" s="1"/>
    </row>
    <row r="668" spans="1:9">
      <c r="A668" s="1"/>
      <c r="B668" s="210"/>
      <c r="C668" s="187"/>
      <c r="D668" s="1"/>
      <c r="E668" s="1"/>
      <c r="F668" s="1"/>
      <c r="G668" s="1"/>
      <c r="I668" s="1"/>
    </row>
    <row r="669" spans="1:9">
      <c r="A669" s="1"/>
      <c r="B669" s="210"/>
      <c r="C669" s="187"/>
      <c r="D669" s="1"/>
      <c r="E669" s="1"/>
      <c r="F669" s="1"/>
      <c r="G669" s="1"/>
      <c r="I669" s="1"/>
    </row>
    <row r="670" spans="1:9">
      <c r="A670" s="1"/>
      <c r="B670" s="210"/>
      <c r="C670" s="187"/>
      <c r="D670" s="1"/>
      <c r="E670" s="1"/>
      <c r="F670" s="1"/>
      <c r="G670" s="1"/>
      <c r="I670" s="1"/>
    </row>
    <row r="671" spans="1:9">
      <c r="A671" s="1"/>
      <c r="B671" s="210"/>
      <c r="C671" s="187"/>
      <c r="D671" s="1"/>
      <c r="E671" s="1"/>
      <c r="F671" s="1"/>
      <c r="G671" s="1"/>
      <c r="I671" s="1"/>
    </row>
    <row r="672" spans="1:9">
      <c r="A672" s="1"/>
      <c r="B672" s="210"/>
      <c r="C672" s="187"/>
      <c r="D672" s="1"/>
      <c r="E672" s="1"/>
      <c r="F672" s="1"/>
      <c r="G672" s="1"/>
      <c r="I672" s="1"/>
    </row>
    <row r="673" spans="1:9">
      <c r="A673" s="1"/>
      <c r="B673" s="210"/>
      <c r="C673" s="187"/>
      <c r="D673" s="1"/>
      <c r="E673" s="1"/>
      <c r="F673" s="1"/>
      <c r="G673" s="1"/>
      <c r="I673" s="1"/>
    </row>
    <row r="674" spans="1:9">
      <c r="A674" s="1"/>
      <c r="B674" s="210"/>
      <c r="C674" s="187"/>
      <c r="D674" s="1"/>
      <c r="E674" s="1"/>
      <c r="F674" s="1"/>
      <c r="G674" s="1"/>
      <c r="I674" s="1"/>
    </row>
    <row r="675" spans="1:9">
      <c r="A675" s="1"/>
      <c r="B675" s="210"/>
      <c r="C675" s="187"/>
      <c r="D675" s="1"/>
      <c r="E675" s="1"/>
      <c r="F675" s="1"/>
      <c r="G675" s="1"/>
      <c r="I675" s="1"/>
    </row>
    <row r="676" spans="1:9">
      <c r="A676" s="1"/>
      <c r="B676" s="210"/>
      <c r="C676" s="187"/>
      <c r="D676" s="1"/>
      <c r="E676" s="1"/>
      <c r="F676" s="1"/>
      <c r="G676" s="1"/>
      <c r="I676" s="1"/>
    </row>
    <row r="677" spans="1:9">
      <c r="A677" s="1"/>
      <c r="B677" s="210"/>
      <c r="C677" s="187"/>
      <c r="D677" s="1"/>
      <c r="E677" s="1"/>
      <c r="F677" s="1"/>
      <c r="G677" s="1"/>
      <c r="I677" s="1"/>
    </row>
    <row r="678" spans="1:9">
      <c r="A678" s="1"/>
      <c r="B678" s="210"/>
      <c r="C678" s="187"/>
      <c r="D678" s="1"/>
      <c r="E678" s="1"/>
      <c r="F678" s="1"/>
      <c r="G678" s="1"/>
      <c r="I678" s="1"/>
    </row>
    <row r="679" spans="1:9">
      <c r="A679" s="1"/>
      <c r="B679" s="210"/>
      <c r="C679" s="187"/>
      <c r="D679" s="1"/>
      <c r="E679" s="1"/>
      <c r="F679" s="1"/>
      <c r="G679" s="1"/>
      <c r="I679" s="1"/>
    </row>
    <row r="680" spans="1:9">
      <c r="A680" s="1"/>
      <c r="B680" s="210"/>
      <c r="C680" s="187"/>
      <c r="D680" s="1"/>
      <c r="E680" s="1"/>
      <c r="F680" s="1"/>
      <c r="G680" s="1"/>
      <c r="I680" s="1"/>
    </row>
    <row r="681" spans="1:9">
      <c r="A681" s="1"/>
      <c r="B681" s="210"/>
      <c r="C681" s="187"/>
      <c r="D681" s="1"/>
      <c r="E681" s="1"/>
      <c r="F681" s="1"/>
      <c r="G681" s="1"/>
      <c r="I681" s="1"/>
    </row>
    <row r="682" spans="1:9">
      <c r="A682" s="1"/>
      <c r="B682" s="210"/>
      <c r="C682" s="187"/>
      <c r="D682" s="1"/>
      <c r="E682" s="1"/>
      <c r="F682" s="1"/>
      <c r="G682" s="1"/>
      <c r="I682" s="1"/>
    </row>
    <row r="683" spans="1:9">
      <c r="A683" s="1"/>
      <c r="B683" s="210"/>
      <c r="C683" s="187"/>
      <c r="D683" s="1"/>
      <c r="E683" s="1"/>
      <c r="F683" s="1"/>
      <c r="G683" s="1"/>
      <c r="I683" s="1"/>
    </row>
    <row r="684" spans="1:9">
      <c r="A684" s="1"/>
      <c r="B684" s="210"/>
      <c r="C684" s="187"/>
      <c r="D684" s="1"/>
      <c r="E684" s="1"/>
      <c r="F684" s="1"/>
      <c r="G684" s="1"/>
      <c r="I684" s="1"/>
    </row>
    <row r="685" spans="1:9">
      <c r="A685" s="1"/>
      <c r="B685" s="210"/>
      <c r="C685" s="187"/>
      <c r="D685" s="1"/>
      <c r="E685" s="1"/>
      <c r="F685" s="1"/>
      <c r="G685" s="1"/>
      <c r="I685" s="1"/>
    </row>
    <row r="686" spans="1:9">
      <c r="A686" s="1"/>
      <c r="B686" s="210"/>
      <c r="C686" s="187"/>
      <c r="D686" s="1"/>
      <c r="E686" s="1"/>
      <c r="F686" s="1"/>
      <c r="G686" s="1"/>
      <c r="I686" s="1"/>
    </row>
    <row r="687" spans="1:9">
      <c r="A687" s="1"/>
      <c r="B687" s="210"/>
      <c r="C687" s="187"/>
      <c r="D687" s="1"/>
      <c r="E687" s="1"/>
      <c r="F687" s="1"/>
      <c r="G687" s="1"/>
      <c r="I687" s="1"/>
    </row>
    <row r="688" spans="1:9">
      <c r="A688" s="1"/>
      <c r="B688" s="210"/>
      <c r="C688" s="187"/>
      <c r="D688" s="1"/>
      <c r="E688" s="1"/>
      <c r="F688" s="1"/>
      <c r="G688" s="1"/>
      <c r="I688" s="1"/>
    </row>
    <row r="689" spans="1:9">
      <c r="A689" s="1"/>
      <c r="B689" s="210"/>
      <c r="C689" s="187"/>
      <c r="D689" s="1"/>
      <c r="E689" s="1"/>
      <c r="F689" s="1"/>
      <c r="G689" s="1"/>
      <c r="I689" s="1"/>
    </row>
    <row r="690" spans="1:9">
      <c r="A690" s="1"/>
      <c r="B690" s="210"/>
      <c r="C690" s="187"/>
      <c r="D690" s="1"/>
      <c r="E690" s="1"/>
      <c r="F690" s="1"/>
      <c r="G690" s="1"/>
      <c r="I690" s="1"/>
    </row>
    <row r="691" spans="1:9">
      <c r="A691" s="1"/>
      <c r="B691" s="210"/>
      <c r="C691" s="187"/>
      <c r="D691" s="1"/>
      <c r="E691" s="1"/>
      <c r="F691" s="1"/>
      <c r="G691" s="1"/>
      <c r="I691" s="1"/>
    </row>
    <row r="692" spans="1:9">
      <c r="A692" s="1"/>
      <c r="B692" s="210"/>
      <c r="C692" s="187"/>
      <c r="D692" s="1"/>
      <c r="E692" s="1"/>
      <c r="F692" s="1"/>
      <c r="G692" s="1"/>
      <c r="I692" s="1"/>
    </row>
    <row r="693" spans="1:9">
      <c r="A693" s="1"/>
      <c r="B693" s="210"/>
      <c r="C693" s="187"/>
      <c r="D693" s="1"/>
      <c r="E693" s="1"/>
      <c r="F693" s="1"/>
      <c r="G693" s="1"/>
      <c r="I693" s="1"/>
    </row>
    <row r="694" spans="1:9">
      <c r="A694" s="1"/>
      <c r="B694" s="210"/>
      <c r="C694" s="187"/>
      <c r="D694" s="1"/>
      <c r="E694" s="1"/>
      <c r="F694" s="1"/>
      <c r="G694" s="1"/>
      <c r="I694" s="1"/>
    </row>
    <row r="695" spans="1:9">
      <c r="A695" s="1"/>
      <c r="B695" s="210"/>
      <c r="C695" s="187"/>
      <c r="D695" s="1"/>
      <c r="E695" s="1"/>
      <c r="F695" s="1"/>
      <c r="G695" s="1"/>
      <c r="I695" s="1"/>
    </row>
    <row r="696" spans="1:9">
      <c r="A696" s="1"/>
      <c r="B696" s="210"/>
      <c r="C696" s="187"/>
      <c r="D696" s="1"/>
      <c r="E696" s="1"/>
      <c r="F696" s="1"/>
      <c r="G696" s="1"/>
      <c r="I696" s="1"/>
    </row>
    <row r="697" spans="1:9">
      <c r="A697" s="1"/>
      <c r="B697" s="210"/>
      <c r="C697" s="187"/>
      <c r="D697" s="1"/>
      <c r="E697" s="1"/>
      <c r="F697" s="1"/>
      <c r="G697" s="1"/>
      <c r="I697" s="1"/>
    </row>
    <row r="698" spans="1:9">
      <c r="A698" s="1"/>
      <c r="B698" s="210"/>
      <c r="C698" s="187"/>
      <c r="D698" s="1"/>
      <c r="E698" s="1"/>
      <c r="F698" s="1"/>
      <c r="G698" s="1"/>
      <c r="I698" s="1"/>
    </row>
    <row r="699" spans="1:9">
      <c r="A699" s="1"/>
      <c r="B699" s="210"/>
      <c r="C699" s="187"/>
      <c r="D699" s="1"/>
      <c r="E699" s="1"/>
      <c r="F699" s="1"/>
      <c r="G699" s="1"/>
      <c r="I699" s="1"/>
    </row>
    <row r="700" spans="1:9">
      <c r="A700" s="1"/>
      <c r="B700" s="210"/>
      <c r="C700" s="187"/>
      <c r="D700" s="1"/>
      <c r="E700" s="1"/>
      <c r="F700" s="1"/>
      <c r="G700" s="1"/>
      <c r="I700" s="1"/>
    </row>
    <row r="701" spans="1:9">
      <c r="A701" s="1"/>
      <c r="B701" s="210"/>
      <c r="C701" s="187"/>
      <c r="D701" s="1"/>
      <c r="E701" s="1"/>
      <c r="F701" s="1"/>
      <c r="G701" s="1"/>
      <c r="I701" s="1"/>
    </row>
    <row r="702" spans="1:9">
      <c r="A702" s="1"/>
      <c r="B702" s="210"/>
      <c r="C702" s="187"/>
      <c r="D702" s="1"/>
      <c r="E702" s="1"/>
      <c r="F702" s="1"/>
      <c r="G702" s="1"/>
      <c r="I702" s="1"/>
    </row>
    <row r="703" spans="1:9">
      <c r="A703" s="1"/>
      <c r="B703" s="210"/>
      <c r="C703" s="187"/>
      <c r="D703" s="1"/>
      <c r="E703" s="1"/>
      <c r="F703" s="1"/>
      <c r="G703" s="1"/>
      <c r="I703" s="1"/>
    </row>
    <row r="704" spans="1:9">
      <c r="A704" s="1"/>
      <c r="B704" s="210"/>
      <c r="C704" s="187"/>
      <c r="D704" s="1"/>
      <c r="E704" s="1"/>
      <c r="F704" s="1"/>
      <c r="G704" s="1"/>
      <c r="I704" s="1"/>
    </row>
    <row r="705" spans="1:9">
      <c r="A705" s="1"/>
      <c r="B705" s="210"/>
      <c r="C705" s="187"/>
      <c r="D705" s="1"/>
      <c r="E705" s="1"/>
      <c r="F705" s="1"/>
      <c r="G705" s="1"/>
      <c r="I705" s="1"/>
    </row>
    <row r="706" spans="1:9">
      <c r="A706" s="1"/>
      <c r="B706" s="210"/>
      <c r="C706" s="187"/>
      <c r="D706" s="1"/>
      <c r="E706" s="1"/>
      <c r="F706" s="1"/>
      <c r="G706" s="1"/>
      <c r="I706" s="1"/>
    </row>
    <row r="707" spans="1:9">
      <c r="A707" s="1"/>
      <c r="B707" s="210"/>
      <c r="C707" s="187"/>
      <c r="D707" s="1"/>
      <c r="E707" s="1"/>
      <c r="F707" s="1"/>
      <c r="G707" s="1"/>
      <c r="I707" s="1"/>
    </row>
    <row r="708" spans="1:9">
      <c r="A708" s="1"/>
      <c r="B708" s="210"/>
      <c r="C708" s="187"/>
      <c r="D708" s="1"/>
      <c r="E708" s="1"/>
      <c r="F708" s="1"/>
      <c r="G708" s="1"/>
      <c r="I708" s="1"/>
    </row>
    <row r="709" spans="1:9">
      <c r="A709" s="1"/>
      <c r="B709" s="210"/>
      <c r="C709" s="187"/>
      <c r="D709" s="1"/>
      <c r="E709" s="1"/>
      <c r="F709" s="1"/>
      <c r="G709" s="1"/>
      <c r="I709" s="1"/>
    </row>
    <row r="710" spans="1:9">
      <c r="A710" s="1"/>
      <c r="B710" s="210"/>
      <c r="C710" s="187"/>
      <c r="D710" s="1"/>
      <c r="E710" s="1"/>
      <c r="F710" s="1"/>
      <c r="G710" s="1"/>
      <c r="I710" s="1"/>
    </row>
    <row r="711" spans="1:9">
      <c r="A711" s="1"/>
      <c r="B711" s="210"/>
      <c r="C711" s="187"/>
      <c r="D711" s="1"/>
      <c r="E711" s="1"/>
      <c r="F711" s="1"/>
      <c r="G711" s="1"/>
      <c r="I711" s="1"/>
    </row>
    <row r="712" spans="1:9">
      <c r="A712" s="1"/>
      <c r="B712" s="210"/>
      <c r="C712" s="187"/>
      <c r="D712" s="1"/>
      <c r="E712" s="1"/>
      <c r="F712" s="1"/>
      <c r="G712" s="1"/>
      <c r="I712" s="1"/>
    </row>
    <row r="713" spans="1:9">
      <c r="A713" s="1"/>
      <c r="B713" s="210"/>
      <c r="C713" s="187"/>
      <c r="D713" s="1"/>
      <c r="E713" s="1"/>
      <c r="F713" s="1"/>
      <c r="G713" s="1"/>
      <c r="I713" s="1"/>
    </row>
    <row r="714" spans="1:9">
      <c r="A714" s="1"/>
      <c r="B714" s="210"/>
      <c r="C714" s="187"/>
      <c r="D714" s="1"/>
      <c r="E714" s="1"/>
      <c r="F714" s="1"/>
      <c r="G714" s="1"/>
      <c r="I714" s="1"/>
    </row>
    <row r="715" spans="1:9">
      <c r="A715" s="1"/>
      <c r="B715" s="210"/>
      <c r="C715" s="187"/>
      <c r="D715" s="1"/>
      <c r="E715" s="1"/>
      <c r="F715" s="1"/>
      <c r="G715" s="1"/>
      <c r="I715" s="1"/>
    </row>
    <row r="716" spans="1:9">
      <c r="A716" s="1"/>
      <c r="B716" s="210"/>
      <c r="C716" s="187"/>
      <c r="D716" s="1"/>
      <c r="E716" s="1"/>
      <c r="F716" s="1"/>
      <c r="G716" s="1"/>
      <c r="I716" s="1"/>
    </row>
    <row r="717" spans="1:9">
      <c r="A717" s="1"/>
      <c r="B717" s="210"/>
      <c r="C717" s="187"/>
      <c r="D717" s="1"/>
      <c r="E717" s="1"/>
      <c r="F717" s="1"/>
      <c r="G717" s="1"/>
      <c r="I717" s="1"/>
    </row>
    <row r="718" spans="1:9">
      <c r="A718" s="1"/>
      <c r="B718" s="210"/>
      <c r="C718" s="187"/>
      <c r="D718" s="1"/>
      <c r="E718" s="1"/>
      <c r="F718" s="1"/>
      <c r="G718" s="1"/>
      <c r="I718" s="1"/>
    </row>
    <row r="719" spans="1:9">
      <c r="A719" s="1"/>
      <c r="B719" s="210"/>
      <c r="C719" s="187"/>
      <c r="D719" s="1"/>
      <c r="E719" s="1"/>
      <c r="F719" s="1"/>
      <c r="G719" s="1"/>
      <c r="I719" s="1"/>
    </row>
    <row r="720" spans="1:9">
      <c r="A720" s="1"/>
      <c r="B720" s="210"/>
      <c r="C720" s="187"/>
      <c r="D720" s="1"/>
      <c r="E720" s="1"/>
      <c r="F720" s="1"/>
      <c r="G720" s="1"/>
      <c r="I720" s="1"/>
    </row>
    <row r="721" spans="1:9">
      <c r="A721" s="1"/>
      <c r="B721" s="210"/>
      <c r="C721" s="187"/>
      <c r="D721" s="1"/>
      <c r="E721" s="1"/>
      <c r="F721" s="1"/>
      <c r="G721" s="1"/>
      <c r="I721" s="1"/>
    </row>
    <row r="722" spans="1:9">
      <c r="A722" s="1"/>
      <c r="B722" s="210"/>
      <c r="C722" s="187"/>
      <c r="D722" s="1"/>
      <c r="E722" s="1"/>
      <c r="F722" s="1"/>
      <c r="G722" s="1"/>
      <c r="I722" s="1"/>
    </row>
    <row r="723" spans="1:9">
      <c r="A723" s="1"/>
      <c r="B723" s="210"/>
      <c r="C723" s="187"/>
      <c r="D723" s="1"/>
      <c r="E723" s="1"/>
      <c r="F723" s="1"/>
      <c r="G723" s="1"/>
      <c r="I723" s="1"/>
    </row>
    <row r="724" spans="1:9">
      <c r="A724" s="1"/>
      <c r="B724" s="210"/>
      <c r="C724" s="187"/>
      <c r="D724" s="1"/>
      <c r="E724" s="1"/>
      <c r="F724" s="1"/>
      <c r="G724" s="1"/>
      <c r="I724" s="1"/>
    </row>
    <row r="725" spans="1:9">
      <c r="A725" s="1"/>
      <c r="B725" s="210"/>
      <c r="C725" s="187"/>
      <c r="D725" s="1"/>
      <c r="E725" s="1"/>
      <c r="F725" s="1"/>
      <c r="G725" s="1"/>
      <c r="I725" s="1"/>
    </row>
    <row r="726" spans="1:9">
      <c r="A726" s="1"/>
      <c r="B726" s="210"/>
      <c r="C726" s="187"/>
      <c r="D726" s="1"/>
      <c r="E726" s="1"/>
      <c r="F726" s="1"/>
      <c r="G726" s="1"/>
      <c r="I726" s="1"/>
    </row>
    <row r="727" spans="1:9">
      <c r="A727" s="1"/>
      <c r="B727" s="210"/>
      <c r="C727" s="187"/>
      <c r="D727" s="1"/>
      <c r="E727" s="1"/>
      <c r="F727" s="1"/>
      <c r="G727" s="1"/>
      <c r="I727" s="1"/>
    </row>
    <row r="728" spans="1:9">
      <c r="A728" s="1"/>
      <c r="B728" s="210"/>
      <c r="C728" s="187"/>
      <c r="D728" s="1"/>
      <c r="E728" s="1"/>
      <c r="F728" s="1"/>
      <c r="G728" s="1"/>
      <c r="I728" s="1"/>
    </row>
    <row r="729" spans="1:9">
      <c r="A729" s="1"/>
      <c r="B729" s="210"/>
      <c r="C729" s="187"/>
      <c r="D729" s="1"/>
      <c r="E729" s="1"/>
      <c r="F729" s="1"/>
      <c r="G729" s="1"/>
      <c r="I729" s="1"/>
    </row>
    <row r="730" spans="1:9">
      <c r="A730" s="1"/>
      <c r="B730" s="210"/>
      <c r="C730" s="187"/>
      <c r="D730" s="1"/>
      <c r="E730" s="1"/>
      <c r="F730" s="1"/>
      <c r="G730" s="1"/>
      <c r="I730" s="1"/>
    </row>
    <row r="731" spans="1:9">
      <c r="A731" s="1"/>
      <c r="B731" s="210"/>
      <c r="C731" s="187"/>
      <c r="D731" s="1"/>
      <c r="E731" s="1"/>
      <c r="F731" s="1"/>
      <c r="G731" s="1"/>
      <c r="I731" s="1"/>
    </row>
    <row r="732" spans="1:9">
      <c r="A732" s="1"/>
      <c r="B732" s="210"/>
      <c r="C732" s="187"/>
      <c r="D732" s="1"/>
      <c r="E732" s="1"/>
      <c r="F732" s="1"/>
      <c r="G732" s="1"/>
      <c r="I732" s="1"/>
    </row>
    <row r="733" spans="1:9">
      <c r="A733" s="1"/>
      <c r="B733" s="210"/>
      <c r="C733" s="187"/>
      <c r="D733" s="1"/>
      <c r="E733" s="1"/>
      <c r="F733" s="1"/>
      <c r="G733" s="1"/>
      <c r="I733" s="1"/>
    </row>
    <row r="734" spans="1:9">
      <c r="A734" s="1"/>
      <c r="B734" s="210"/>
      <c r="C734" s="187"/>
      <c r="D734" s="1"/>
      <c r="E734" s="1"/>
      <c r="F734" s="1"/>
      <c r="G734" s="1"/>
      <c r="I734" s="1"/>
    </row>
    <row r="735" spans="1:9">
      <c r="A735" s="1"/>
      <c r="B735" s="210"/>
      <c r="C735" s="187"/>
      <c r="D735" s="1"/>
      <c r="E735" s="1"/>
      <c r="F735" s="1"/>
      <c r="G735" s="1"/>
      <c r="I735" s="1"/>
    </row>
    <row r="736" spans="1:9">
      <c r="A736" s="1"/>
      <c r="B736" s="210"/>
      <c r="C736" s="187"/>
      <c r="D736" s="1"/>
      <c r="E736" s="1"/>
      <c r="F736" s="1"/>
      <c r="G736" s="1"/>
      <c r="I736" s="1"/>
    </row>
    <row r="737" spans="1:9">
      <c r="A737" s="1"/>
      <c r="B737" s="210"/>
      <c r="C737" s="187"/>
      <c r="D737" s="1"/>
      <c r="E737" s="1"/>
      <c r="F737" s="1"/>
      <c r="G737" s="1"/>
      <c r="I737" s="1"/>
    </row>
    <row r="738" spans="1:9">
      <c r="A738" s="1"/>
      <c r="B738" s="210"/>
      <c r="C738" s="187"/>
      <c r="D738" s="1"/>
      <c r="E738" s="1"/>
      <c r="F738" s="1"/>
      <c r="G738" s="1"/>
      <c r="I738" s="1"/>
    </row>
    <row r="739" spans="1:9">
      <c r="A739" s="1"/>
      <c r="B739" s="210"/>
      <c r="C739" s="187"/>
      <c r="D739" s="1"/>
      <c r="E739" s="1"/>
      <c r="F739" s="1"/>
      <c r="G739" s="1"/>
      <c r="I739" s="1"/>
    </row>
    <row r="740" spans="1:9">
      <c r="A740" s="1"/>
      <c r="B740" s="210"/>
      <c r="C740" s="187"/>
      <c r="D740" s="1"/>
      <c r="E740" s="1"/>
      <c r="F740" s="1"/>
      <c r="G740" s="1"/>
      <c r="I740" s="1"/>
    </row>
    <row r="741" spans="1:9">
      <c r="A741" s="1"/>
      <c r="B741" s="210"/>
      <c r="C741" s="187"/>
      <c r="D741" s="1"/>
      <c r="E741" s="1"/>
      <c r="F741" s="1"/>
      <c r="G741" s="1"/>
      <c r="I741" s="1"/>
    </row>
    <row r="742" spans="1:9">
      <c r="A742" s="1"/>
      <c r="B742" s="210"/>
      <c r="C742" s="187"/>
      <c r="D742" s="1"/>
      <c r="E742" s="1"/>
      <c r="F742" s="1"/>
      <c r="G742" s="1"/>
      <c r="I742" s="1"/>
    </row>
    <row r="743" spans="1:9">
      <c r="A743" s="1"/>
      <c r="B743" s="210"/>
      <c r="C743" s="187"/>
      <c r="D743" s="1"/>
      <c r="E743" s="1"/>
      <c r="F743" s="1"/>
      <c r="G743" s="1"/>
      <c r="I743" s="1"/>
    </row>
    <row r="744" spans="1:9">
      <c r="A744" s="1"/>
      <c r="B744" s="210"/>
      <c r="C744" s="187"/>
      <c r="D744" s="1"/>
      <c r="E744" s="1"/>
      <c r="F744" s="1"/>
      <c r="G744" s="1"/>
      <c r="I744" s="1"/>
    </row>
    <row r="745" spans="1:9">
      <c r="A745" s="1"/>
      <c r="B745" s="210"/>
      <c r="C745" s="187"/>
      <c r="D745" s="1"/>
      <c r="E745" s="1"/>
      <c r="F745" s="1"/>
      <c r="G745" s="1"/>
      <c r="I745" s="1"/>
    </row>
    <row r="746" spans="1:9">
      <c r="A746" s="1"/>
      <c r="B746" s="210"/>
      <c r="C746" s="187"/>
      <c r="D746" s="1"/>
      <c r="E746" s="1"/>
      <c r="F746" s="1"/>
      <c r="G746" s="1"/>
      <c r="I746" s="1"/>
    </row>
    <row r="747" spans="1:9">
      <c r="A747" s="1"/>
      <c r="B747" s="210"/>
      <c r="C747" s="187"/>
      <c r="D747" s="1"/>
      <c r="E747" s="1"/>
      <c r="F747" s="1"/>
      <c r="G747" s="1"/>
      <c r="I747" s="1"/>
    </row>
    <row r="748" spans="1:9">
      <c r="A748" s="1"/>
      <c r="B748" s="210"/>
      <c r="C748" s="187"/>
      <c r="D748" s="1"/>
      <c r="E748" s="1"/>
      <c r="F748" s="1"/>
      <c r="G748" s="1"/>
      <c r="I748" s="1"/>
    </row>
    <row r="749" spans="1:9">
      <c r="A749" s="1"/>
      <c r="B749" s="210"/>
      <c r="C749" s="187"/>
      <c r="D749" s="1"/>
      <c r="E749" s="1"/>
      <c r="F749" s="1"/>
      <c r="G749" s="1"/>
      <c r="I749" s="1"/>
    </row>
    <row r="750" spans="1:9">
      <c r="A750" s="1"/>
      <c r="B750" s="210"/>
      <c r="C750" s="187"/>
      <c r="D750" s="1"/>
      <c r="E750" s="1"/>
      <c r="F750" s="1"/>
      <c r="G750" s="1"/>
      <c r="I750" s="1"/>
    </row>
    <row r="751" spans="1:9">
      <c r="A751" s="1"/>
      <c r="B751" s="210"/>
      <c r="C751" s="187"/>
      <c r="D751" s="1"/>
      <c r="E751" s="1"/>
      <c r="F751" s="1"/>
      <c r="G751" s="1"/>
      <c r="I751" s="1"/>
    </row>
    <row r="752" spans="1:9">
      <c r="A752" s="1"/>
      <c r="B752" s="210"/>
      <c r="C752" s="187"/>
      <c r="D752" s="1"/>
      <c r="E752" s="1"/>
      <c r="F752" s="1"/>
      <c r="G752" s="1"/>
      <c r="I752" s="1"/>
    </row>
    <row r="753" spans="1:9">
      <c r="A753" s="1"/>
      <c r="B753" s="210"/>
      <c r="C753" s="187"/>
      <c r="D753" s="1"/>
      <c r="E753" s="1"/>
      <c r="F753" s="1"/>
      <c r="G753" s="1"/>
      <c r="I753" s="1"/>
    </row>
    <row r="754" spans="1:9">
      <c r="A754" s="1"/>
      <c r="B754" s="210"/>
      <c r="C754" s="187"/>
      <c r="D754" s="1"/>
      <c r="E754" s="1"/>
      <c r="F754" s="1"/>
      <c r="G754" s="1"/>
      <c r="I754" s="1"/>
    </row>
    <row r="755" spans="1:9">
      <c r="A755" s="1"/>
      <c r="B755" s="210"/>
      <c r="C755" s="187"/>
      <c r="D755" s="1"/>
      <c r="E755" s="1"/>
      <c r="F755" s="1"/>
      <c r="G755" s="1"/>
      <c r="I755" s="1"/>
    </row>
    <row r="756" spans="1:9">
      <c r="A756" s="1"/>
      <c r="B756" s="210"/>
      <c r="C756" s="187"/>
      <c r="D756" s="1"/>
      <c r="E756" s="1"/>
      <c r="F756" s="1"/>
      <c r="G756" s="1"/>
      <c r="I756" s="1"/>
    </row>
    <row r="757" spans="1:9">
      <c r="A757" s="1"/>
      <c r="B757" s="210"/>
      <c r="C757" s="187"/>
      <c r="D757" s="1"/>
      <c r="E757" s="1"/>
      <c r="F757" s="1"/>
      <c r="G757" s="1"/>
      <c r="I757" s="1"/>
    </row>
    <row r="758" spans="1:9">
      <c r="A758" s="1"/>
      <c r="B758" s="210"/>
      <c r="C758" s="187"/>
      <c r="D758" s="1"/>
      <c r="E758" s="1"/>
      <c r="F758" s="1"/>
      <c r="G758" s="1"/>
      <c r="I758" s="1"/>
    </row>
    <row r="759" spans="1:9">
      <c r="A759" s="1"/>
      <c r="B759" s="210"/>
      <c r="C759" s="187"/>
      <c r="D759" s="1"/>
      <c r="E759" s="1"/>
      <c r="F759" s="1"/>
      <c r="G759" s="1"/>
      <c r="I759" s="1"/>
    </row>
    <row r="760" spans="1:9">
      <c r="A760" s="1"/>
      <c r="B760" s="210"/>
      <c r="C760" s="187"/>
      <c r="D760" s="1"/>
      <c r="E760" s="1"/>
      <c r="F760" s="1"/>
      <c r="G760" s="1"/>
      <c r="I760" s="1"/>
    </row>
    <row r="761" spans="1:9">
      <c r="A761" s="1"/>
      <c r="B761" s="210"/>
      <c r="C761" s="187"/>
      <c r="D761" s="1"/>
      <c r="E761" s="1"/>
      <c r="F761" s="1"/>
      <c r="G761" s="1"/>
      <c r="I761" s="1"/>
    </row>
    <row r="762" spans="1:9">
      <c r="A762" s="1"/>
      <c r="B762" s="210"/>
      <c r="C762" s="187"/>
      <c r="D762" s="1"/>
      <c r="E762" s="1"/>
      <c r="F762" s="1"/>
      <c r="G762" s="1"/>
      <c r="I762" s="1"/>
    </row>
    <row r="763" spans="1:9">
      <c r="A763" s="1"/>
      <c r="B763" s="210"/>
      <c r="C763" s="187"/>
      <c r="D763" s="1"/>
      <c r="E763" s="1"/>
      <c r="F763" s="1"/>
      <c r="G763" s="1"/>
      <c r="I763" s="1"/>
    </row>
    <row r="764" spans="1:9">
      <c r="A764" s="1"/>
      <c r="B764" s="210"/>
      <c r="C764" s="187"/>
      <c r="D764" s="1"/>
      <c r="E764" s="1"/>
      <c r="F764" s="1"/>
      <c r="G764" s="1"/>
      <c r="I764" s="1"/>
    </row>
    <row r="765" spans="1:9">
      <c r="A765" s="1"/>
      <c r="B765" s="210"/>
      <c r="C765" s="187"/>
      <c r="D765" s="1"/>
      <c r="E765" s="1"/>
      <c r="F765" s="1"/>
      <c r="G765" s="1"/>
      <c r="I765" s="1"/>
    </row>
    <row r="766" spans="1:9">
      <c r="A766" s="1"/>
      <c r="B766" s="210"/>
      <c r="C766" s="187"/>
      <c r="D766" s="1"/>
      <c r="E766" s="1"/>
      <c r="F766" s="1"/>
      <c r="G766" s="1"/>
      <c r="I766" s="1"/>
    </row>
    <row r="767" spans="1:9">
      <c r="A767" s="1"/>
      <c r="B767" s="210"/>
      <c r="C767" s="187"/>
      <c r="D767" s="1"/>
      <c r="E767" s="1"/>
      <c r="F767" s="1"/>
      <c r="G767" s="1"/>
      <c r="I767" s="1"/>
    </row>
    <row r="768" spans="1:9">
      <c r="A768" s="1"/>
      <c r="B768" s="210"/>
      <c r="C768" s="187"/>
      <c r="D768" s="1"/>
      <c r="E768" s="1"/>
      <c r="F768" s="1"/>
      <c r="G768" s="1"/>
      <c r="I768" s="1"/>
    </row>
    <row r="769" spans="1:9">
      <c r="A769" s="1"/>
      <c r="B769" s="210"/>
      <c r="C769" s="187"/>
      <c r="D769" s="1"/>
      <c r="E769" s="1"/>
      <c r="F769" s="1"/>
      <c r="G769" s="1"/>
      <c r="I769" s="1"/>
    </row>
    <row r="770" spans="1:9">
      <c r="A770" s="1"/>
      <c r="B770" s="210"/>
      <c r="C770" s="187"/>
      <c r="D770" s="1"/>
      <c r="E770" s="1"/>
      <c r="F770" s="1"/>
      <c r="G770" s="1"/>
      <c r="I770" s="1"/>
    </row>
    <row r="771" spans="1:9">
      <c r="A771" s="1"/>
      <c r="B771" s="210"/>
      <c r="C771" s="187"/>
      <c r="D771" s="1"/>
      <c r="E771" s="1"/>
      <c r="F771" s="1"/>
      <c r="G771" s="1"/>
      <c r="I771" s="1"/>
    </row>
    <row r="772" spans="1:9">
      <c r="A772" s="1"/>
      <c r="B772" s="210"/>
      <c r="C772" s="187"/>
      <c r="D772" s="1"/>
      <c r="E772" s="1"/>
      <c r="F772" s="1"/>
      <c r="G772" s="1"/>
      <c r="I772" s="1"/>
    </row>
    <row r="773" spans="1:9">
      <c r="A773" s="1"/>
      <c r="B773" s="210"/>
      <c r="C773" s="187"/>
      <c r="D773" s="1"/>
      <c r="E773" s="1"/>
      <c r="F773" s="1"/>
      <c r="G773" s="1"/>
      <c r="I773" s="1"/>
    </row>
    <row r="774" spans="1:9">
      <c r="A774" s="1"/>
      <c r="B774" s="210"/>
      <c r="C774" s="187"/>
      <c r="D774" s="1"/>
      <c r="E774" s="1"/>
      <c r="F774" s="1"/>
      <c r="G774" s="1"/>
      <c r="I774" s="1"/>
    </row>
    <row r="775" spans="1:9">
      <c r="A775" s="1"/>
      <c r="B775" s="210"/>
      <c r="C775" s="187"/>
      <c r="D775" s="1"/>
      <c r="E775" s="1"/>
      <c r="F775" s="1"/>
      <c r="G775" s="1"/>
      <c r="I775" s="1"/>
    </row>
    <row r="776" spans="1:9">
      <c r="A776" s="1"/>
      <c r="B776" s="210"/>
      <c r="C776" s="187"/>
      <c r="D776" s="1"/>
      <c r="E776" s="1"/>
      <c r="F776" s="1"/>
      <c r="G776" s="1"/>
      <c r="I776" s="1"/>
    </row>
    <row r="777" spans="1:9">
      <c r="A777" s="1"/>
      <c r="B777" s="210"/>
      <c r="C777" s="187"/>
      <c r="D777" s="1"/>
      <c r="E777" s="1"/>
      <c r="F777" s="1"/>
      <c r="G777" s="1"/>
      <c r="I777" s="1"/>
    </row>
    <row r="778" spans="1:9">
      <c r="A778" s="1"/>
      <c r="B778" s="210"/>
      <c r="C778" s="187"/>
      <c r="D778" s="1"/>
      <c r="E778" s="1"/>
      <c r="F778" s="1"/>
      <c r="G778" s="1"/>
      <c r="I778" s="1"/>
    </row>
    <row r="779" spans="1:9">
      <c r="A779" s="1"/>
      <c r="B779" s="210"/>
      <c r="C779" s="187"/>
      <c r="D779" s="1"/>
      <c r="E779" s="1"/>
      <c r="F779" s="1"/>
      <c r="G779" s="1"/>
      <c r="I779" s="1"/>
    </row>
    <row r="780" spans="1:9">
      <c r="A780" s="1"/>
      <c r="B780" s="210"/>
      <c r="C780" s="187"/>
      <c r="D780" s="1"/>
      <c r="E780" s="1"/>
      <c r="F780" s="1"/>
      <c r="G780" s="1"/>
      <c r="I780" s="1"/>
    </row>
    <row r="781" spans="1:9">
      <c r="A781" s="1"/>
      <c r="B781" s="210"/>
      <c r="C781" s="187"/>
      <c r="D781" s="1"/>
      <c r="E781" s="1"/>
      <c r="F781" s="1"/>
      <c r="G781" s="1"/>
      <c r="I781" s="1"/>
    </row>
    <row r="782" spans="1:9">
      <c r="A782" s="1"/>
      <c r="B782" s="210"/>
      <c r="C782" s="187"/>
      <c r="D782" s="1"/>
      <c r="E782" s="1"/>
      <c r="F782" s="1"/>
      <c r="G782" s="1"/>
      <c r="I782" s="1"/>
    </row>
    <row r="783" spans="1:9">
      <c r="A783" s="1"/>
      <c r="B783" s="210"/>
      <c r="C783" s="187"/>
      <c r="D783" s="1"/>
      <c r="E783" s="1"/>
      <c r="F783" s="1"/>
      <c r="G783" s="1"/>
      <c r="I783" s="1"/>
    </row>
    <row r="784" spans="1:9">
      <c r="A784" s="1"/>
      <c r="B784" s="210"/>
      <c r="C784" s="187"/>
      <c r="D784" s="1"/>
      <c r="E784" s="1"/>
      <c r="F784" s="1"/>
      <c r="G784" s="1"/>
      <c r="I784" s="1"/>
    </row>
    <row r="785" spans="1:9">
      <c r="A785" s="1"/>
      <c r="B785" s="210"/>
      <c r="C785" s="187"/>
      <c r="D785" s="1"/>
      <c r="E785" s="1"/>
      <c r="F785" s="1"/>
      <c r="G785" s="1"/>
      <c r="I785" s="1"/>
    </row>
    <row r="786" spans="1:9">
      <c r="A786" s="1"/>
      <c r="B786" s="210"/>
      <c r="C786" s="187"/>
      <c r="D786" s="1"/>
      <c r="E786" s="1"/>
      <c r="F786" s="1"/>
      <c r="G786" s="1"/>
      <c r="I786" s="1"/>
    </row>
    <row r="787" spans="1:9">
      <c r="A787" s="1"/>
      <c r="B787" s="210"/>
      <c r="C787" s="187"/>
      <c r="D787" s="1"/>
      <c r="E787" s="1"/>
      <c r="F787" s="1"/>
      <c r="G787" s="1"/>
      <c r="I787" s="1"/>
    </row>
    <row r="788" spans="1:9">
      <c r="A788" s="1"/>
      <c r="B788" s="210"/>
      <c r="C788" s="187"/>
      <c r="D788" s="1"/>
      <c r="E788" s="1"/>
      <c r="F788" s="1"/>
      <c r="G788" s="1"/>
      <c r="I788" s="1"/>
    </row>
    <row r="789" spans="1:9">
      <c r="A789" s="1"/>
      <c r="B789" s="210"/>
      <c r="C789" s="187"/>
      <c r="D789" s="1"/>
      <c r="E789" s="1"/>
      <c r="F789" s="1"/>
      <c r="G789" s="1"/>
      <c r="I789" s="1"/>
    </row>
    <row r="790" spans="1:9">
      <c r="A790" s="1"/>
      <c r="B790" s="210"/>
      <c r="C790" s="187"/>
      <c r="D790" s="1"/>
      <c r="E790" s="1"/>
      <c r="F790" s="1"/>
      <c r="G790" s="1"/>
      <c r="I790" s="1"/>
    </row>
    <row r="791" spans="1:9">
      <c r="A791" s="1"/>
      <c r="B791" s="210"/>
      <c r="C791" s="187"/>
      <c r="D791" s="1"/>
      <c r="E791" s="1"/>
      <c r="F791" s="1"/>
      <c r="G791" s="1"/>
      <c r="I791" s="1"/>
    </row>
    <row r="792" spans="1:9">
      <c r="A792" s="1"/>
      <c r="B792" s="210"/>
      <c r="C792" s="187"/>
      <c r="D792" s="1"/>
      <c r="E792" s="1"/>
      <c r="F792" s="1"/>
      <c r="G792" s="1"/>
      <c r="I792" s="1"/>
    </row>
    <row r="793" spans="1:9">
      <c r="A793" s="1"/>
      <c r="B793" s="210"/>
      <c r="C793" s="187"/>
      <c r="D793" s="1"/>
      <c r="E793" s="1"/>
      <c r="F793" s="1"/>
      <c r="G793" s="1"/>
      <c r="I793" s="1"/>
    </row>
    <row r="794" spans="1:9">
      <c r="A794" s="1"/>
      <c r="B794" s="210"/>
      <c r="C794" s="187"/>
      <c r="D794" s="1"/>
      <c r="E794" s="1"/>
      <c r="F794" s="1"/>
      <c r="G794" s="1"/>
      <c r="I794" s="1"/>
    </row>
    <row r="795" spans="1:9">
      <c r="A795" s="1"/>
      <c r="B795" s="210"/>
      <c r="C795" s="187"/>
      <c r="D795" s="1"/>
      <c r="E795" s="1"/>
      <c r="F795" s="1"/>
      <c r="G795" s="1"/>
      <c r="I795" s="1"/>
    </row>
    <row r="796" spans="1:9">
      <c r="A796" s="1"/>
      <c r="B796" s="210"/>
      <c r="C796" s="187"/>
      <c r="D796" s="1"/>
      <c r="E796" s="1"/>
      <c r="F796" s="1"/>
      <c r="G796" s="1"/>
      <c r="I796" s="1"/>
    </row>
    <row r="797" spans="1:9">
      <c r="A797" s="1"/>
      <c r="B797" s="210"/>
      <c r="C797" s="187"/>
      <c r="D797" s="1"/>
      <c r="E797" s="1"/>
      <c r="F797" s="1"/>
      <c r="G797" s="1"/>
      <c r="I797" s="1"/>
    </row>
    <row r="798" spans="1:9">
      <c r="A798" s="1"/>
      <c r="B798" s="210"/>
      <c r="C798" s="187"/>
      <c r="D798" s="1"/>
      <c r="E798" s="1"/>
      <c r="F798" s="1"/>
      <c r="G798" s="1"/>
      <c r="I798" s="1"/>
    </row>
    <row r="799" spans="1:9">
      <c r="A799" s="1"/>
      <c r="B799" s="210"/>
      <c r="C799" s="187"/>
      <c r="D799" s="1"/>
      <c r="E799" s="1"/>
      <c r="F799" s="1"/>
      <c r="G799" s="1"/>
      <c r="I799" s="1"/>
    </row>
    <row r="800" spans="1:9">
      <c r="A800" s="1"/>
      <c r="B800" s="210"/>
      <c r="C800" s="187"/>
      <c r="D800" s="1"/>
      <c r="E800" s="1"/>
      <c r="F800" s="1"/>
      <c r="G800" s="1"/>
      <c r="I800" s="1"/>
    </row>
    <row r="801" spans="1:9">
      <c r="A801" s="1"/>
      <c r="B801" s="210"/>
      <c r="C801" s="187"/>
      <c r="D801" s="1"/>
      <c r="E801" s="1"/>
      <c r="F801" s="1"/>
      <c r="G801" s="1"/>
      <c r="I801" s="1"/>
    </row>
    <row r="802" spans="1:9">
      <c r="A802" s="1"/>
      <c r="B802" s="210"/>
      <c r="C802" s="187"/>
      <c r="D802" s="1"/>
      <c r="E802" s="1"/>
      <c r="F802" s="1"/>
      <c r="G802" s="1"/>
      <c r="I802" s="1"/>
    </row>
    <row r="803" spans="1:9">
      <c r="A803" s="1"/>
      <c r="B803" s="210"/>
      <c r="C803" s="187"/>
      <c r="D803" s="1"/>
      <c r="E803" s="1"/>
      <c r="F803" s="1"/>
      <c r="G803" s="1"/>
      <c r="I803" s="1"/>
    </row>
    <row r="804" spans="1:9">
      <c r="A804" s="1"/>
      <c r="B804" s="210"/>
      <c r="C804" s="187"/>
      <c r="D804" s="1"/>
      <c r="E804" s="1"/>
      <c r="F804" s="1"/>
      <c r="G804" s="1"/>
      <c r="I804" s="1"/>
    </row>
    <row r="805" spans="1:9">
      <c r="A805" s="1"/>
      <c r="B805" s="210"/>
      <c r="C805" s="187"/>
      <c r="D805" s="1"/>
      <c r="E805" s="1"/>
      <c r="F805" s="1"/>
      <c r="G805" s="1"/>
      <c r="I805" s="1"/>
    </row>
    <row r="806" spans="1:9">
      <c r="A806" s="1"/>
      <c r="B806" s="210"/>
      <c r="C806" s="187"/>
      <c r="D806" s="1"/>
      <c r="E806" s="1"/>
      <c r="F806" s="1"/>
      <c r="G806" s="1"/>
      <c r="I806" s="1"/>
    </row>
    <row r="807" spans="1:9">
      <c r="A807" s="1"/>
      <c r="B807" s="210"/>
      <c r="C807" s="187"/>
      <c r="D807" s="1"/>
      <c r="E807" s="1"/>
      <c r="F807" s="1"/>
      <c r="G807" s="1"/>
      <c r="I807" s="1"/>
    </row>
    <row r="808" spans="1:9">
      <c r="A808" s="1"/>
      <c r="B808" s="210"/>
      <c r="C808" s="187"/>
      <c r="D808" s="1"/>
      <c r="E808" s="1"/>
      <c r="F808" s="1"/>
      <c r="G808" s="1"/>
      <c r="I808" s="1"/>
    </row>
    <row r="809" spans="1:9">
      <c r="A809" s="1"/>
      <c r="B809" s="210"/>
      <c r="C809" s="187"/>
      <c r="D809" s="1"/>
      <c r="E809" s="1"/>
      <c r="F809" s="1"/>
      <c r="G809" s="1"/>
      <c r="I809" s="1"/>
    </row>
    <row r="810" spans="1:9">
      <c r="A810" s="1"/>
      <c r="B810" s="210"/>
      <c r="C810" s="187"/>
      <c r="D810" s="1"/>
      <c r="E810" s="1"/>
      <c r="F810" s="1"/>
      <c r="G810" s="1"/>
      <c r="I810" s="1"/>
    </row>
    <row r="811" spans="1:9">
      <c r="A811" s="1"/>
      <c r="B811" s="210"/>
      <c r="C811" s="187"/>
      <c r="D811" s="1"/>
      <c r="E811" s="1"/>
      <c r="F811" s="1"/>
      <c r="G811" s="1"/>
      <c r="I811" s="1"/>
    </row>
    <row r="812" spans="1:9">
      <c r="A812" s="1"/>
      <c r="B812" s="210"/>
      <c r="C812" s="187"/>
      <c r="D812" s="1"/>
      <c r="E812" s="1"/>
      <c r="F812" s="1"/>
      <c r="G812" s="1"/>
      <c r="I812" s="1"/>
    </row>
    <row r="813" spans="1:9">
      <c r="A813" s="1"/>
      <c r="B813" s="210"/>
      <c r="C813" s="187"/>
      <c r="D813" s="1"/>
      <c r="E813" s="1"/>
      <c r="F813" s="1"/>
      <c r="G813" s="1"/>
      <c r="I813" s="1"/>
    </row>
    <row r="814" spans="1:9">
      <c r="A814" s="1"/>
      <c r="B814" s="210"/>
      <c r="C814" s="187"/>
      <c r="D814" s="1"/>
      <c r="E814" s="1"/>
      <c r="F814" s="1"/>
      <c r="G814" s="1"/>
      <c r="I814" s="1"/>
    </row>
    <row r="815" spans="1:9">
      <c r="A815" s="1"/>
      <c r="B815" s="210"/>
      <c r="C815" s="187"/>
      <c r="D815" s="1"/>
      <c r="E815" s="1"/>
      <c r="F815" s="1"/>
      <c r="G815" s="1"/>
      <c r="I815" s="1"/>
    </row>
    <row r="816" spans="1:9">
      <c r="A816" s="1"/>
      <c r="B816" s="210"/>
      <c r="C816" s="187"/>
      <c r="D816" s="1"/>
      <c r="E816" s="1"/>
      <c r="F816" s="1"/>
      <c r="G816" s="1"/>
      <c r="I816" s="1"/>
    </row>
    <row r="817" spans="1:9">
      <c r="A817" s="1"/>
      <c r="B817" s="210"/>
      <c r="C817" s="187"/>
      <c r="D817" s="1"/>
      <c r="E817" s="1"/>
      <c r="F817" s="1"/>
      <c r="G817" s="1"/>
      <c r="I817" s="1"/>
    </row>
    <row r="818" spans="1:9">
      <c r="A818" s="1"/>
      <c r="B818" s="210"/>
      <c r="C818" s="187"/>
      <c r="D818" s="1"/>
      <c r="E818" s="1"/>
      <c r="F818" s="1"/>
      <c r="G818" s="1"/>
      <c r="I818" s="1"/>
    </row>
    <row r="819" spans="1:9">
      <c r="A819" s="1"/>
      <c r="B819" s="210"/>
      <c r="C819" s="187"/>
      <c r="D819" s="1"/>
      <c r="E819" s="1"/>
      <c r="F819" s="1"/>
      <c r="G819" s="1"/>
      <c r="I819" s="1"/>
    </row>
    <row r="820" spans="1:9">
      <c r="A820" s="1"/>
      <c r="B820" s="210"/>
      <c r="C820" s="187"/>
      <c r="D820" s="1"/>
      <c r="E820" s="1"/>
      <c r="F820" s="1"/>
      <c r="G820" s="1"/>
      <c r="I820" s="1"/>
    </row>
    <row r="821" spans="1:9">
      <c r="A821" s="1"/>
      <c r="B821" s="210"/>
      <c r="C821" s="187"/>
      <c r="D821" s="1"/>
      <c r="E821" s="1"/>
      <c r="F821" s="1"/>
      <c r="G821" s="1"/>
      <c r="I821" s="1"/>
    </row>
    <row r="822" spans="1:9">
      <c r="A822" s="1"/>
      <c r="B822" s="210"/>
      <c r="C822" s="187"/>
      <c r="D822" s="1"/>
      <c r="E822" s="1"/>
      <c r="F822" s="1"/>
      <c r="G822" s="1"/>
      <c r="I822" s="1"/>
    </row>
    <row r="823" spans="1:9">
      <c r="A823" s="1"/>
      <c r="B823" s="210"/>
      <c r="C823" s="187"/>
      <c r="D823" s="1"/>
      <c r="E823" s="1"/>
      <c r="F823" s="1"/>
      <c r="G823" s="1"/>
      <c r="I823" s="1"/>
    </row>
    <row r="824" spans="1:9">
      <c r="A824" s="1"/>
      <c r="B824" s="210"/>
      <c r="C824" s="187"/>
      <c r="D824" s="1"/>
      <c r="E824" s="1"/>
      <c r="F824" s="1"/>
      <c r="G824" s="1"/>
      <c r="I824" s="1"/>
    </row>
    <row r="825" spans="1:9">
      <c r="A825" s="1"/>
      <c r="B825" s="210"/>
      <c r="C825" s="187"/>
      <c r="D825" s="1"/>
      <c r="E825" s="1"/>
      <c r="F825" s="1"/>
      <c r="G825" s="1"/>
      <c r="I825" s="1"/>
    </row>
    <row r="826" spans="1:9">
      <c r="A826" s="1"/>
      <c r="B826" s="210"/>
      <c r="C826" s="187"/>
      <c r="D826" s="1"/>
      <c r="E826" s="1"/>
      <c r="F826" s="1"/>
      <c r="G826" s="1"/>
      <c r="I826" s="1"/>
    </row>
    <row r="827" spans="1:9">
      <c r="A827" s="1"/>
      <c r="B827" s="210"/>
      <c r="C827" s="187"/>
      <c r="D827" s="1"/>
      <c r="E827" s="1"/>
      <c r="F827" s="1"/>
      <c r="G827" s="1"/>
      <c r="I827" s="1"/>
    </row>
    <row r="828" spans="1:9">
      <c r="A828" s="1"/>
      <c r="B828" s="210"/>
      <c r="C828" s="187"/>
      <c r="D828" s="1"/>
      <c r="E828" s="1"/>
      <c r="F828" s="1"/>
      <c r="G828" s="1"/>
      <c r="I828" s="1"/>
    </row>
    <row r="829" spans="1:9">
      <c r="A829" s="1"/>
      <c r="B829" s="210"/>
      <c r="C829" s="187"/>
      <c r="D829" s="1"/>
      <c r="E829" s="1"/>
      <c r="F829" s="1"/>
      <c r="G829" s="1"/>
      <c r="I829" s="1"/>
    </row>
    <row r="830" spans="1:9">
      <c r="A830" s="1"/>
      <c r="B830" s="210"/>
      <c r="C830" s="187"/>
      <c r="D830" s="1"/>
      <c r="E830" s="1"/>
      <c r="F830" s="1"/>
      <c r="G830" s="1"/>
      <c r="I830" s="1"/>
    </row>
    <row r="831" spans="1:9">
      <c r="A831" s="1"/>
      <c r="B831" s="210"/>
      <c r="C831" s="187"/>
      <c r="D831" s="1"/>
      <c r="E831" s="1"/>
      <c r="F831" s="1"/>
      <c r="G831" s="1"/>
      <c r="I831" s="1"/>
    </row>
    <row r="832" spans="1:9">
      <c r="A832" s="1"/>
      <c r="B832" s="210"/>
      <c r="C832" s="187"/>
      <c r="D832" s="1"/>
      <c r="E832" s="1"/>
      <c r="F832" s="1"/>
      <c r="G832" s="1"/>
      <c r="I832" s="1"/>
    </row>
    <row r="833" spans="1:9">
      <c r="A833" s="1"/>
      <c r="B833" s="210"/>
      <c r="C833" s="187"/>
      <c r="D833" s="1"/>
      <c r="E833" s="1"/>
      <c r="F833" s="1"/>
      <c r="G833" s="1"/>
      <c r="I833" s="1"/>
    </row>
    <row r="834" spans="1:9">
      <c r="A834" s="1"/>
      <c r="B834" s="210"/>
      <c r="C834" s="187"/>
      <c r="D834" s="1"/>
      <c r="E834" s="1"/>
      <c r="F834" s="1"/>
      <c r="G834" s="1"/>
      <c r="I834" s="1"/>
    </row>
    <row r="835" spans="1:9">
      <c r="A835" s="1"/>
      <c r="B835" s="210"/>
      <c r="C835" s="187"/>
      <c r="D835" s="1"/>
      <c r="E835" s="1"/>
      <c r="F835" s="1"/>
      <c r="G835" s="1"/>
      <c r="I835" s="1"/>
    </row>
    <row r="836" spans="1:9">
      <c r="A836" s="1"/>
      <c r="B836" s="210"/>
      <c r="C836" s="187"/>
      <c r="D836" s="1"/>
      <c r="E836" s="1"/>
      <c r="F836" s="1"/>
      <c r="G836" s="1"/>
      <c r="I836" s="1"/>
    </row>
    <row r="837" spans="1:9">
      <c r="A837" s="1"/>
      <c r="B837" s="210"/>
      <c r="C837" s="187"/>
      <c r="D837" s="1"/>
      <c r="E837" s="1"/>
      <c r="F837" s="1"/>
      <c r="G837" s="1"/>
      <c r="I837" s="1"/>
    </row>
    <row r="838" spans="1:9">
      <c r="A838" s="1"/>
      <c r="B838" s="210"/>
      <c r="C838" s="187"/>
      <c r="D838" s="1"/>
      <c r="E838" s="1"/>
      <c r="F838" s="1"/>
      <c r="G838" s="1"/>
      <c r="I838" s="1"/>
    </row>
    <row r="839" spans="1:9">
      <c r="A839" s="1"/>
      <c r="B839" s="210"/>
      <c r="C839" s="187"/>
      <c r="D839" s="1"/>
      <c r="E839" s="1"/>
      <c r="F839" s="1"/>
      <c r="G839" s="1"/>
      <c r="I839" s="1"/>
    </row>
    <row r="840" spans="1:9">
      <c r="A840" s="1"/>
      <c r="B840" s="210"/>
      <c r="C840" s="187"/>
      <c r="D840" s="1"/>
      <c r="E840" s="1"/>
      <c r="F840" s="1"/>
      <c r="G840" s="1"/>
      <c r="I840" s="1"/>
    </row>
    <row r="841" spans="1:9">
      <c r="A841" s="1"/>
      <c r="B841" s="210"/>
      <c r="C841" s="187"/>
      <c r="D841" s="1"/>
      <c r="E841" s="1"/>
      <c r="F841" s="1"/>
      <c r="G841" s="1"/>
      <c r="I841" s="1"/>
    </row>
    <row r="842" spans="1:9">
      <c r="A842" s="1"/>
      <c r="B842" s="210"/>
      <c r="C842" s="187"/>
      <c r="D842" s="1"/>
      <c r="E842" s="1"/>
      <c r="F842" s="1"/>
      <c r="G842" s="1"/>
      <c r="I842" s="1"/>
    </row>
    <row r="843" spans="1:9">
      <c r="A843" s="1"/>
      <c r="B843" s="210"/>
      <c r="C843" s="187"/>
      <c r="D843" s="1"/>
      <c r="E843" s="1"/>
      <c r="F843" s="1"/>
      <c r="G843" s="1"/>
      <c r="I843" s="1"/>
    </row>
    <row r="844" spans="1:9">
      <c r="A844" s="1"/>
      <c r="B844" s="210"/>
      <c r="C844" s="187"/>
      <c r="D844" s="1"/>
      <c r="E844" s="1"/>
      <c r="F844" s="1"/>
      <c r="G844" s="1"/>
      <c r="I844" s="1"/>
    </row>
    <row r="845" spans="1:9">
      <c r="A845" s="1"/>
      <c r="B845" s="210"/>
      <c r="C845" s="187"/>
      <c r="D845" s="1"/>
      <c r="E845" s="1"/>
      <c r="F845" s="1"/>
      <c r="G845" s="1"/>
      <c r="I845" s="1"/>
    </row>
    <row r="846" spans="1:9">
      <c r="A846" s="1"/>
      <c r="B846" s="210"/>
      <c r="C846" s="187"/>
      <c r="D846" s="1"/>
      <c r="E846" s="1"/>
      <c r="F846" s="1"/>
      <c r="G846" s="1"/>
      <c r="I846" s="1"/>
    </row>
    <row r="847" spans="1:9">
      <c r="A847" s="1"/>
      <c r="B847" s="210"/>
      <c r="C847" s="187"/>
      <c r="D847" s="1"/>
      <c r="E847" s="1"/>
      <c r="F847" s="1"/>
      <c r="G847" s="1"/>
      <c r="I847" s="1"/>
    </row>
    <row r="848" spans="1:9">
      <c r="A848" s="1"/>
      <c r="B848" s="210"/>
      <c r="C848" s="187"/>
      <c r="D848" s="1"/>
      <c r="E848" s="1"/>
      <c r="F848" s="1"/>
      <c r="G848" s="1"/>
      <c r="I848" s="1"/>
    </row>
    <row r="849" spans="1:9">
      <c r="A849" s="1"/>
      <c r="B849" s="210"/>
      <c r="C849" s="187"/>
      <c r="D849" s="1"/>
      <c r="E849" s="1"/>
      <c r="F849" s="1"/>
      <c r="G849" s="1"/>
      <c r="I849" s="1"/>
    </row>
    <row r="850" spans="1:9">
      <c r="A850" s="1"/>
      <c r="B850" s="210"/>
      <c r="C850" s="187"/>
      <c r="D850" s="1"/>
      <c r="E850" s="1"/>
      <c r="F850" s="1"/>
      <c r="G850" s="1"/>
      <c r="I850" s="1"/>
    </row>
    <row r="851" spans="1:9">
      <c r="A851" s="1"/>
      <c r="B851" s="210"/>
      <c r="C851" s="187"/>
      <c r="D851" s="1"/>
      <c r="E851" s="1"/>
      <c r="F851" s="1"/>
      <c r="G851" s="1"/>
      <c r="I851" s="1"/>
    </row>
    <row r="852" spans="1:9">
      <c r="A852" s="1"/>
      <c r="B852" s="210"/>
      <c r="C852" s="187"/>
      <c r="D852" s="1"/>
      <c r="E852" s="1"/>
      <c r="F852" s="1"/>
      <c r="G852" s="1"/>
      <c r="I852" s="1"/>
    </row>
    <row r="853" spans="1:9">
      <c r="A853" s="1"/>
      <c r="B853" s="210"/>
      <c r="C853" s="187"/>
      <c r="D853" s="1"/>
      <c r="E853" s="1"/>
      <c r="F853" s="1"/>
      <c r="G853" s="1"/>
      <c r="I853" s="1"/>
    </row>
    <row r="854" spans="1:9">
      <c r="A854" s="1"/>
      <c r="B854" s="210"/>
      <c r="C854" s="187"/>
      <c r="D854" s="1"/>
      <c r="E854" s="1"/>
      <c r="F854" s="1"/>
      <c r="G854" s="1"/>
      <c r="I854" s="1"/>
    </row>
    <row r="855" spans="1:9">
      <c r="A855" s="1"/>
      <c r="B855" s="210"/>
      <c r="C855" s="187"/>
      <c r="D855" s="1"/>
      <c r="E855" s="1"/>
      <c r="F855" s="1"/>
      <c r="G855" s="1"/>
      <c r="I855" s="1"/>
    </row>
    <row r="856" spans="1:9">
      <c r="A856" s="1"/>
      <c r="B856" s="210"/>
      <c r="C856" s="187"/>
      <c r="D856" s="1"/>
      <c r="E856" s="1"/>
      <c r="F856" s="1"/>
      <c r="G856" s="1"/>
      <c r="I856" s="1"/>
    </row>
    <row r="857" spans="1:9">
      <c r="A857" s="1"/>
      <c r="B857" s="210"/>
      <c r="C857" s="187"/>
      <c r="D857" s="1"/>
      <c r="E857" s="1"/>
      <c r="F857" s="1"/>
      <c r="G857" s="1"/>
      <c r="I857" s="1"/>
    </row>
    <row r="858" spans="1:9">
      <c r="A858" s="1"/>
      <c r="B858" s="210"/>
      <c r="C858" s="187"/>
      <c r="D858" s="1"/>
      <c r="E858" s="1"/>
      <c r="F858" s="1"/>
      <c r="G858" s="1"/>
      <c r="I858" s="1"/>
    </row>
    <row r="859" spans="1:9">
      <c r="A859" s="1"/>
      <c r="B859" s="210"/>
      <c r="C859" s="187"/>
      <c r="D859" s="1"/>
      <c r="E859" s="1"/>
      <c r="F859" s="1"/>
      <c r="G859" s="1"/>
      <c r="I859" s="1"/>
    </row>
    <row r="860" spans="1:9">
      <c r="A860" s="1"/>
      <c r="B860" s="210"/>
      <c r="C860" s="187"/>
      <c r="D860" s="1"/>
      <c r="E860" s="1"/>
      <c r="F860" s="1"/>
      <c r="G860" s="1"/>
      <c r="I860" s="1"/>
    </row>
    <row r="861" spans="1:9">
      <c r="A861" s="1"/>
      <c r="B861" s="210"/>
      <c r="C861" s="187"/>
      <c r="D861" s="1"/>
      <c r="E861" s="1"/>
      <c r="F861" s="1"/>
      <c r="G861" s="1"/>
      <c r="I861" s="1"/>
    </row>
    <row r="862" spans="1:9">
      <c r="A862" s="1"/>
      <c r="B862" s="210"/>
      <c r="C862" s="187"/>
      <c r="D862" s="1"/>
      <c r="E862" s="1"/>
      <c r="F862" s="1"/>
      <c r="G862" s="1"/>
      <c r="I862" s="1"/>
    </row>
    <row r="863" spans="1:9">
      <c r="A863" s="1"/>
      <c r="B863" s="210"/>
      <c r="C863" s="187"/>
      <c r="D863" s="1"/>
      <c r="E863" s="1"/>
      <c r="F863" s="1"/>
      <c r="G863" s="1"/>
      <c r="I863" s="1"/>
    </row>
    <row r="864" spans="1:9">
      <c r="A864" s="1"/>
      <c r="B864" s="210"/>
      <c r="C864" s="187"/>
      <c r="D864" s="1"/>
      <c r="E864" s="1"/>
      <c r="F864" s="1"/>
      <c r="G864" s="1"/>
      <c r="I864" s="1"/>
    </row>
    <row r="865" spans="1:9">
      <c r="A865" s="1"/>
      <c r="B865" s="210"/>
      <c r="C865" s="187"/>
      <c r="D865" s="1"/>
      <c r="E865" s="1"/>
      <c r="F865" s="1"/>
      <c r="G865" s="1"/>
      <c r="I865" s="1"/>
    </row>
    <row r="866" spans="1:9">
      <c r="A866" s="1"/>
      <c r="B866" s="210"/>
      <c r="C866" s="187"/>
      <c r="D866" s="1"/>
      <c r="E866" s="1"/>
      <c r="F866" s="1"/>
      <c r="G866" s="1"/>
      <c r="I866" s="1"/>
    </row>
    <row r="867" spans="1:9">
      <c r="A867" s="1"/>
      <c r="B867" s="210"/>
      <c r="C867" s="187"/>
      <c r="D867" s="1"/>
      <c r="E867" s="1"/>
      <c r="F867" s="1"/>
      <c r="G867" s="1"/>
      <c r="I867" s="1"/>
    </row>
    <row r="868" spans="1:9">
      <c r="A868" s="1"/>
      <c r="B868" s="210"/>
      <c r="C868" s="187"/>
      <c r="D868" s="1"/>
      <c r="E868" s="1"/>
      <c r="F868" s="1"/>
      <c r="G868" s="1"/>
      <c r="I868" s="1"/>
    </row>
    <row r="869" spans="1:9">
      <c r="A869" s="1"/>
      <c r="B869" s="210"/>
      <c r="C869" s="187"/>
      <c r="D869" s="1"/>
      <c r="E869" s="1"/>
      <c r="F869" s="1"/>
      <c r="G869" s="1"/>
      <c r="I869" s="1"/>
    </row>
    <row r="870" spans="1:9">
      <c r="A870" s="1"/>
      <c r="B870" s="210"/>
      <c r="C870" s="187"/>
      <c r="D870" s="1"/>
      <c r="E870" s="1"/>
      <c r="F870" s="1"/>
      <c r="G870" s="1"/>
      <c r="I870" s="1"/>
    </row>
    <row r="871" spans="1:9">
      <c r="A871" s="1"/>
      <c r="B871" s="210"/>
      <c r="C871" s="187"/>
      <c r="D871" s="1"/>
      <c r="E871" s="1"/>
      <c r="F871" s="1"/>
      <c r="G871" s="1"/>
      <c r="I871" s="1"/>
    </row>
    <row r="872" spans="1:9">
      <c r="A872" s="1"/>
      <c r="B872" s="210"/>
      <c r="C872" s="187"/>
      <c r="D872" s="1"/>
      <c r="E872" s="1"/>
      <c r="F872" s="1"/>
      <c r="G872" s="1"/>
      <c r="I872" s="1"/>
    </row>
    <row r="873" spans="1:9">
      <c r="A873" s="1"/>
      <c r="B873" s="210"/>
      <c r="C873" s="187"/>
      <c r="D873" s="1"/>
      <c r="E873" s="1"/>
      <c r="F873" s="1"/>
      <c r="G873" s="1"/>
      <c r="I873" s="1"/>
    </row>
    <row r="874" spans="1:9">
      <c r="A874" s="1"/>
      <c r="B874" s="210"/>
      <c r="C874" s="187"/>
      <c r="D874" s="1"/>
      <c r="E874" s="1"/>
      <c r="F874" s="1"/>
      <c r="G874" s="1"/>
      <c r="I874" s="1"/>
    </row>
    <row r="875" spans="1:9">
      <c r="A875" s="1"/>
      <c r="B875" s="210"/>
      <c r="C875" s="187"/>
      <c r="D875" s="1"/>
      <c r="E875" s="1"/>
      <c r="F875" s="1"/>
      <c r="G875" s="1"/>
      <c r="I875" s="1"/>
    </row>
    <row r="876" spans="1:9">
      <c r="A876" s="1"/>
      <c r="B876" s="210"/>
      <c r="C876" s="187"/>
      <c r="D876" s="1"/>
      <c r="E876" s="1"/>
      <c r="F876" s="1"/>
      <c r="G876" s="1"/>
      <c r="I876" s="1"/>
    </row>
    <row r="877" spans="1:9">
      <c r="A877" s="1"/>
      <c r="B877" s="210"/>
      <c r="C877" s="187"/>
      <c r="D877" s="1"/>
      <c r="E877" s="1"/>
      <c r="F877" s="1"/>
      <c r="G877" s="1"/>
      <c r="I877" s="1"/>
    </row>
    <row r="878" spans="1:9">
      <c r="A878" s="1"/>
      <c r="B878" s="210"/>
      <c r="C878" s="187"/>
      <c r="D878" s="1"/>
      <c r="E878" s="1"/>
      <c r="F878" s="1"/>
      <c r="G878" s="1"/>
      <c r="I878" s="1"/>
    </row>
    <row r="879" spans="1:9">
      <c r="A879" s="1"/>
      <c r="B879" s="210"/>
      <c r="C879" s="187"/>
      <c r="D879" s="1"/>
      <c r="E879" s="1"/>
      <c r="F879" s="1"/>
      <c r="G879" s="1"/>
      <c r="I879" s="1"/>
    </row>
    <row r="880" spans="1:9">
      <c r="A880" s="1"/>
      <c r="B880" s="210"/>
      <c r="C880" s="187"/>
      <c r="D880" s="1"/>
      <c r="E880" s="1"/>
      <c r="F880" s="1"/>
      <c r="G880" s="1"/>
      <c r="I880" s="1"/>
    </row>
    <row r="881" spans="1:9">
      <c r="A881" s="1"/>
      <c r="B881" s="210"/>
      <c r="C881" s="187"/>
      <c r="D881" s="1"/>
      <c r="E881" s="1"/>
      <c r="F881" s="1"/>
      <c r="G881" s="1"/>
      <c r="I881" s="1"/>
    </row>
    <row r="882" spans="1:9">
      <c r="A882" s="1"/>
      <c r="B882" s="210"/>
      <c r="C882" s="187"/>
      <c r="D882" s="1"/>
      <c r="E882" s="1"/>
      <c r="F882" s="1"/>
      <c r="G882" s="1"/>
      <c r="I882" s="1"/>
    </row>
    <row r="883" spans="1:9">
      <c r="A883" s="1"/>
      <c r="B883" s="210"/>
      <c r="C883" s="187"/>
      <c r="D883" s="1"/>
      <c r="E883" s="1"/>
      <c r="F883" s="1"/>
      <c r="G883" s="1"/>
      <c r="I883" s="1"/>
    </row>
    <row r="884" spans="1:9">
      <c r="A884" s="1"/>
      <c r="B884" s="210"/>
      <c r="C884" s="187"/>
      <c r="D884" s="1"/>
      <c r="E884" s="1"/>
      <c r="F884" s="1"/>
      <c r="G884" s="1"/>
      <c r="I884" s="1"/>
    </row>
    <row r="885" spans="1:9">
      <c r="A885" s="1"/>
      <c r="B885" s="210"/>
      <c r="C885" s="187"/>
      <c r="D885" s="1"/>
      <c r="E885" s="1"/>
      <c r="F885" s="1"/>
      <c r="G885" s="1"/>
      <c r="I885" s="1"/>
    </row>
    <row r="886" spans="1:9">
      <c r="A886" s="1"/>
      <c r="B886" s="210"/>
      <c r="C886" s="187"/>
      <c r="D886" s="1"/>
      <c r="E886" s="1"/>
      <c r="F886" s="1"/>
      <c r="G886" s="1"/>
      <c r="I886" s="1"/>
    </row>
    <row r="887" spans="1:9">
      <c r="A887" s="1"/>
      <c r="B887" s="210"/>
      <c r="C887" s="187"/>
      <c r="D887" s="1"/>
      <c r="E887" s="1"/>
      <c r="F887" s="1"/>
      <c r="G887" s="1"/>
      <c r="I887" s="1"/>
    </row>
    <row r="888" spans="1:9">
      <c r="A888" s="1"/>
      <c r="B888" s="210"/>
      <c r="C888" s="187"/>
      <c r="D888" s="1"/>
      <c r="E888" s="1"/>
      <c r="F888" s="1"/>
      <c r="G888" s="1"/>
      <c r="I888" s="1"/>
    </row>
    <row r="889" spans="1:9">
      <c r="A889" s="1"/>
      <c r="B889" s="210"/>
      <c r="C889" s="187"/>
      <c r="D889" s="1"/>
      <c r="E889" s="1"/>
      <c r="F889" s="1"/>
      <c r="G889" s="1"/>
      <c r="I889" s="1"/>
    </row>
    <row r="890" spans="1:9">
      <c r="A890" s="1"/>
      <c r="B890" s="210"/>
      <c r="C890" s="187"/>
      <c r="D890" s="1"/>
      <c r="E890" s="1"/>
      <c r="F890" s="1"/>
      <c r="G890" s="1"/>
      <c r="I890" s="1"/>
    </row>
    <row r="891" spans="1:9">
      <c r="A891" s="1"/>
      <c r="B891" s="210"/>
      <c r="C891" s="187"/>
      <c r="D891" s="1"/>
      <c r="E891" s="1"/>
      <c r="F891" s="1"/>
      <c r="G891" s="1"/>
      <c r="I891" s="1"/>
    </row>
    <row r="892" spans="1:9">
      <c r="A892" s="1"/>
      <c r="B892" s="210"/>
      <c r="C892" s="187"/>
      <c r="D892" s="1"/>
      <c r="E892" s="1"/>
      <c r="F892" s="1"/>
      <c r="G892" s="1"/>
      <c r="I892" s="1"/>
    </row>
    <row r="893" spans="1:9">
      <c r="A893" s="1"/>
      <c r="B893" s="210"/>
      <c r="C893" s="187"/>
      <c r="D893" s="1"/>
      <c r="E893" s="1"/>
      <c r="F893" s="1"/>
      <c r="G893" s="1"/>
      <c r="I893" s="1"/>
    </row>
    <row r="894" spans="1:9">
      <c r="A894" s="1"/>
      <c r="B894" s="210"/>
      <c r="C894" s="187"/>
      <c r="D894" s="1"/>
      <c r="E894" s="1"/>
      <c r="F894" s="1"/>
      <c r="G894" s="1"/>
      <c r="I894" s="1"/>
    </row>
    <row r="895" spans="1:9">
      <c r="A895" s="1"/>
      <c r="B895" s="210"/>
      <c r="C895" s="187"/>
      <c r="D895" s="1"/>
      <c r="E895" s="1"/>
      <c r="F895" s="1"/>
      <c r="G895" s="1"/>
      <c r="I895" s="1"/>
    </row>
    <row r="896" spans="1:9">
      <c r="A896" s="1"/>
      <c r="B896" s="210"/>
      <c r="C896" s="187"/>
      <c r="D896" s="1"/>
      <c r="E896" s="1"/>
      <c r="F896" s="1"/>
      <c r="G896" s="1"/>
      <c r="I896" s="1"/>
    </row>
    <row r="897" spans="1:9">
      <c r="A897" s="1"/>
      <c r="B897" s="210"/>
      <c r="C897" s="187"/>
      <c r="D897" s="1"/>
      <c r="E897" s="1"/>
      <c r="F897" s="1"/>
      <c r="G897" s="1"/>
      <c r="I897" s="1"/>
    </row>
    <row r="898" spans="1:9">
      <c r="A898" s="1"/>
      <c r="B898" s="210"/>
      <c r="C898" s="187"/>
      <c r="D898" s="1"/>
      <c r="E898" s="1"/>
      <c r="F898" s="1"/>
      <c r="G898" s="1"/>
      <c r="I898" s="1"/>
    </row>
    <row r="899" spans="1:9">
      <c r="A899" s="1"/>
      <c r="B899" s="210"/>
      <c r="C899" s="187"/>
      <c r="D899" s="1"/>
      <c r="E899" s="1"/>
      <c r="F899" s="1"/>
      <c r="G899" s="1"/>
      <c r="I899" s="1"/>
    </row>
    <row r="900" spans="1:9">
      <c r="A900" s="1"/>
      <c r="B900" s="210"/>
      <c r="C900" s="187"/>
      <c r="D900" s="1"/>
      <c r="E900" s="1"/>
      <c r="F900" s="1"/>
      <c r="G900" s="1"/>
      <c r="I900" s="1"/>
    </row>
    <row r="901" spans="1:9">
      <c r="A901" s="1"/>
      <c r="B901" s="210"/>
      <c r="C901" s="187"/>
      <c r="D901" s="1"/>
      <c r="E901" s="1"/>
      <c r="F901" s="1"/>
      <c r="G901" s="1"/>
      <c r="I901" s="1"/>
    </row>
    <row r="902" spans="1:9">
      <c r="A902" s="1"/>
      <c r="B902" s="210"/>
      <c r="C902" s="187"/>
      <c r="D902" s="1"/>
      <c r="E902" s="1"/>
      <c r="F902" s="1"/>
      <c r="G902" s="1"/>
      <c r="I902" s="1"/>
    </row>
    <row r="903" spans="1:9">
      <c r="A903" s="1"/>
      <c r="B903" s="210"/>
      <c r="C903" s="187"/>
      <c r="D903" s="1"/>
      <c r="E903" s="1"/>
      <c r="F903" s="1"/>
      <c r="G903" s="1"/>
      <c r="I903" s="1"/>
    </row>
    <row r="904" spans="1:9">
      <c r="A904" s="1"/>
      <c r="B904" s="210"/>
      <c r="C904" s="187"/>
      <c r="D904" s="1"/>
      <c r="E904" s="1"/>
      <c r="F904" s="1"/>
      <c r="G904" s="1"/>
      <c r="I904" s="1"/>
    </row>
    <row r="905" spans="1:9">
      <c r="A905" s="1"/>
      <c r="B905" s="210"/>
      <c r="C905" s="187"/>
      <c r="D905" s="1"/>
      <c r="E905" s="1"/>
      <c r="F905" s="1"/>
      <c r="G905" s="1"/>
      <c r="I905" s="1"/>
    </row>
    <row r="906" spans="1:9">
      <c r="A906" s="1"/>
      <c r="B906" s="210"/>
      <c r="C906" s="187"/>
      <c r="D906" s="1"/>
      <c r="E906" s="1"/>
      <c r="F906" s="1"/>
      <c r="G906" s="1"/>
      <c r="I906" s="1"/>
    </row>
    <row r="907" spans="1:9">
      <c r="A907" s="1"/>
      <c r="B907" s="210"/>
      <c r="C907" s="187"/>
      <c r="D907" s="1"/>
      <c r="E907" s="1"/>
      <c r="F907" s="1"/>
      <c r="G907" s="1"/>
      <c r="I907" s="1"/>
    </row>
    <row r="908" spans="1:9">
      <c r="A908" s="1"/>
      <c r="B908" s="210"/>
      <c r="C908" s="187"/>
      <c r="D908" s="1"/>
      <c r="E908" s="1"/>
      <c r="F908" s="1"/>
      <c r="G908" s="1"/>
      <c r="I908" s="1"/>
    </row>
    <row r="909" spans="1:9">
      <c r="A909" s="1"/>
      <c r="B909" s="210"/>
      <c r="C909" s="187"/>
      <c r="D909" s="1"/>
      <c r="E909" s="1"/>
      <c r="F909" s="1"/>
      <c r="G909" s="1"/>
      <c r="I909" s="1"/>
    </row>
    <row r="910" spans="1:9">
      <c r="A910" s="1"/>
      <c r="B910" s="210"/>
      <c r="C910" s="187"/>
      <c r="D910" s="1"/>
      <c r="E910" s="1"/>
      <c r="F910" s="1"/>
      <c r="G910" s="1"/>
      <c r="I910" s="1"/>
    </row>
    <row r="911" spans="1:9">
      <c r="A911" s="1"/>
      <c r="B911" s="210"/>
      <c r="C911" s="187"/>
      <c r="D911" s="1"/>
      <c r="E911" s="1"/>
      <c r="F911" s="1"/>
      <c r="G911" s="1"/>
      <c r="I911" s="1"/>
    </row>
    <row r="912" spans="1:9">
      <c r="A912" s="1"/>
      <c r="B912" s="210"/>
      <c r="C912" s="187"/>
      <c r="D912" s="1"/>
      <c r="E912" s="1"/>
      <c r="F912" s="1"/>
      <c r="G912" s="1"/>
      <c r="I912" s="1"/>
    </row>
    <row r="913" spans="1:9">
      <c r="A913" s="1"/>
      <c r="B913" s="210"/>
      <c r="C913" s="187"/>
      <c r="D913" s="1"/>
      <c r="E913" s="1"/>
      <c r="F913" s="1"/>
      <c r="G913" s="1"/>
      <c r="I913" s="1"/>
    </row>
    <row r="914" spans="1:9">
      <c r="A914" s="1"/>
      <c r="B914" s="210"/>
      <c r="C914" s="187"/>
      <c r="D914" s="1"/>
      <c r="E914" s="1"/>
      <c r="F914" s="1"/>
      <c r="G914" s="1"/>
      <c r="I914" s="1"/>
    </row>
    <row r="915" spans="1:9">
      <c r="A915" s="1"/>
      <c r="B915" s="210"/>
      <c r="C915" s="187"/>
      <c r="D915" s="1"/>
      <c r="E915" s="1"/>
      <c r="F915" s="1"/>
      <c r="G915" s="1"/>
      <c r="I915" s="1"/>
    </row>
    <row r="916" spans="1:9">
      <c r="A916" s="1"/>
      <c r="B916" s="210"/>
      <c r="C916" s="187"/>
      <c r="D916" s="1"/>
      <c r="E916" s="1"/>
      <c r="F916" s="1"/>
      <c r="G916" s="1"/>
      <c r="I916" s="1"/>
    </row>
    <row r="917" spans="1:9">
      <c r="A917" s="1"/>
      <c r="B917" s="210"/>
      <c r="C917" s="187"/>
      <c r="D917" s="1"/>
      <c r="E917" s="1"/>
      <c r="F917" s="1"/>
      <c r="G917" s="1"/>
      <c r="I917" s="1"/>
    </row>
    <row r="918" spans="1:9">
      <c r="A918" s="1"/>
      <c r="B918" s="210"/>
      <c r="C918" s="187"/>
      <c r="D918" s="1"/>
      <c r="E918" s="1"/>
      <c r="F918" s="1"/>
      <c r="G918" s="1"/>
      <c r="I918" s="1"/>
    </row>
    <row r="919" spans="1:9">
      <c r="A919" s="1"/>
      <c r="B919" s="210"/>
      <c r="C919" s="187"/>
      <c r="D919" s="1"/>
      <c r="E919" s="1"/>
      <c r="F919" s="1"/>
      <c r="G919" s="1"/>
      <c r="I919" s="1"/>
    </row>
    <row r="920" spans="1:9">
      <c r="A920" s="1"/>
      <c r="B920" s="210"/>
      <c r="C920" s="187"/>
      <c r="D920" s="1"/>
      <c r="E920" s="1"/>
      <c r="F920" s="1"/>
      <c r="G920" s="1"/>
      <c r="I920" s="1"/>
    </row>
    <row r="921" spans="1:9">
      <c r="A921" s="1"/>
      <c r="B921" s="210"/>
      <c r="C921" s="187"/>
      <c r="D921" s="1"/>
      <c r="E921" s="1"/>
      <c r="F921" s="1"/>
      <c r="G921" s="1"/>
      <c r="I921" s="1"/>
    </row>
    <row r="922" spans="1:9">
      <c r="A922" s="1"/>
      <c r="B922" s="210"/>
      <c r="C922" s="187"/>
      <c r="D922" s="1"/>
      <c r="E922" s="1"/>
      <c r="F922" s="1"/>
      <c r="G922" s="1"/>
      <c r="I922" s="1"/>
    </row>
    <row r="923" spans="1:9">
      <c r="A923" s="1"/>
      <c r="B923" s="210"/>
      <c r="C923" s="187"/>
      <c r="D923" s="1"/>
      <c r="E923" s="1"/>
      <c r="F923" s="1"/>
      <c r="G923" s="1"/>
      <c r="I923" s="1"/>
    </row>
    <row r="924" spans="1:9">
      <c r="A924" s="1"/>
      <c r="B924" s="210"/>
      <c r="C924" s="187"/>
      <c r="D924" s="1"/>
      <c r="E924" s="1"/>
      <c r="F924" s="1"/>
      <c r="G924" s="1"/>
      <c r="I924" s="1"/>
    </row>
    <row r="925" spans="1:9">
      <c r="A925" s="1"/>
      <c r="B925" s="210"/>
      <c r="C925" s="187"/>
      <c r="D925" s="1"/>
      <c r="E925" s="1"/>
      <c r="F925" s="1"/>
      <c r="G925" s="1"/>
      <c r="I925" s="1"/>
    </row>
    <row r="926" spans="1:9">
      <c r="A926" s="1"/>
      <c r="B926" s="210"/>
      <c r="C926" s="187"/>
      <c r="D926" s="1"/>
      <c r="E926" s="1"/>
      <c r="F926" s="1"/>
      <c r="G926" s="1"/>
      <c r="I926" s="1"/>
    </row>
    <row r="927" spans="1:9">
      <c r="A927" s="1"/>
      <c r="B927" s="210"/>
      <c r="C927" s="187"/>
      <c r="D927" s="1"/>
      <c r="E927" s="1"/>
      <c r="F927" s="1"/>
      <c r="G927" s="1"/>
      <c r="I927" s="1"/>
    </row>
    <row r="928" spans="1:9">
      <c r="A928" s="1"/>
      <c r="B928" s="210"/>
      <c r="C928" s="187"/>
      <c r="D928" s="1"/>
      <c r="E928" s="1"/>
      <c r="F928" s="1"/>
      <c r="G928" s="1"/>
      <c r="I928" s="1"/>
    </row>
    <row r="929" spans="1:9">
      <c r="A929" s="1"/>
      <c r="B929" s="210"/>
      <c r="C929" s="187"/>
      <c r="D929" s="1"/>
      <c r="E929" s="1"/>
      <c r="F929" s="1"/>
      <c r="G929" s="1"/>
      <c r="I929" s="1"/>
    </row>
    <row r="930" spans="1:9">
      <c r="A930" s="1"/>
      <c r="B930" s="210"/>
      <c r="C930" s="187"/>
      <c r="D930" s="1"/>
      <c r="E930" s="1"/>
      <c r="F930" s="1"/>
      <c r="G930" s="1"/>
      <c r="I930" s="1"/>
    </row>
    <row r="931" spans="1:9">
      <c r="A931" s="1"/>
      <c r="B931" s="210"/>
      <c r="C931" s="187"/>
      <c r="D931" s="1"/>
      <c r="E931" s="1"/>
      <c r="F931" s="1"/>
      <c r="G931" s="1"/>
      <c r="I931" s="1"/>
    </row>
    <row r="932" spans="1:9">
      <c r="A932" s="1"/>
      <c r="B932" s="210"/>
      <c r="C932" s="187"/>
      <c r="D932" s="1"/>
      <c r="E932" s="1"/>
      <c r="F932" s="1"/>
      <c r="G932" s="1"/>
      <c r="I932" s="1"/>
    </row>
    <row r="933" spans="1:9">
      <c r="A933" s="1"/>
      <c r="B933" s="210"/>
      <c r="C933" s="187"/>
      <c r="D933" s="1"/>
      <c r="E933" s="1"/>
      <c r="F933" s="1"/>
      <c r="G933" s="1"/>
      <c r="I933" s="1"/>
    </row>
    <row r="934" spans="1:9">
      <c r="A934" s="1"/>
      <c r="B934" s="210"/>
      <c r="C934" s="187"/>
      <c r="D934" s="1"/>
      <c r="E934" s="1"/>
      <c r="F934" s="1"/>
      <c r="G934" s="1"/>
      <c r="I934" s="1"/>
    </row>
    <row r="935" spans="1:9">
      <c r="A935" s="1"/>
      <c r="B935" s="210"/>
      <c r="C935" s="187"/>
      <c r="D935" s="1"/>
      <c r="E935" s="1"/>
      <c r="F935" s="1"/>
      <c r="G935" s="1"/>
      <c r="I935" s="1"/>
    </row>
    <row r="936" spans="1:9">
      <c r="A936" s="1"/>
      <c r="B936" s="210"/>
      <c r="C936" s="187"/>
      <c r="D936" s="1"/>
      <c r="E936" s="1"/>
      <c r="F936" s="1"/>
      <c r="G936" s="1"/>
      <c r="I936" s="1"/>
    </row>
  </sheetData>
  <mergeCells count="1">
    <mergeCell ref="H1:I1"/>
  </mergeCells>
  <pageMargins left="0.70866141732283472" right="0.70866141732283472" top="0.74803149606299213" bottom="0.74803149606299213" header="0.31496062992125984" footer="0.31496062992125984"/>
  <pageSetup paperSize="9" scale="41" fitToHeight="0" orientation="portrait" blackAndWhite="1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workbookViewId="0"/>
  </sheetViews>
  <sheetFormatPr defaultRowHeight="12.75"/>
  <cols>
    <col min="1" max="1" width="34.7109375" style="294" customWidth="1"/>
    <col min="2" max="3" width="22.7109375" style="294" customWidth="1"/>
    <col min="4" max="4" width="24.7109375" style="294" customWidth="1"/>
    <col min="5" max="6" width="36.7109375" style="294" customWidth="1"/>
    <col min="7" max="16384" width="9.140625" style="294"/>
  </cols>
  <sheetData>
    <row r="1" spans="1:6" ht="16.5">
      <c r="A1" s="296" t="s">
        <v>349</v>
      </c>
    </row>
    <row r="3" spans="1:6" ht="30" customHeight="1">
      <c r="A3" s="449" t="s">
        <v>350</v>
      </c>
      <c r="B3" s="449"/>
      <c r="C3" s="449"/>
      <c r="D3" s="449"/>
      <c r="E3" s="449"/>
      <c r="F3" s="449"/>
    </row>
    <row r="4" spans="1:6" ht="44.1" customHeight="1">
      <c r="A4" s="449" t="s">
        <v>351</v>
      </c>
      <c r="B4" s="449"/>
      <c r="C4" s="449"/>
      <c r="D4" s="449"/>
      <c r="E4" s="449"/>
      <c r="F4" s="449"/>
    </row>
    <row r="5" spans="1:6" ht="44.1" customHeight="1">
      <c r="A5" s="449" t="s">
        <v>352</v>
      </c>
      <c r="B5" s="449"/>
      <c r="C5" s="449"/>
      <c r="D5" s="449"/>
      <c r="E5" s="449"/>
      <c r="F5" s="449"/>
    </row>
    <row r="6" spans="1:6" ht="30" customHeight="1">
      <c r="A6" s="449" t="s">
        <v>353</v>
      </c>
      <c r="B6" s="449"/>
      <c r="C6" s="449"/>
      <c r="D6" s="449"/>
      <c r="E6" s="449"/>
      <c r="F6" s="449"/>
    </row>
    <row r="7" spans="1:6" ht="30" customHeight="1">
      <c r="A7" s="449" t="s">
        <v>354</v>
      </c>
      <c r="B7" s="449"/>
      <c r="C7" s="449"/>
      <c r="D7" s="449"/>
      <c r="E7" s="449"/>
      <c r="F7" s="449"/>
    </row>
    <row r="9" spans="1:6" ht="25.5">
      <c r="A9" s="298" t="s">
        <v>355</v>
      </c>
      <c r="B9" s="298" t="s">
        <v>356</v>
      </c>
      <c r="C9" s="298" t="s">
        <v>357</v>
      </c>
      <c r="D9" s="298" t="s">
        <v>358</v>
      </c>
      <c r="E9" s="298" t="s">
        <v>359</v>
      </c>
      <c r="F9" s="298" t="s">
        <v>360</v>
      </c>
    </row>
    <row r="10" spans="1:6" ht="51">
      <c r="A10" s="297" t="s">
        <v>361</v>
      </c>
      <c r="B10" s="299" t="s">
        <v>362</v>
      </c>
      <c r="C10" s="299" t="s">
        <v>363</v>
      </c>
      <c r="D10" s="297" t="s">
        <v>364</v>
      </c>
      <c r="E10" s="297" t="s">
        <v>365</v>
      </c>
      <c r="F10" s="297" t="s">
        <v>366</v>
      </c>
    </row>
    <row r="11" spans="1:6" ht="76.5">
      <c r="A11" s="297" t="s">
        <v>431</v>
      </c>
      <c r="B11" s="299" t="s">
        <v>367</v>
      </c>
      <c r="C11" s="299" t="s">
        <v>368</v>
      </c>
      <c r="D11" s="297" t="s">
        <v>369</v>
      </c>
      <c r="E11" s="297" t="s">
        <v>370</v>
      </c>
      <c r="F11" s="297" t="s">
        <v>371</v>
      </c>
    </row>
    <row r="12" spans="1:6" ht="51">
      <c r="A12" s="297" t="s">
        <v>432</v>
      </c>
      <c r="B12" s="299" t="s">
        <v>372</v>
      </c>
      <c r="C12" s="299" t="s">
        <v>373</v>
      </c>
      <c r="D12" s="297" t="s">
        <v>374</v>
      </c>
      <c r="E12" s="297" t="s">
        <v>375</v>
      </c>
      <c r="F12" s="297" t="s">
        <v>376</v>
      </c>
    </row>
    <row r="13" spans="1:6" ht="63.75">
      <c r="A13" s="297" t="s">
        <v>377</v>
      </c>
      <c r="B13" s="299" t="s">
        <v>378</v>
      </c>
      <c r="C13" s="299" t="s">
        <v>379</v>
      </c>
      <c r="D13" s="297" t="s">
        <v>380</v>
      </c>
      <c r="E13" s="297" t="s">
        <v>381</v>
      </c>
      <c r="F13" s="297" t="s">
        <v>382</v>
      </c>
    </row>
    <row r="14" spans="1:6" ht="51">
      <c r="A14" s="297" t="s">
        <v>383</v>
      </c>
      <c r="B14" s="299" t="s">
        <v>384</v>
      </c>
      <c r="C14" s="299" t="s">
        <v>385</v>
      </c>
      <c r="D14" s="297" t="s">
        <v>386</v>
      </c>
      <c r="E14" s="297" t="s">
        <v>387</v>
      </c>
      <c r="F14" s="297" t="s">
        <v>388</v>
      </c>
    </row>
    <row r="15" spans="1:6" ht="51">
      <c r="A15" s="297" t="s">
        <v>389</v>
      </c>
      <c r="B15" s="299" t="s">
        <v>390</v>
      </c>
      <c r="C15" s="299" t="s">
        <v>391</v>
      </c>
      <c r="D15" s="297" t="s">
        <v>392</v>
      </c>
      <c r="E15" s="297" t="s">
        <v>393</v>
      </c>
      <c r="F15" s="297" t="s">
        <v>394</v>
      </c>
    </row>
    <row r="16" spans="1:6" ht="51">
      <c r="A16" s="297" t="s">
        <v>395</v>
      </c>
      <c r="B16" s="299" t="s">
        <v>378</v>
      </c>
      <c r="C16" s="299" t="s">
        <v>396</v>
      </c>
      <c r="D16" s="297" t="s">
        <v>397</v>
      </c>
      <c r="E16" s="297" t="s">
        <v>398</v>
      </c>
      <c r="F16" s="297" t="s">
        <v>399</v>
      </c>
    </row>
    <row r="17" spans="1:6" ht="25.5">
      <c r="A17" s="297" t="s">
        <v>400</v>
      </c>
      <c r="B17" s="299" t="s">
        <v>378</v>
      </c>
      <c r="C17" s="299" t="s">
        <v>396</v>
      </c>
      <c r="D17" s="297" t="s">
        <v>401</v>
      </c>
      <c r="E17" s="297" t="s">
        <v>375</v>
      </c>
      <c r="F17" s="297" t="s">
        <v>402</v>
      </c>
    </row>
    <row r="18" spans="1:6" ht="38.25">
      <c r="A18" s="297" t="s">
        <v>403</v>
      </c>
      <c r="B18" s="299" t="s">
        <v>378</v>
      </c>
      <c r="C18" s="299" t="s">
        <v>396</v>
      </c>
      <c r="D18" s="297" t="s">
        <v>404</v>
      </c>
      <c r="E18" s="297" t="s">
        <v>405</v>
      </c>
      <c r="F18" s="297" t="s">
        <v>406</v>
      </c>
    </row>
    <row r="19" spans="1:6" ht="38.25">
      <c r="A19" s="297" t="s">
        <v>407</v>
      </c>
      <c r="B19" s="299" t="s">
        <v>390</v>
      </c>
      <c r="C19" s="299" t="s">
        <v>396</v>
      </c>
      <c r="D19" s="297" t="s">
        <v>408</v>
      </c>
      <c r="E19" s="297" t="s">
        <v>409</v>
      </c>
      <c r="F19" s="297" t="s">
        <v>410</v>
      </c>
    </row>
    <row r="20" spans="1:6" ht="51">
      <c r="A20" s="297" t="s">
        <v>411</v>
      </c>
      <c r="B20" s="299" t="s">
        <v>390</v>
      </c>
      <c r="C20" s="299" t="s">
        <v>396</v>
      </c>
      <c r="D20" s="297" t="s">
        <v>412</v>
      </c>
      <c r="E20" s="297" t="s">
        <v>413</v>
      </c>
      <c r="F20" s="297" t="s">
        <v>414</v>
      </c>
    </row>
    <row r="21" spans="1:6" ht="25.5">
      <c r="A21" s="297" t="s">
        <v>415</v>
      </c>
      <c r="B21" s="299" t="s">
        <v>390</v>
      </c>
      <c r="C21" s="299" t="s">
        <v>396</v>
      </c>
      <c r="D21" s="297" t="s">
        <v>416</v>
      </c>
      <c r="E21" s="297" t="s">
        <v>417</v>
      </c>
      <c r="F21" s="297" t="s">
        <v>418</v>
      </c>
    </row>
    <row r="23" spans="1:6">
      <c r="A23" s="295" t="s">
        <v>419</v>
      </c>
    </row>
    <row r="24" spans="1:6" ht="27" customHeight="1">
      <c r="A24" s="448" t="s">
        <v>420</v>
      </c>
      <c r="B24" s="448"/>
      <c r="C24" s="448"/>
      <c r="D24" s="448"/>
      <c r="E24" s="448"/>
      <c r="F24" s="448"/>
    </row>
    <row r="25" spans="1:6" ht="27" customHeight="1">
      <c r="A25" s="448" t="s">
        <v>421</v>
      </c>
      <c r="B25" s="448"/>
      <c r="C25" s="448"/>
      <c r="D25" s="448"/>
      <c r="E25" s="448"/>
      <c r="F25" s="448"/>
    </row>
    <row r="26" spans="1:6" ht="27" customHeight="1">
      <c r="A26" s="448" t="s">
        <v>422</v>
      </c>
      <c r="B26" s="448"/>
      <c r="C26" s="448"/>
      <c r="D26" s="448"/>
      <c r="E26" s="448"/>
      <c r="F26" s="448"/>
    </row>
    <row r="27" spans="1:6" ht="27" customHeight="1">
      <c r="A27" s="448" t="s">
        <v>423</v>
      </c>
      <c r="B27" s="448"/>
      <c r="C27" s="448"/>
      <c r="D27" s="448"/>
      <c r="E27" s="448"/>
      <c r="F27" s="448"/>
    </row>
    <row r="28" spans="1:6" ht="27" customHeight="1">
      <c r="A28" s="448" t="s">
        <v>424</v>
      </c>
      <c r="B28" s="448"/>
      <c r="C28" s="448"/>
      <c r="D28" s="448"/>
      <c r="E28" s="448"/>
      <c r="F28" s="448"/>
    </row>
    <row r="29" spans="1:6" ht="27" customHeight="1">
      <c r="A29" s="448" t="s">
        <v>425</v>
      </c>
      <c r="B29" s="448"/>
      <c r="C29" s="448"/>
      <c r="D29" s="448"/>
      <c r="E29" s="448"/>
      <c r="F29" s="448"/>
    </row>
    <row r="30" spans="1:6" ht="27" customHeight="1">
      <c r="A30" s="448" t="s">
        <v>426</v>
      </c>
      <c r="B30" s="448"/>
      <c r="C30" s="448"/>
      <c r="D30" s="448"/>
      <c r="E30" s="448"/>
      <c r="F30" s="448"/>
    </row>
    <row r="31" spans="1:6" ht="27" customHeight="1">
      <c r="A31" s="448" t="s">
        <v>427</v>
      </c>
      <c r="B31" s="448"/>
      <c r="C31" s="448"/>
      <c r="D31" s="448"/>
      <c r="E31" s="448"/>
      <c r="F31" s="448"/>
    </row>
  </sheetData>
  <mergeCells count="13">
    <mergeCell ref="A24:F24"/>
    <mergeCell ref="A3:F3"/>
    <mergeCell ref="A4:F4"/>
    <mergeCell ref="A5:F5"/>
    <mergeCell ref="A6:F6"/>
    <mergeCell ref="A7:F7"/>
    <mergeCell ref="A31:F31"/>
    <mergeCell ref="A25:F25"/>
    <mergeCell ref="A26:F26"/>
    <mergeCell ref="A27:F27"/>
    <mergeCell ref="A28:F28"/>
    <mergeCell ref="A29:F29"/>
    <mergeCell ref="A30:F30"/>
  </mergeCells>
  <pageMargins left="0.7" right="0.7" top="0.75" bottom="0.75" header="0.3" footer="0.3"/>
  <pageSetup paperSize="9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5</vt:i4>
      </vt:variant>
    </vt:vector>
  </HeadingPairs>
  <TitlesOfParts>
    <vt:vector size="13" baseType="lpstr">
      <vt:lpstr>Лист2</vt:lpstr>
      <vt:lpstr>Лист3</vt:lpstr>
      <vt:lpstr>адм.рас.</vt:lpstr>
      <vt:lpstr>зат.осн.про.</vt:lpstr>
      <vt:lpstr>нак.расх.</vt:lpstr>
      <vt:lpstr>выбытие денег </vt:lpstr>
      <vt:lpstr>ФОТ</vt:lpstr>
      <vt:lpstr>Обоснование ставок</vt:lpstr>
      <vt:lpstr>'выбытие денег '!Print_Area</vt:lpstr>
      <vt:lpstr>нак.расх.!Print_Area</vt:lpstr>
      <vt:lpstr>ФОТ!Print_Area</vt:lpstr>
      <vt:lpstr>ФОТ!принтареа2</vt:lpstr>
      <vt:lpstr>ФОТ!принтареа3</vt:lpstr>
    </vt:vector>
  </TitlesOfParts>
  <Company>CACF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edossetov</dc:creator>
  <cp:lastModifiedBy>Temirbekov</cp:lastModifiedBy>
  <cp:lastPrinted>2025-12-02T12:54:18Z</cp:lastPrinted>
  <dcterms:created xsi:type="dcterms:W3CDTF">2015-09-03T10:03:30Z</dcterms:created>
  <dcterms:modified xsi:type="dcterms:W3CDTF">2026-10-20T07:49:40Z</dcterms:modified>
</cp:coreProperties>
</file>