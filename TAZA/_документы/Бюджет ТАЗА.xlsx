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3" l="1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8" i="3" l="1"/>
  <c r="G38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7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4" i="1" s="1"/>
  <c r="B15" i="1" s="1"/>
  <c r="M37" i="3"/>
  <c r="B16" i="1" l="1"/>
  <c r="B17" i="1" s="1"/>
  <c r="B19" i="1" s="1"/>
  <c r="O37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<sst xmlns="http://schemas.openxmlformats.org/spreadsheetml/2006/main" count="913" uniqueCount="488">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</sst>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376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345</v>
      </c>
      <c r="B4" s="37">
        <f>SUMIF(Штат!E5:E36,"штат",Штат!G5:G36)</f>
        <v>24</v>
      </c>
    </row>
    <row r="5" spans="1:2" x14ac:dyDescent="0.25">
      <c r="A5" s="36" t="s">
        <v>346</v>
      </c>
      <c r="B5" s="37">
        <f>Штат!G38</f>
        <v>17</v>
      </c>
    </row>
    <row r="6" spans="1:2" x14ac:dyDescent="0.25">
      <c r="A6" s="36" t="s">
        <v>347</v>
      </c>
      <c r="B6" s="38">
        <f>SUMIFS(Штат!M5:M36,Штат!E5:E36,"штат")</f>
        <v>61795688</v>
      </c>
    </row>
    <row r="7" spans="1:2" ht="30" x14ac:dyDescent="0.25">
      <c r="A7" s="36" t="s">
        <v>408</v>
      </c>
      <c r="B7" s="38">
        <f>Аутсорс!J11</f>
        <v>12098200</v>
      </c>
    </row>
    <row r="8" spans="1:2" x14ac:dyDescent="0.25">
      <c r="A8" s="36" t="s">
        <v>374</v>
      </c>
      <c r="B8" s="38">
        <f>Штат!N37</f>
        <v>667619.04761904769</v>
      </c>
    </row>
    <row r="9" spans="1:2" x14ac:dyDescent="0.25">
      <c r="A9" s="36" t="s">
        <v>348</v>
      </c>
      <c r="B9" s="38">
        <f>Командировки!G12</f>
        <v>4108650</v>
      </c>
    </row>
    <row r="10" spans="1:2" ht="30" x14ac:dyDescent="0.25">
      <c r="A10" s="36" t="s">
        <v>349</v>
      </c>
      <c r="B10" s="38">
        <f>SUMIFS('Оснащение и офис'!I5:I60,'Оснащение и офис'!A5:A60,"Оснащение")</f>
        <v>22439688</v>
      </c>
    </row>
    <row r="11" spans="1:2" ht="30" x14ac:dyDescent="0.25">
      <c r="A11" s="36" t="s">
        <v>364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350</v>
      </c>
      <c r="B12" s="38">
        <f>SUMIFS('Оснащение и офис'!I5:I60,'Оснащение и офис'!A5:A60,"Цифровые")</f>
        <v>491000</v>
      </c>
    </row>
    <row r="13" spans="1:2" x14ac:dyDescent="0.25">
      <c r="A13" s="36" t="s">
        <v>351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352</v>
      </c>
      <c r="B14" s="40">
        <f>B6+B7+B8+B9+B10+B11+B12+B13</f>
        <v>121153508.54439324</v>
      </c>
    </row>
    <row r="15" spans="1:2" ht="30" x14ac:dyDescent="0.25">
      <c r="A15" s="36" t="s">
        <v>375</v>
      </c>
      <c r="B15" s="38">
        <f>B14*Резерв+SUMIFS('Оснащение и офис'!I5:I60,'Оснащение и офис'!A5:A60,"Прочие")</f>
        <v>12182017.521105992</v>
      </c>
    </row>
    <row r="16" spans="1:2" x14ac:dyDescent="0.25">
      <c r="A16" s="36" t="s">
        <v>288</v>
      </c>
      <c r="B16" s="38">
        <f>(B14+B15)*НДС</f>
        <v>21333684.170479879</v>
      </c>
    </row>
    <row r="17" spans="1:2" x14ac:dyDescent="0.25">
      <c r="A17" s="41" t="s">
        <v>353</v>
      </c>
      <c r="B17" s="42">
        <f>B14+B15+B16</f>
        <v>154669210.23597911</v>
      </c>
    </row>
    <row r="18" spans="1:2" x14ac:dyDescent="0.25">
      <c r="A18" s="39" t="s">
        <v>354</v>
      </c>
      <c r="B18" s="40">
        <f>Проекты!G13</f>
        <v>87234320</v>
      </c>
    </row>
    <row r="19" spans="1:2" x14ac:dyDescent="0.25">
      <c r="A19" s="43" t="s">
        <v>355</v>
      </c>
      <c r="B19" s="44">
        <f>B17+B18</f>
        <v>241903530.23597911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372</v>
      </c>
      <c r="B15" s="8">
        <f>ROUND(0.29%*12*SUMIFS(Штат!$H$5:$H$36,Штат!$E$5:$E$36,"штат",Штат!$F$5:$F$36,"новая"),-3)</f>
        <v>701000</v>
      </c>
      <c r="C15" t="s">
        <v>407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343</v>
      </c>
    </row>
    <row r="38" spans="1:3" ht="15" customHeight="1" x14ac:dyDescent="0.25">
      <c r="A38" t="s">
        <v>344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410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9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411</v>
      </c>
      <c r="M4" s="3" t="s">
        <v>77</v>
      </c>
      <c r="N4" s="3" t="s">
        <v>373</v>
      </c>
      <c r="O4" s="3" t="s">
        <v>78</v>
      </c>
      <c r="P4" s="3" t="s">
        <v>331</v>
      </c>
      <c r="Q4" s="4"/>
    </row>
    <row r="5" spans="1:17" ht="90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483</v>
      </c>
    </row>
    <row r="6" spans="1:17" ht="60" x14ac:dyDescent="0.25">
      <c r="A6" s="16">
        <v>2</v>
      </c>
      <c r="B6" s="16" t="s">
        <v>274</v>
      </c>
      <c r="C6" s="17" t="s">
        <v>478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479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378</v>
      </c>
    </row>
    <row r="8" spans="1:17" ht="90" x14ac:dyDescent="0.25">
      <c r="A8" s="16">
        <v>4</v>
      </c>
      <c r="B8" s="16" t="s">
        <v>215</v>
      </c>
      <c r="C8" s="17" t="s">
        <v>380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33380.952380952382</v>
      </c>
      <c r="O8" s="18">
        <f t="shared" si="5"/>
        <v>3222720.9523809524</v>
      </c>
      <c r="P8" s="17" t="s">
        <v>381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33380.952380952382</v>
      </c>
      <c r="O9" s="18">
        <f t="shared" ref="O9:O11" si="10">M9+N9</f>
        <v>2999160.9523809524</v>
      </c>
      <c r="P9" s="17" t="s">
        <v>394</v>
      </c>
    </row>
    <row r="10" spans="1:17" ht="60" x14ac:dyDescent="0.25">
      <c r="A10" s="16">
        <v>6</v>
      </c>
      <c r="B10" s="16" t="s">
        <v>246</v>
      </c>
      <c r="C10" s="17" t="s">
        <v>395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33380.952380952382</v>
      </c>
      <c r="O10" s="18">
        <f t="shared" si="10"/>
        <v>2328480.9523809524</v>
      </c>
      <c r="P10" s="17" t="s">
        <v>396</v>
      </c>
    </row>
    <row r="11" spans="1:17" ht="30" x14ac:dyDescent="0.25">
      <c r="A11" s="20">
        <v>6</v>
      </c>
      <c r="B11" s="20" t="s">
        <v>246</v>
      </c>
      <c r="C11" s="21" t="s">
        <v>397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398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33380.952380952382</v>
      </c>
      <c r="O12" s="18">
        <f t="shared" si="5"/>
        <v>2328480.9523809524</v>
      </c>
      <c r="P12" s="17" t="s">
        <v>335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33380.952380952382</v>
      </c>
      <c r="O13" s="18">
        <f t="shared" si="5"/>
        <v>2552040.9523809524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33380.952380952382</v>
      </c>
      <c r="O14" s="18">
        <f t="shared" si="5"/>
        <v>2328480.9523809524</v>
      </c>
      <c r="P14" s="17" t="s">
        <v>382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33380.952380952382</v>
      </c>
      <c r="O15" s="18">
        <f t="shared" si="5"/>
        <v>2328480.9523809524</v>
      </c>
      <c r="P15" s="17" t="s">
        <v>383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33380.952380952382</v>
      </c>
      <c r="O16" s="18">
        <f t="shared" si="5"/>
        <v>2328480.9523809524</v>
      </c>
      <c r="P16" s="17" t="s">
        <v>384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33380.952380952382</v>
      </c>
      <c r="O17" s="18">
        <f t="shared" ref="O17:O18" si="18">M17+N17</f>
        <v>1180930.9523809524</v>
      </c>
      <c r="P17" s="17" t="s">
        <v>392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33380.952380952382</v>
      </c>
      <c r="O18" s="18">
        <f t="shared" si="18"/>
        <v>845590.95238095243</v>
      </c>
      <c r="P18" s="17" t="s">
        <v>393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33380.952380952382</v>
      </c>
      <c r="O19" s="18">
        <f t="shared" si="5"/>
        <v>1657800.9523809524</v>
      </c>
      <c r="P19" s="17" t="s">
        <v>391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33380.952380952382</v>
      </c>
      <c r="O20" s="18">
        <f t="shared" si="5"/>
        <v>2999160.9523809524</v>
      </c>
      <c r="P20" s="17" t="s">
        <v>385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33380.952380952382</v>
      </c>
      <c r="O22" s="18">
        <f t="shared" si="5"/>
        <v>2999160.9523809524</v>
      </c>
      <c r="P22" s="17" t="s">
        <v>387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33380.952380952382</v>
      </c>
      <c r="O23" s="18">
        <f t="shared" si="5"/>
        <v>2328480.9523809524</v>
      </c>
      <c r="P23" s="17" t="s">
        <v>386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389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33380.952380952382</v>
      </c>
      <c r="O26" s="18">
        <f t="shared" si="5"/>
        <v>1657800.9523809524</v>
      </c>
      <c r="P26" s="17" t="s">
        <v>390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33380.952380952382</v>
      </c>
      <c r="O27" s="18">
        <f t="shared" si="5"/>
        <v>2328480.9523809524</v>
      </c>
      <c r="P27" s="17" t="s">
        <v>388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33380.952380952382</v>
      </c>
      <c r="O28" s="18">
        <f t="shared" si="5"/>
        <v>1657800.9523809524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336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33380.952380952382</v>
      </c>
      <c r="O31" s="18">
        <f t="shared" si="5"/>
        <v>1657800.9523809524</v>
      </c>
      <c r="P31" s="17" t="s">
        <v>213</v>
      </c>
    </row>
    <row r="32" spans="1:16" ht="45" x14ac:dyDescent="0.25">
      <c r="A32" s="16">
        <v>35</v>
      </c>
      <c r="B32" s="16" t="s">
        <v>379</v>
      </c>
      <c r="C32" s="17" t="s">
        <v>486</v>
      </c>
      <c r="D32" s="17" t="s">
        <v>482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377</v>
      </c>
    </row>
    <row r="33" spans="1:16" s="79" customFormat="1" ht="45" x14ac:dyDescent="0.25">
      <c r="A33" s="16">
        <v>35</v>
      </c>
      <c r="B33" s="16" t="s">
        <v>379</v>
      </c>
      <c r="C33" s="17" t="s">
        <v>487</v>
      </c>
      <c r="D33" s="17" t="s">
        <v>482</v>
      </c>
      <c r="E33" s="16" t="s">
        <v>80</v>
      </c>
      <c r="F33" s="16" t="s">
        <v>83</v>
      </c>
      <c r="G33" s="16">
        <v>1</v>
      </c>
      <c r="H33" s="18">
        <v>615000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100122</v>
      </c>
      <c r="K33" s="18">
        <f t="shared" ref="K33" si="28">G33*(H33+J33)</f>
        <v>715122</v>
      </c>
      <c r="L33" s="19">
        <f t="shared" ref="L33" si="29">IF(AND(F33="новая",I33=1),Мес_2026_новые,MAX(0,4-I33))</f>
        <v>2</v>
      </c>
      <c r="M33" s="18">
        <f t="shared" ref="M33" si="30">K33*L33</f>
        <v>1430244</v>
      </c>
      <c r="N33" s="18">
        <f t="shared" si="4"/>
        <v>33380.952380952382</v>
      </c>
      <c r="O33" s="18">
        <f t="shared" ref="O33" si="31">M33+N33</f>
        <v>1463624.9523809524</v>
      </c>
      <c r="P33" s="17" t="s">
        <v>484</v>
      </c>
    </row>
    <row r="34" spans="1:16" s="79" customFormat="1" ht="45" x14ac:dyDescent="0.25">
      <c r="A34" s="16">
        <v>35</v>
      </c>
      <c r="B34" s="16" t="s">
        <v>379</v>
      </c>
      <c r="C34" s="17" t="s">
        <v>487</v>
      </c>
      <c r="D34" s="17" t="s">
        <v>482</v>
      </c>
      <c r="E34" s="16" t="s">
        <v>80</v>
      </c>
      <c r="F34" s="16" t="s">
        <v>83</v>
      </c>
      <c r="G34" s="16">
        <v>1</v>
      </c>
      <c r="H34" s="18">
        <v>615000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100122</v>
      </c>
      <c r="K34" s="18">
        <f t="shared" ref="K34" si="33">G34*(H34+J34)</f>
        <v>715122</v>
      </c>
      <c r="L34" s="19">
        <f t="shared" ref="L34" si="34">IF(AND(F34="новая",I34=1),Мес_2026_новые,MAX(0,4-I34))</f>
        <v>2</v>
      </c>
      <c r="M34" s="18">
        <f t="shared" ref="M34" si="35">K34*L34</f>
        <v>1430244</v>
      </c>
      <c r="N34" s="18">
        <f t="shared" si="4"/>
        <v>33380.952380952382</v>
      </c>
      <c r="O34" s="18">
        <f t="shared" ref="O34" si="36">M34+N34</f>
        <v>1463624.9523809524</v>
      </c>
      <c r="P34" s="17" t="s">
        <v>485</v>
      </c>
    </row>
    <row r="35" spans="1:16" ht="30" x14ac:dyDescent="0.25">
      <c r="A35" s="20">
        <v>36</v>
      </c>
      <c r="B35" s="20" t="s">
        <v>280</v>
      </c>
      <c r="C35" s="21" t="s">
        <v>281</v>
      </c>
      <c r="D35" s="21" t="s">
        <v>214</v>
      </c>
      <c r="E35" s="20" t="s">
        <v>255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307</v>
      </c>
    </row>
    <row r="36" spans="1:16" ht="30" x14ac:dyDescent="0.25">
      <c r="A36" s="20">
        <v>37</v>
      </c>
      <c r="B36" s="20" t="s">
        <v>280</v>
      </c>
      <c r="C36" s="21" t="s">
        <v>282</v>
      </c>
      <c r="D36" s="21" t="s">
        <v>214</v>
      </c>
      <c r="E36" s="20" t="s">
        <v>255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308</v>
      </c>
    </row>
    <row r="37" spans="1:16" x14ac:dyDescent="0.25">
      <c r="A37" s="7"/>
      <c r="B37" s="7"/>
      <c r="C37" s="7" t="s">
        <v>332</v>
      </c>
      <c r="D37" s="7"/>
      <c r="E37" s="7"/>
      <c r="F37" s="7"/>
      <c r="G37" s="7">
        <f>SUM(G5:G36)</f>
        <v>24</v>
      </c>
      <c r="H37" s="6">
        <f>SUMPRODUCT(G5:G36,H5:H36)</f>
        <v>24930000</v>
      </c>
      <c r="I37" s="7"/>
      <c r="J37" s="6"/>
      <c r="K37" s="6">
        <f>SUM(K5:K36)</f>
        <v>28576604</v>
      </c>
      <c r="L37" s="7"/>
      <c r="M37" s="6">
        <f>SUM(M5:M36)</f>
        <v>61795688</v>
      </c>
      <c r="N37" s="6">
        <f t="shared" ref="N37:O37" si="37">SUM(N5:N36)</f>
        <v>667619.04761904769</v>
      </c>
      <c r="O37" s="6">
        <f t="shared" si="37"/>
        <v>62463307.047619075</v>
      </c>
      <c r="P37" s="7"/>
    </row>
    <row r="38" spans="1:16" x14ac:dyDescent="0.25">
      <c r="C38" t="s">
        <v>333</v>
      </c>
      <c r="G38">
        <f>SUM(G8:G12)+SUM(G13:G29)</f>
        <v>17</v>
      </c>
      <c r="H38" s="5">
        <f>SUMPRODUCT(G8:G12,H8:H12)+SUMPRODUCT(G13:G29,H13:H29)</f>
        <v>17200000</v>
      </c>
    </row>
    <row r="39" spans="1:16" x14ac:dyDescent="0.25">
      <c r="C39" t="s">
        <v>334</v>
      </c>
      <c r="G39">
        <f>G37-G38</f>
        <v>7</v>
      </c>
      <c r="H39" s="5">
        <f>H37-H38</f>
        <v>7730000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480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481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399</v>
      </c>
      <c r="C9" s="27" t="s">
        <v>400</v>
      </c>
      <c r="D9" s="27" t="s">
        <v>401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418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402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2</v>
      </c>
      <c r="G8" s="5">
        <f t="shared" si="0"/>
        <v>712125</v>
      </c>
    </row>
    <row r="9" spans="1:7" ht="27.75" customHeight="1" x14ac:dyDescent="0.25">
      <c r="A9" s="4" t="s">
        <v>403</v>
      </c>
      <c r="C9">
        <f>SUMIFS(Штат!$G$5:$G$36,Штат!$B$5:$B$36,"Департамент проектного управления*",Штат!$E$5:$E$36,"штат")</f>
        <v>7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404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338</v>
      </c>
    </row>
    <row r="2" spans="1:9" ht="15" customHeight="1" x14ac:dyDescent="0.25">
      <c r="A2" s="2" t="s">
        <v>339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405</v>
      </c>
      <c r="I5" s="5">
        <f t="shared" ref="I5:I42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21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4200000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357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832000</v>
      </c>
      <c r="F14" s="9" t="s">
        <v>101</v>
      </c>
      <c r="G14" s="9">
        <v>1</v>
      </c>
      <c r="H14" s="4" t="s">
        <v>227</v>
      </c>
      <c r="I14" s="5">
        <f t="shared" si="0"/>
        <v>832000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23</v>
      </c>
      <c r="E24" s="10">
        <f>ROUND(4118/(1+НДС),0)</f>
        <v>3550</v>
      </c>
      <c r="F24" s="9" t="s">
        <v>101</v>
      </c>
      <c r="G24" s="9">
        <v>1</v>
      </c>
      <c r="H24" s="4" t="s">
        <v>406</v>
      </c>
      <c r="I24" s="5">
        <f t="shared" si="0"/>
        <v>81650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358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359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409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412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413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414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415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416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417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360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368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369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370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371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21</v>
      </c>
      <c r="E52" s="10">
        <v>7000</v>
      </c>
      <c r="F52" s="9" t="s">
        <v>121</v>
      </c>
      <c r="G52" s="9">
        <v>2</v>
      </c>
      <c r="H52" s="4" t="s">
        <v>361</v>
      </c>
      <c r="I52" s="5">
        <f t="shared" si="4"/>
        <v>294000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362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363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474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475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476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477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473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342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419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426</v>
      </c>
      <c r="B5" s="54" t="s">
        <v>427</v>
      </c>
      <c r="C5" s="55" t="s">
        <v>428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429</v>
      </c>
      <c r="B6" s="57" t="s">
        <v>430</v>
      </c>
      <c r="C6" s="55" t="s">
        <v>431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432</v>
      </c>
      <c r="B7" s="57" t="s">
        <v>433</v>
      </c>
      <c r="C7" s="55" t="s">
        <v>431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434</v>
      </c>
      <c r="B8" s="57" t="s">
        <v>435</v>
      </c>
      <c r="C8" s="55" t="s">
        <v>431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436</v>
      </c>
      <c r="B9" s="57" t="s">
        <v>437</v>
      </c>
      <c r="C9" s="55" t="s">
        <v>431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438</v>
      </c>
      <c r="B10" s="57" t="s">
        <v>439</v>
      </c>
      <c r="C10" s="55" t="s">
        <v>431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440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441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442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F14</f>
        <v>5530000</v>
      </c>
    </row>
    <row r="5" spans="1:12" x14ac:dyDescent="0.2">
      <c r="A5" s="51" t="s">
        <v>426</v>
      </c>
      <c r="B5" s="57" t="s">
        <v>443</v>
      </c>
      <c r="C5" s="55" t="s">
        <v>444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429</v>
      </c>
      <c r="B6" s="57" t="s">
        <v>445</v>
      </c>
      <c r="C6" s="55" t="s">
        <v>444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432</v>
      </c>
      <c r="B7" s="57" t="s">
        <v>446</v>
      </c>
      <c r="C7" s="55" t="s">
        <v>444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434</v>
      </c>
      <c r="B8" s="57" t="s">
        <v>447</v>
      </c>
      <c r="C8" s="55" t="s">
        <v>448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436</v>
      </c>
      <c r="B9" s="57" t="s">
        <v>449</v>
      </c>
      <c r="C9" s="55" t="s">
        <v>450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438</v>
      </c>
      <c r="B10" s="57" t="s">
        <v>451</v>
      </c>
      <c r="C10" s="55" t="s">
        <v>450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452</v>
      </c>
      <c r="C11" s="55" t="s">
        <v>450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438</v>
      </c>
      <c r="B12" s="57" t="s">
        <v>435</v>
      </c>
      <c r="C12" s="55" t="s">
        <v>448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453</v>
      </c>
      <c r="B13" s="75" t="s">
        <v>454</v>
      </c>
      <c r="C13" s="76" t="s">
        <v>428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440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441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455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F8</f>
        <v>14900000</v>
      </c>
    </row>
    <row r="5" spans="1:12" x14ac:dyDescent="0.2">
      <c r="A5" s="51" t="s">
        <v>426</v>
      </c>
      <c r="B5" s="57" t="s">
        <v>456</v>
      </c>
      <c r="C5" s="55" t="s">
        <v>457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429</v>
      </c>
      <c r="B6" s="57" t="s">
        <v>458</v>
      </c>
      <c r="C6" s="55" t="s">
        <v>459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432</v>
      </c>
      <c r="B7" s="57" t="s">
        <v>460</v>
      </c>
      <c r="C7" s="55" t="s">
        <v>459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440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441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461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426</v>
      </c>
      <c r="B5" s="57" t="s">
        <v>462</v>
      </c>
      <c r="C5" s="55" t="s">
        <v>448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429</v>
      </c>
      <c r="B6" s="57" t="s">
        <v>463</v>
      </c>
      <c r="C6" s="55" t="s">
        <v>457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432</v>
      </c>
      <c r="B7" s="57" t="s">
        <v>464</v>
      </c>
      <c r="C7" s="55" t="s">
        <v>448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434</v>
      </c>
      <c r="B8" s="57" t="s">
        <v>465</v>
      </c>
      <c r="C8" s="55" t="s">
        <v>448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436</v>
      </c>
      <c r="B9" s="57" t="s">
        <v>466</v>
      </c>
      <c r="C9" s="55" t="s">
        <v>448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438</v>
      </c>
      <c r="B10" s="57" t="s">
        <v>467</v>
      </c>
      <c r="C10" s="55" t="s">
        <v>448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453</v>
      </c>
      <c r="B11" s="57" t="s">
        <v>468</v>
      </c>
      <c r="C11" s="55" t="s">
        <v>450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440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441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469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F7</f>
        <v>11300000</v>
      </c>
    </row>
    <row r="5" spans="1:12" x14ac:dyDescent="0.2">
      <c r="A5" s="51" t="s">
        <v>426</v>
      </c>
      <c r="B5" s="57" t="s">
        <v>470</v>
      </c>
      <c r="C5" s="55" t="s">
        <v>448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429</v>
      </c>
      <c r="B6" s="57" t="s">
        <v>471</v>
      </c>
      <c r="C6" s="55" t="s">
        <v>457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440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441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0" t="s">
        <v>472</v>
      </c>
      <c r="B1" s="80"/>
      <c r="C1" s="80"/>
      <c r="D1" s="80"/>
      <c r="E1" s="80"/>
      <c r="F1" s="81"/>
      <c r="G1" s="81"/>
      <c r="H1" s="81"/>
      <c r="I1" s="81"/>
      <c r="J1" s="81"/>
      <c r="K1" s="81"/>
      <c r="L1" s="81"/>
    </row>
    <row r="3" spans="1:12" ht="38.25" x14ac:dyDescent="0.2">
      <c r="A3" s="47" t="s">
        <v>66</v>
      </c>
      <c r="B3" s="48" t="s">
        <v>420</v>
      </c>
      <c r="C3" s="49" t="s">
        <v>421</v>
      </c>
      <c r="D3" s="49" t="s">
        <v>422</v>
      </c>
      <c r="E3" s="50" t="s">
        <v>423</v>
      </c>
      <c r="F3" s="50" t="s">
        <v>424</v>
      </c>
    </row>
    <row r="4" spans="1:12" x14ac:dyDescent="0.2">
      <c r="A4" s="51"/>
      <c r="B4" s="48" t="s">
        <v>425</v>
      </c>
      <c r="C4" s="49"/>
      <c r="D4" s="49"/>
      <c r="E4" s="52"/>
      <c r="F4" s="53">
        <f>F6</f>
        <v>14000000</v>
      </c>
    </row>
    <row r="5" spans="1:12" x14ac:dyDescent="0.2">
      <c r="A5" s="51" t="s">
        <v>426</v>
      </c>
      <c r="B5" s="57" t="s">
        <v>473</v>
      </c>
      <c r="C5" s="55" t="s">
        <v>448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440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441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367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365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366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2026-10-23T11:17:38Z</dcterms:modified>
  <dc:language>en-US</dc:language>
</cp:coreProperties>
</file>