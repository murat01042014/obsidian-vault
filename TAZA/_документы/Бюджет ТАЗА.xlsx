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Параметры!$B$24</definedName>
    <definedName name="Авиа_РК">Параметры!$B$17</definedName>
    <definedName name="Аренда_депозит">Параметры!$B$47</definedName>
    <definedName name="Аренда_мес">Параметры!$B$31</definedName>
    <definedName name="Аренда_мес_2026">Параметры!$B$48</definedName>
    <definedName name="Аренда_с_НДС">Параметры!$B$46</definedName>
    <definedName name="Депозит_мес">Параметры!$B$32</definedName>
    <definedName name="Дней_межд">Параметры!$B$27</definedName>
    <definedName name="Дней_РК">Параметры!$B$20</definedName>
    <definedName name="Кап_ООСМС">Параметры!$B$11</definedName>
    <definedName name="Кап_СО">Параметры!$B$9</definedName>
    <definedName name="Коммун_мес">Параметры!$B$43</definedName>
    <definedName name="Курс">Параметры!$B$15</definedName>
    <definedName name="Мес_2026_новые">Параметры!$B$51</definedName>
    <definedName name="МЗП">Параметры!$B$4</definedName>
    <definedName name="МРП">Параметры!$B$5</definedName>
    <definedName name="НДС">Параметры!$B$34</definedName>
    <definedName name="Ночей_межд">Параметры!$B$28</definedName>
    <definedName name="Ночей_РК">Параметры!$B$21</definedName>
    <definedName name="ОСНС">Параметры!$B$14</definedName>
    <definedName name="Отель_межд">Параметры!$B$25</definedName>
    <definedName name="Отель_РК">Параметры!$B$18</definedName>
    <definedName name="Парковка_мест">Параметры!$B$44</definedName>
    <definedName name="Парковка_цена">Параметры!$B$45</definedName>
    <definedName name="Площадь_офиса">Параметры!$B$41</definedName>
    <definedName name="Поездка_межд">Параметры!$B$30</definedName>
    <definedName name="Поездка_местн">Параметры!$B$23</definedName>
    <definedName name="Поездка_РК">Параметры!$B$22</definedName>
    <definedName name="Резерв">Параметры!$B$33</definedName>
    <definedName name="Сборка_мебели_проц">Параметры!$B$50</definedName>
    <definedName name="Ставка_аренды_м2">Параметры!$B$42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Параметры!$B$29</definedName>
    <definedName name="Сут_межд">Параметры!$B$26</definedName>
    <definedName name="Сут_РК">Параметры!$B$16</definedName>
    <definedName name="Трансп_РК">Параметры!$B$19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N29" i="3"/>
  <c r="N28" i="3"/>
  <c r="N24" i="3"/>
  <c r="N21" i="3"/>
  <c r="N20" i="3"/>
  <c r="N19" i="3"/>
  <c r="N16" i="3"/>
  <c r="E28" i="5" l="1"/>
  <c r="I28" i="5" s="1"/>
  <c r="B43" i="2"/>
  <c r="B41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9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N5" i="3"/>
  <c r="F6" i="4"/>
  <c r="N6" i="3"/>
  <c r="N7" i="3"/>
  <c r="B48" i="2"/>
  <c r="B51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N10" i="3" s="1"/>
  <c r="L29" i="3"/>
  <c r="L25" i="3"/>
  <c r="L21" i="3"/>
  <c r="L16" i="3"/>
  <c r="L12" i="3"/>
  <c r="N12" i="3" s="1"/>
  <c r="L11" i="3"/>
  <c r="L28" i="3"/>
  <c r="L24" i="3"/>
  <c r="L19" i="3"/>
  <c r="L27" i="3"/>
  <c r="L23" i="3"/>
  <c r="N23" i="3" s="1"/>
  <c r="L18" i="3"/>
  <c r="N18" i="3" s="1"/>
  <c r="L14" i="3"/>
  <c r="N14" i="3" s="1"/>
  <c r="L9" i="3"/>
  <c r="L26" i="3"/>
  <c r="N26" i="3" s="1"/>
  <c r="L22" i="3"/>
  <c r="N22" i="3" s="1"/>
  <c r="L17" i="3"/>
  <c r="L13" i="3"/>
  <c r="N13" i="3" s="1"/>
  <c r="E23" i="5"/>
  <c r="I23" i="5" s="1"/>
  <c r="E22" i="5"/>
  <c r="I22" i="5" s="1"/>
  <c r="E21" i="5"/>
  <c r="I21" i="5" s="1"/>
  <c r="E20" i="5"/>
  <c r="I20" i="5" s="1"/>
  <c r="F8" i="4" l="1"/>
  <c r="N9" i="3"/>
  <c r="F7" i="4"/>
  <c r="N8" i="3"/>
  <c r="F11" i="4"/>
  <c r="N17" i="3"/>
  <c r="N27" i="3"/>
  <c r="F10" i="4"/>
  <c r="N15" i="3"/>
  <c r="F9" i="4"/>
  <c r="N11" i="3"/>
  <c r="N25" i="3"/>
  <c r="J11" i="9"/>
  <c r="B7" i="1" s="1"/>
  <c r="M15" i="3"/>
  <c r="M10" i="3"/>
  <c r="O10" i="3" s="1"/>
  <c r="M20" i="3"/>
  <c r="O20" i="3" s="1"/>
  <c r="E14" i="5"/>
  <c r="I13" i="5"/>
  <c r="O15" i="3" l="1"/>
  <c r="B31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7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6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0" i="2"/>
  <c r="B23" i="2"/>
  <c r="B22" i="2"/>
  <c r="B14" i="1" l="1"/>
  <c r="B12" i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5" i="1" s="1"/>
  <c r="M30" i="3"/>
  <c r="B16" i="1" l="1"/>
  <c r="B17" i="1" s="1"/>
  <c r="B18" i="1" s="1"/>
  <c r="B20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6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3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<sst xmlns="http://schemas.openxmlformats.org/spreadsheetml/2006/main" count="716" uniqueCount="415">
  <si>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</si>
  <si>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</si>
  <si>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</si>
  <si>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</si>
  <si>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</si>
  <si>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</si>
  <si>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</si>
  <si>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</si>
  <si>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</si>
  <si>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</si>
  <si>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</si>
  <si>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</si>
  <si>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</si>
  <si>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</si>
  <si>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</si>
  <si>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</si>
  <si>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</si>
  <si>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</si>
  <si>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</si>
  <si>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</si>
  <si>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</si>
  <si>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</si>
  <si>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</si>
  <si>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</si>
  <si>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</si>
  <si>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</si>
  <si>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</si>
  <si>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</si>
  <si>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</si>
  <si>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</si>
  <si>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</si>
  <si>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</si>
  <si>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</si>
  <si>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</si>
  <si>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</si>
  <si>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</si>
  <si>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</si>
  <si>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</si>
  <si>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</si>
  <si>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</si>
  <si>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</si>
  <si>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</si>
  <si>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</si>
  <si>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</si>
  <si>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</si>
  <si>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</si>
  <si>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</si>
  <si>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</si>
  <si>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</si>
  <si>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</si>
  <si>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</si>
  <si>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</si>
  <si>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</si>
  <si>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</si>
  <si>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</si>
  <si>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</si>
  <si>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</si>
  <si>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</si>
  <si>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</si>
  <si>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</si>
  <si>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</si>
  <si>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</si>
  <si>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</si>
  <si>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</si>
  <si>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</si>
  <si>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</si>
  <si>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</si>
  <si>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</si>
  <si>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</si>
  <si>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</si>
  <si>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</si>
  <si>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</si>
  <si>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</si>
  <si>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</si>
  <si>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</si>
  <si>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</si>
  <si>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</si>
  <si>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</si>
  <si>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</si>
  <si>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</si>
  <si>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</si>
  <si>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</si>
  <si>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</si>
  <si>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</si>
  <si>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</si>
  <si>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</si>
  <si>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</si>
  <si>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</si>
  <si>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</si>
  <si>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</si>
  <si>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</si>
  <si>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</si>
  <si>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</si>
  <si>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</si>
  <si>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</si>
  <si>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</si>
  <si>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</si>
  <si>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</si>
  <si>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</si>
  <si>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</si>
  <si>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</si>
  <si>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</si>
  <si>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</si>
  <si>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</si>
  <si>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</si>
  <si>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</si>
  <si>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</si>
  <si>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</si>
  <si>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</si>
  <si>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</si>
  <si>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</si>
  <si>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</si>
  <si>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</si>
  <si>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</si>
  <si>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</si>
  <si>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</si>
  <si>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</si>
  <si>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</si>
  <si>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</si>
  <si>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</si>
  <si>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</si>
  <si>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</si>
  <si>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</si>
  <si>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</si>
  <si>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</si>
  <si>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</si>
  <si>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</si>
  <si>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</si>
  <si>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</si>
  <si>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</si>
  <si>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</si>
  <si>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</si>
  <si>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</si>
  <si>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</si>
  <si>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</si>
  <si>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</si>
  <si>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</si>
  <si>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</si>
  <si>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</si>
  <si>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</si>
  <si>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</si>
  <si>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</si>
  <si>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</si>
  <si>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</si>
  <si>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</si>
  <si>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</si>
  <si>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</si>
  <si>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</si>
  <si>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</si>
  <si>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</si>
  <si>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</si>
  <si>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</si>
  <si>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</si>
  <si>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</si>
  <si>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</si>
  <si>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</si>
  <si>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</si>
  <si>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</si>
  <si>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</si>
  <si>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</si>
  <si>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</si>
  <si>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</si>
  <si>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</si>
  <si>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</si>
  <si>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</si>
  <si>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</si>
  <si>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</si>
  <si>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</si>
  <si>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</si>
  <si>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</si>
  <si>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</si>
  <si>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</si>
  <si>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</si>
  <si>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</si>
  <si>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</si>
  <si>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</si>
  <si>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</si>
  <si>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</si>
  <si>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</si>
  <si>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</si>
  <si>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</si>
  <si>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</si>
  <si>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</si>
  <si>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</si>
  <si>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</si>
  <si>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</si>
  <si>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</si>
  <si>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</si>
  <si>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</si>
  <si>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</si>
  <si>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</si>
  <si>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</si>
  <si>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</si>
  <si>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</si>
  <si>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</si>
  <si>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</si>
  <si>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</si>
  <si>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</si>
  <si>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</si>
  <si>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</si>
  <si>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</si>
  <si>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</si>
  <si>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</si>
  <si>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</si>
  <si>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</si>
  <si>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</si>
  <si>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</si>
  <si>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</si>
  <si>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</si>
  <si>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</si>
  <si>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</si>
  <si>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</si>
  <si>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Резерв на непредвиденные расходы (10%)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</si>
  <si>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</si>
  <si>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</si>
  <si>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</si>
  <si>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</si>
  <si>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</si>
  <si>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</si>
  <si>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</si>
  <si>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</si>
  <si>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</si>
  <si>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</si>
  <si>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</si>
  <si>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</si>
  <si>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</si>
  <si>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</si>
  <si>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</si>
  <si>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</si>
  <si>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</si>
  <si>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</si>
  <si>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</si>
  <si>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</si>
  <si>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</si>
  <si>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</si>
  <si>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</si>
  <si>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</si>
  <si>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</si>
  <si>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</si>
  <si>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</si>
  <si>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</si>
  <si>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</si>
  <si>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</si>
  <si>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</si>
  <si>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</si>
  <si>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</si>
  <si>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</si>
  <si>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</si>
  <si>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</si>
  <si>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</si>
  <si>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</si>
  <si>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</si>
  <si>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</si>
  <si>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</si>
  <si>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</si>
  <si>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</si>
  <si>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</si>
  <si>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</si>
  <si>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</si>
  <si>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</si>
  <si>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</si>
  <si>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</si>
  <si>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</si>
  <si>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</si>
  <si>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</si>
  <si>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</si>
  <si>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</si>
  <si>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</si>
  <si>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</si>
  <si>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</si>
  <si>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</si>
  <si>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</si>
  <si>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</si>
  <si>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</si>
  <si>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</si>
  <si>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</si>
  <si>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</si>
  <si>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</si>
  <si>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</si>
  <si>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</si>
  <si>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</si>
  <si>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</si>
  <si>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</si>
  <si>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</si>
  <si>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</si>
  <si>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</si>
  <si>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</si>
  <si>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</si>
  <si>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</si>
  <si>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</si>
  <si>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</si>
  <si>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</si>
  <si>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</si>
  <si>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</si>
  <si>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</si>
  <si>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</si>
  <si>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</si>
  <si>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</si>
  <si>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</si>
  <si>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</si>
  <si>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</si>
  <si>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</si>
  <si>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</si>
  <si>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</si>
  <si>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</si>
  <si>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</si>
  <si>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</si>
  <si>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</si>
  <si>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</si>
  <si>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</si>
  <si>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</si>
  <si>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</si>
  <si>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</si>
  <si>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</si>
  <si>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</si>
  <si>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</si>
  <si>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</si>
  <si>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</si>
  <si>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</si>
  <si>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</si>
  <si>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</si>
  <si>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</si>
  <si>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</si>
  <si>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</si>
  <si>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</si>
  <si>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</si>
  <si>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</si>
  <si>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</si>
  <si>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</si>
  <si>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</si>
  <si>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</si>
  <si>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</si>
  <si>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</si>
  <si>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</si>
  <si>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</si>
  <si>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</si>
  <si>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</si>
  <si>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</si>
  <si>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</si>
  <si>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</si>
  <si>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</si>
  <si>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</si>
  <si>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</si>
  <si>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</si>
  <si>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</si>
  <si>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</si>
  <si>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</si>
  <si>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</si>
  <si>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</si>
  <si>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</si>
  <si>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</si>
  <si>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</si>
  <si>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</si>
  <si>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</si>
  <si>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</si>
  <si>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ОСНС окт–дек 2026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</si>
  <si>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</si>
  <si>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</si>
  <si>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</si>
  <si>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</si>
  <si>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</si>
  <si>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</si>
  <si>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</si>
  <si>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</si>
  <si>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</si>
  <si>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</si>
  <si>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</si>
  <si>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</si>
  <si>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</si>
  <si>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</si>
  <si>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</si>
  <si>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</si>
  <si>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</si>
  <si>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</si>
  <si>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</si>
  <si>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</si>
  <si>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</si>
  <si>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</si>
  <si>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</si>
  <si>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</si>
  <si>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</si>
  <si>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</si>
  <si>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</si>
  <si>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</si>
  <si>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</si>
  <si>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</si>
  <si>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</si>
  <si>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3. ОСНС штатных сотрудников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</si>
  <si>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</si>
  <si>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</si>
  <si>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</si>
  <si>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</si>
  <si>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</si>
  <si>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</si>
  <si>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</si>
  <si>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</si>
  <si>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</si>
  <si>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</si>
  <si>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</si>
  <si>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</si>
  <si>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</si>
  <si>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</si>
  <si>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</si>
  <si>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</si>
  <si>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</si>
  <si>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</si>
  <si>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</si>
  <si>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9. Прочие: нотариальные расходы, страхование фото- и видеооборудования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</si>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</sst>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0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382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383</v>
      </c>
      <c r="B4" s="37">
        <f>SUMIF(Штат!E5:E29,"штат",Штат!G5:G29)</f>
        <v>18</v>
      </c>
    </row>
    <row r="5" spans="1:2" x14ac:dyDescent="0.25">
      <c r="A5" s="36" t="s">
        <v>384</v>
      </c>
      <c r="B5" s="37">
        <f>Штат!G31</f>
        <v>12</v>
      </c>
    </row>
    <row r="6" spans="1:2" x14ac:dyDescent="0.25">
      <c r="A6" s="36" t="s">
        <v>385</v>
      </c>
      <c r="B6" s="38">
        <f>SUMIFS(Штат!M5:M29,Штат!E5:E29,"штат")</f>
        <v>58691747.741935484</v>
      </c>
    </row>
    <row r="7" spans="1:2" ht="30" x14ac:dyDescent="0.25">
      <c r="A7" s="36" t="s">
        <v>386</v>
      </c>
      <c r="B7" s="38">
        <f>Аутсорс!J11</f>
        <v>14567354.838709679</v>
      </c>
    </row>
    <row r="8" spans="1:2" x14ac:dyDescent="0.25">
      <c r="A8" s="36" t="s">
        <v>387</v>
      </c>
      <c r="B8" s="38">
        <f>Штат!N30</f>
        <v>104924.73118279572</v>
      </c>
    </row>
    <row r="9" spans="1:2" x14ac:dyDescent="0.25">
      <c r="A9" s="36" t="s">
        <v>388</v>
      </c>
      <c r="B9" s="38">
        <f>Командировки!G12</f>
        <v>3783804.032258065</v>
      </c>
    </row>
    <row r="10" spans="1:2" ht="30" x14ac:dyDescent="0.25">
      <c r="A10" s="36" t="s">
        <v>389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406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390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391</v>
      </c>
      <c r="B13" s="38">
        <f>SUMIFS('Оснащение и офис'!I5:I57,'Оснащение и офис'!A5:A57,"Медиа")</f>
        <v>2525000</v>
      </c>
    </row>
    <row r="14" spans="1:2" x14ac:dyDescent="0.25">
      <c r="A14" s="36" t="s">
        <v>407</v>
      </c>
      <c r="B14" s="38">
        <f>SUMIFS('Оснащение и офис'!I5:I57,'Оснащение и офис'!A5:A57,"Прочие")</f>
        <v>75000</v>
      </c>
    </row>
    <row r="15" spans="1:2" x14ac:dyDescent="0.25">
      <c r="A15" s="39" t="s">
        <v>392</v>
      </c>
      <c r="B15" s="40">
        <f>B6+B7+B8+B9+B10+B11+B12+B13+B14</f>
        <v>127037404.84086022</v>
      </c>
    </row>
    <row r="16" spans="1:2" x14ac:dyDescent="0.25">
      <c r="A16" s="36" t="s">
        <v>212</v>
      </c>
      <c r="B16" s="38">
        <f>B15*Резерв</f>
        <v>12703740.484086022</v>
      </c>
    </row>
    <row r="17" spans="1:2" x14ac:dyDescent="0.25">
      <c r="A17" s="36" t="s">
        <v>303</v>
      </c>
      <c r="B17" s="38">
        <f>(B15+B16)*НДС</f>
        <v>22358583.251991395</v>
      </c>
    </row>
    <row r="18" spans="1:2" x14ac:dyDescent="0.25">
      <c r="A18" s="41" t="s">
        <v>393</v>
      </c>
      <c r="B18" s="42">
        <f>B15+B16+B17</f>
        <v>162099728.57693762</v>
      </c>
    </row>
    <row r="19" spans="1:2" x14ac:dyDescent="0.25">
      <c r="A19" s="39" t="s">
        <v>394</v>
      </c>
      <c r="B19" s="40">
        <f>Проекты!G13</f>
        <v>87900271.420000002</v>
      </c>
    </row>
    <row r="20" spans="1:2" x14ac:dyDescent="0.25">
      <c r="A20" s="43" t="s">
        <v>395</v>
      </c>
      <c r="B20" s="44">
        <f>B18+B19</f>
        <v>249999999.99693763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1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28</v>
      </c>
      <c r="B15" s="8">
        <v>530</v>
      </c>
      <c r="C15" t="s">
        <v>29</v>
      </c>
    </row>
    <row r="16" spans="1:3" ht="15" customHeight="1" x14ac:dyDescent="0.25">
      <c r="A16" t="s">
        <v>30</v>
      </c>
      <c r="B16" s="8">
        <v>2</v>
      </c>
      <c r="C16" t="s">
        <v>31</v>
      </c>
    </row>
    <row r="17" spans="1:3" ht="15" customHeight="1" x14ac:dyDescent="0.25">
      <c r="A17" t="s">
        <v>32</v>
      </c>
      <c r="B17" s="8">
        <v>90000</v>
      </c>
      <c r="C17" t="s">
        <v>33</v>
      </c>
    </row>
    <row r="18" spans="1:3" ht="15" customHeight="1" x14ac:dyDescent="0.25">
      <c r="A18" t="s">
        <v>34</v>
      </c>
      <c r="B18" s="8">
        <v>30000</v>
      </c>
      <c r="C18" t="s">
        <v>35</v>
      </c>
    </row>
    <row r="19" spans="1:3" ht="15" customHeight="1" x14ac:dyDescent="0.25">
      <c r="A19" t="s">
        <v>36</v>
      </c>
      <c r="B19" s="8">
        <v>15000</v>
      </c>
      <c r="C19" t="s">
        <v>37</v>
      </c>
    </row>
    <row r="20" spans="1:3" ht="15" customHeight="1" x14ac:dyDescent="0.25">
      <c r="A20" t="s">
        <v>38</v>
      </c>
      <c r="B20" s="8">
        <v>3</v>
      </c>
      <c r="C20" t="s">
        <v>39</v>
      </c>
    </row>
    <row r="21" spans="1:3" ht="15" customHeight="1" x14ac:dyDescent="0.25">
      <c r="A21" t="s">
        <v>40</v>
      </c>
      <c r="B21" s="8">
        <v>2</v>
      </c>
      <c r="C21" t="s">
        <v>41</v>
      </c>
    </row>
    <row r="22" spans="1:3" ht="15" customHeight="1" x14ac:dyDescent="0.25">
      <c r="A22" t="s">
        <v>42</v>
      </c>
      <c r="B22" s="8">
        <f>Авиа_РК+Отель_РК*Ночей_РК+Сут_РК*МРП*Дней_РК+Трансп_РК</f>
        <v>190950</v>
      </c>
      <c r="C22" t="s">
        <v>43</v>
      </c>
    </row>
    <row r="23" spans="1:3" ht="15" customHeight="1" x14ac:dyDescent="0.25">
      <c r="A23" t="s">
        <v>44</v>
      </c>
      <c r="B23" s="8">
        <f>Трансп_РК+Сут_РК*МРП</f>
        <v>23650</v>
      </c>
      <c r="C23" t="s">
        <v>45</v>
      </c>
    </row>
    <row r="24" spans="1:3" ht="15" customHeight="1" x14ac:dyDescent="0.25">
      <c r="A24" t="s">
        <v>46</v>
      </c>
      <c r="B24" s="8">
        <v>900</v>
      </c>
      <c r="C24" t="s">
        <v>47</v>
      </c>
    </row>
    <row r="25" spans="1:3" ht="15" customHeight="1" x14ac:dyDescent="0.25">
      <c r="A25" t="s">
        <v>48</v>
      </c>
      <c r="B25" s="8">
        <v>150</v>
      </c>
      <c r="C25" t="s">
        <v>49</v>
      </c>
    </row>
    <row r="26" spans="1:3" ht="15" customHeight="1" x14ac:dyDescent="0.25">
      <c r="A26" t="s">
        <v>50</v>
      </c>
      <c r="B26" s="8">
        <v>150</v>
      </c>
      <c r="C26" t="s">
        <v>51</v>
      </c>
    </row>
    <row r="27" spans="1:3" ht="15" customHeight="1" x14ac:dyDescent="0.25">
      <c r="A27" t="s">
        <v>52</v>
      </c>
      <c r="B27" s="8">
        <v>5</v>
      </c>
      <c r="C27" t="s">
        <v>53</v>
      </c>
    </row>
    <row r="28" spans="1:3" ht="15" customHeight="1" x14ac:dyDescent="0.25">
      <c r="A28" t="s">
        <v>54</v>
      </c>
      <c r="B28" s="8">
        <v>4</v>
      </c>
      <c r="C28" t="s">
        <v>55</v>
      </c>
    </row>
    <row r="29" spans="1:3" ht="15" customHeight="1" x14ac:dyDescent="0.25">
      <c r="A29" t="s">
        <v>56</v>
      </c>
      <c r="B29" s="8">
        <v>50</v>
      </c>
      <c r="C29" t="s">
        <v>57</v>
      </c>
    </row>
    <row r="30" spans="1:3" ht="15" customHeight="1" x14ac:dyDescent="0.25">
      <c r="A30" t="s">
        <v>58</v>
      </c>
      <c r="B30" s="8">
        <f>(Авиа_межд+Отель_межд*Ночей_межд+Сут_межд*Дней_межд+Страх_межд)*Курс</f>
        <v>1219000</v>
      </c>
      <c r="C30" t="s">
        <v>59</v>
      </c>
    </row>
    <row r="31" spans="1:3" ht="15" customHeight="1" x14ac:dyDescent="0.25">
      <c r="A31" t="s">
        <v>60</v>
      </c>
      <c r="B31" s="8">
        <f>Площадь_офиса*Ставка_аренды_м2+Коммун_мес+Парковка_мест*Парковка_цена</f>
        <v>4909152.0999999996</v>
      </c>
      <c r="C31" t="s">
        <v>337</v>
      </c>
    </row>
    <row r="32" spans="1:3" ht="15" customHeight="1" x14ac:dyDescent="0.25">
      <c r="A32" t="s">
        <v>61</v>
      </c>
      <c r="B32" s="8">
        <v>1</v>
      </c>
      <c r="C32" t="s">
        <v>233</v>
      </c>
    </row>
    <row r="33" spans="1:3" ht="15" customHeight="1" x14ac:dyDescent="0.25">
      <c r="A33" t="s">
        <v>62</v>
      </c>
      <c r="B33" s="8">
        <v>0.1</v>
      </c>
      <c r="C33" t="s">
        <v>63</v>
      </c>
    </row>
    <row r="34" spans="1:3" ht="15" customHeight="1" x14ac:dyDescent="0.25">
      <c r="A34" t="s">
        <v>64</v>
      </c>
      <c r="B34" s="8">
        <v>0.16</v>
      </c>
      <c r="C34" t="s">
        <v>65</v>
      </c>
    </row>
    <row r="36" spans="1:3" ht="15" customHeight="1" x14ac:dyDescent="0.25">
      <c r="A36" t="s">
        <v>379</v>
      </c>
    </row>
    <row r="37" spans="1:3" ht="15" customHeight="1" x14ac:dyDescent="0.25">
      <c r="A37" t="s">
        <v>380</v>
      </c>
    </row>
    <row r="40" spans="1:3" s="7" customFormat="1" x14ac:dyDescent="0.25">
      <c r="A40" s="7" t="s">
        <v>334</v>
      </c>
    </row>
    <row r="41" spans="1:3" x14ac:dyDescent="0.25">
      <c r="A41" t="s">
        <v>166</v>
      </c>
      <c r="B41" s="13">
        <f>ROUND((52.2+21.4+12.4+33.7+190)*1.1,2)</f>
        <v>340.67</v>
      </c>
      <c r="C41" t="s">
        <v>335</v>
      </c>
    </row>
    <row r="42" spans="1:3" x14ac:dyDescent="0.25">
      <c r="A42" t="s">
        <v>167</v>
      </c>
      <c r="B42" s="5">
        <v>13500</v>
      </c>
      <c r="C42" t="s">
        <v>332</v>
      </c>
    </row>
    <row r="43" spans="1:3" x14ac:dyDescent="0.25">
      <c r="A43" t="s">
        <v>219</v>
      </c>
      <c r="B43" s="5">
        <f>743*309.7</f>
        <v>230107.1</v>
      </c>
      <c r="C43" t="s">
        <v>336</v>
      </c>
    </row>
    <row r="44" spans="1:3" x14ac:dyDescent="0.25">
      <c r="A44" t="s">
        <v>168</v>
      </c>
      <c r="B44" s="5">
        <v>2</v>
      </c>
      <c r="C44" t="s">
        <v>282</v>
      </c>
    </row>
    <row r="45" spans="1:3" x14ac:dyDescent="0.25">
      <c r="A45" t="s">
        <v>169</v>
      </c>
      <c r="B45" s="5">
        <v>40000</v>
      </c>
      <c r="C45" t="s">
        <v>333</v>
      </c>
    </row>
    <row r="46" spans="1:3" x14ac:dyDescent="0.25">
      <c r="A46" t="s">
        <v>170</v>
      </c>
      <c r="B46" s="5">
        <f>Аренда_мес*(1+НДС)</f>
        <v>5694616.4359999988</v>
      </c>
      <c r="C46" t="s">
        <v>171</v>
      </c>
    </row>
    <row r="47" spans="1:3" x14ac:dyDescent="0.25">
      <c r="A47" t="s">
        <v>172</v>
      </c>
      <c r="B47" s="5">
        <f>Аренда_мес*Депозит_мес</f>
        <v>4909152.0999999996</v>
      </c>
      <c r="C47" t="s">
        <v>173</v>
      </c>
    </row>
    <row r="48" spans="1:3" x14ac:dyDescent="0.25">
      <c r="A48" t="s">
        <v>229</v>
      </c>
      <c r="B48" s="15">
        <f>11/31+2</f>
        <v>2.3548387096774195</v>
      </c>
      <c r="C48" t="s">
        <v>230</v>
      </c>
    </row>
    <row r="49" spans="1:3" x14ac:dyDescent="0.25">
      <c r="A49" s="7" t="s">
        <v>220</v>
      </c>
    </row>
    <row r="50" spans="1:3" x14ac:dyDescent="0.25">
      <c r="A50" t="s">
        <v>221</v>
      </c>
      <c r="B50" s="14">
        <v>0.1</v>
      </c>
      <c r="C50" t="s">
        <v>222</v>
      </c>
    </row>
    <row r="51" spans="1:3" x14ac:dyDescent="0.25">
      <c r="A51" t="s">
        <v>231</v>
      </c>
      <c r="B51" s="15">
        <f>Аренда_мес_2026</f>
        <v>2.3548387096774195</v>
      </c>
      <c r="C51" t="s">
        <v>381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297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354</v>
      </c>
      <c r="J4" s="3" t="s">
        <v>74</v>
      </c>
      <c r="K4" s="3" t="s">
        <v>75</v>
      </c>
      <c r="L4" s="3" t="s">
        <v>232</v>
      </c>
      <c r="M4" s="3" t="s">
        <v>77</v>
      </c>
      <c r="N4" s="3" t="s">
        <v>355</v>
      </c>
      <c r="O4" s="3" t="s">
        <v>78</v>
      </c>
      <c r="P4" s="3" t="s">
        <v>356</v>
      </c>
      <c r="Q4" s="4"/>
    </row>
    <row r="5" spans="1:17" ht="75" x14ac:dyDescent="0.25">
      <c r="A5" s="16">
        <v>1</v>
      </c>
      <c r="B5" s="16" t="s">
        <v>283</v>
      </c>
      <c r="C5" s="17" t="s">
        <v>284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IF(E5="штат",ОСНС*G5*L5/12,0)</f>
        <v>7000</v>
      </c>
      <c r="O5" s="18">
        <f t="shared" ref="O5:O29" si="5">M5+N5</f>
        <v>5461690</v>
      </c>
      <c r="P5" s="17" t="s">
        <v>360</v>
      </c>
    </row>
    <row r="6" spans="1:17" ht="60" x14ac:dyDescent="0.25">
      <c r="A6" s="16">
        <v>2</v>
      </c>
      <c r="B6" s="16" t="s">
        <v>283</v>
      </c>
      <c r="C6" s="17" t="s">
        <v>285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7000</v>
      </c>
      <c r="O6" s="18">
        <f t="shared" si="5"/>
        <v>4791010</v>
      </c>
      <c r="P6" s="17" t="s">
        <v>361</v>
      </c>
    </row>
    <row r="7" spans="1:17" ht="75" x14ac:dyDescent="0.25">
      <c r="A7" s="16">
        <v>3</v>
      </c>
      <c r="B7" s="16" t="s">
        <v>283</v>
      </c>
      <c r="C7" s="17" t="s">
        <v>274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7000</v>
      </c>
      <c r="O7" s="18">
        <f t="shared" si="5"/>
        <v>4791010</v>
      </c>
      <c r="P7" s="17" t="s">
        <v>362</v>
      </c>
    </row>
    <row r="8" spans="1:17" ht="30" x14ac:dyDescent="0.25">
      <c r="A8" s="16">
        <v>4</v>
      </c>
      <c r="B8" s="16" t="s">
        <v>216</v>
      </c>
      <c r="C8" s="17" t="s">
        <v>286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5494.6236559139788</v>
      </c>
      <c r="O8" s="18">
        <f t="shared" si="5"/>
        <v>3760685.2688172045</v>
      </c>
      <c r="P8" s="17" t="s">
        <v>363</v>
      </c>
    </row>
    <row r="9" spans="1:17" ht="30" x14ac:dyDescent="0.25">
      <c r="A9" s="16">
        <v>6</v>
      </c>
      <c r="B9" s="16" t="s">
        <v>251</v>
      </c>
      <c r="C9" s="17" t="s">
        <v>253</v>
      </c>
      <c r="D9" s="17" t="s">
        <v>254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5494.6236559139788</v>
      </c>
      <c r="O9" s="18">
        <f t="shared" si="5"/>
        <v>2707789.7849462368</v>
      </c>
      <c r="P9" s="17" t="s">
        <v>364</v>
      </c>
    </row>
    <row r="10" spans="1:17" ht="30" x14ac:dyDescent="0.25">
      <c r="A10" s="16">
        <v>14</v>
      </c>
      <c r="B10" s="16" t="s">
        <v>255</v>
      </c>
      <c r="C10" s="17" t="s">
        <v>289</v>
      </c>
      <c r="D10" s="17" t="s">
        <v>257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5494.6236559139788</v>
      </c>
      <c r="O10" s="18">
        <f t="shared" si="5"/>
        <v>2971013.6559139783</v>
      </c>
      <c r="P10" s="17" t="s">
        <v>290</v>
      </c>
    </row>
    <row r="11" spans="1:17" ht="45" x14ac:dyDescent="0.25">
      <c r="A11" s="16">
        <v>15</v>
      </c>
      <c r="B11" s="16" t="s">
        <v>255</v>
      </c>
      <c r="C11" s="17" t="s">
        <v>256</v>
      </c>
      <c r="D11" s="17" t="s">
        <v>257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5494.6236559139788</v>
      </c>
      <c r="O11" s="18">
        <f t="shared" si="5"/>
        <v>2707789.7849462368</v>
      </c>
      <c r="P11" s="17" t="s">
        <v>365</v>
      </c>
    </row>
    <row r="12" spans="1:17" ht="60" x14ac:dyDescent="0.25">
      <c r="A12" s="16">
        <v>17</v>
      </c>
      <c r="B12" s="16" t="s">
        <v>255</v>
      </c>
      <c r="C12" s="17" t="s">
        <v>256</v>
      </c>
      <c r="D12" s="17" t="s">
        <v>257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5494.6236559139788</v>
      </c>
      <c r="O12" s="18">
        <f t="shared" si="5"/>
        <v>2707789.7849462368</v>
      </c>
      <c r="P12" s="17" t="s">
        <v>366</v>
      </c>
    </row>
    <row r="13" spans="1:17" ht="45" x14ac:dyDescent="0.25">
      <c r="A13" s="16">
        <v>18</v>
      </c>
      <c r="B13" s="16" t="s">
        <v>255</v>
      </c>
      <c r="C13" s="17" t="s">
        <v>258</v>
      </c>
      <c r="D13" s="17" t="s">
        <v>257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5494.6236559139788</v>
      </c>
      <c r="O13" s="18">
        <f t="shared" si="5"/>
        <v>2707789.7849462368</v>
      </c>
      <c r="P13" s="17" t="s">
        <v>367</v>
      </c>
    </row>
    <row r="14" spans="1:17" ht="45" x14ac:dyDescent="0.25">
      <c r="A14" s="16">
        <v>19</v>
      </c>
      <c r="B14" s="16" t="s">
        <v>255</v>
      </c>
      <c r="C14" s="17" t="s">
        <v>258</v>
      </c>
      <c r="D14" s="17" t="s">
        <v>257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5494.6236559139788</v>
      </c>
      <c r="O14" s="18">
        <f t="shared" si="5"/>
        <v>1918118.1720430108</v>
      </c>
      <c r="P14" s="17" t="s">
        <v>368</v>
      </c>
    </row>
    <row r="15" spans="1:17" ht="30" x14ac:dyDescent="0.25">
      <c r="A15" s="16">
        <v>23</v>
      </c>
      <c r="B15" s="16" t="s">
        <v>259</v>
      </c>
      <c r="C15" s="17" t="s">
        <v>252</v>
      </c>
      <c r="D15" s="17" t="s">
        <v>287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5494.6236559139788</v>
      </c>
      <c r="O15" s="18">
        <f t="shared" si="5"/>
        <v>3497461.3978494625</v>
      </c>
      <c r="P15" s="17" t="s">
        <v>260</v>
      </c>
    </row>
    <row r="16" spans="1:17" ht="30" x14ac:dyDescent="0.25">
      <c r="A16" s="20">
        <v>24</v>
      </c>
      <c r="B16" s="20" t="s">
        <v>259</v>
      </c>
      <c r="C16" s="21" t="s">
        <v>291</v>
      </c>
      <c r="D16" s="21" t="s">
        <v>254</v>
      </c>
      <c r="E16" s="20" t="s">
        <v>261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322</v>
      </c>
    </row>
    <row r="17" spans="1:16" ht="30" x14ac:dyDescent="0.25">
      <c r="A17" s="16">
        <v>25</v>
      </c>
      <c r="B17" s="16" t="s">
        <v>262</v>
      </c>
      <c r="C17" s="17" t="s">
        <v>263</v>
      </c>
      <c r="D17" s="17" t="s">
        <v>287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5494.6236559139788</v>
      </c>
      <c r="O17" s="18">
        <f t="shared" si="5"/>
        <v>3497461.3978494625</v>
      </c>
      <c r="P17" s="17" t="s">
        <v>369</v>
      </c>
    </row>
    <row r="18" spans="1:16" ht="30" x14ac:dyDescent="0.25">
      <c r="A18" s="16">
        <v>26</v>
      </c>
      <c r="B18" s="16" t="s">
        <v>262</v>
      </c>
      <c r="C18" s="17" t="s">
        <v>264</v>
      </c>
      <c r="D18" s="17" t="s">
        <v>217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5494.6236559139788</v>
      </c>
      <c r="O18" s="18">
        <f t="shared" si="5"/>
        <v>2707789.7849462368</v>
      </c>
      <c r="P18" s="17" t="s">
        <v>370</v>
      </c>
    </row>
    <row r="19" spans="1:16" x14ac:dyDescent="0.25">
      <c r="A19" s="20">
        <v>27</v>
      </c>
      <c r="B19" s="20" t="s">
        <v>262</v>
      </c>
      <c r="C19" s="21" t="s">
        <v>269</v>
      </c>
      <c r="D19" s="21" t="s">
        <v>217</v>
      </c>
      <c r="E19" s="20" t="s">
        <v>261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323</v>
      </c>
    </row>
    <row r="20" spans="1:16" x14ac:dyDescent="0.25">
      <c r="A20" s="20">
        <v>28</v>
      </c>
      <c r="B20" s="20" t="s">
        <v>262</v>
      </c>
      <c r="C20" s="21" t="s">
        <v>270</v>
      </c>
      <c r="D20" s="21" t="s">
        <v>217</v>
      </c>
      <c r="E20" s="20" t="s">
        <v>261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324</v>
      </c>
    </row>
    <row r="21" spans="1:16" x14ac:dyDescent="0.25">
      <c r="A21" s="20">
        <v>29</v>
      </c>
      <c r="B21" s="20" t="s">
        <v>262</v>
      </c>
      <c r="C21" s="21" t="s">
        <v>271</v>
      </c>
      <c r="D21" s="21" t="s">
        <v>217</v>
      </c>
      <c r="E21" s="20" t="s">
        <v>261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325</v>
      </c>
    </row>
    <row r="22" spans="1:16" x14ac:dyDescent="0.25">
      <c r="A22" s="16">
        <v>30</v>
      </c>
      <c r="B22" s="16" t="s">
        <v>262</v>
      </c>
      <c r="C22" s="17" t="s">
        <v>265</v>
      </c>
      <c r="D22" s="17" t="s">
        <v>217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5494.6236559139788</v>
      </c>
      <c r="O22" s="18">
        <f t="shared" si="5"/>
        <v>2707789.7849462368</v>
      </c>
      <c r="P22" s="17" t="s">
        <v>266</v>
      </c>
    </row>
    <row r="23" spans="1:16" x14ac:dyDescent="0.25">
      <c r="A23" s="16">
        <v>31</v>
      </c>
      <c r="B23" s="16" t="s">
        <v>262</v>
      </c>
      <c r="C23" s="17" t="s">
        <v>267</v>
      </c>
      <c r="D23" s="17" t="s">
        <v>217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5494.6236559139788</v>
      </c>
      <c r="O23" s="18">
        <f t="shared" si="5"/>
        <v>1918118.1720430108</v>
      </c>
      <c r="P23" s="17" t="s">
        <v>268</v>
      </c>
    </row>
    <row r="24" spans="1:16" ht="30" x14ac:dyDescent="0.25">
      <c r="A24" s="20">
        <v>32</v>
      </c>
      <c r="B24" s="20" t="s">
        <v>262</v>
      </c>
      <c r="C24" s="21" t="s">
        <v>272</v>
      </c>
      <c r="D24" s="21" t="s">
        <v>217</v>
      </c>
      <c r="E24" s="20" t="s">
        <v>261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326</v>
      </c>
    </row>
    <row r="25" spans="1:16" ht="75" x14ac:dyDescent="0.25">
      <c r="A25" s="16">
        <v>33</v>
      </c>
      <c r="B25" s="16" t="s">
        <v>292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7000</v>
      </c>
      <c r="O25" s="18">
        <f t="shared" si="5"/>
        <v>4791010</v>
      </c>
      <c r="P25" s="17" t="s">
        <v>371</v>
      </c>
    </row>
    <row r="26" spans="1:16" ht="30" x14ac:dyDescent="0.25">
      <c r="A26" s="16">
        <v>34</v>
      </c>
      <c r="B26" s="16" t="s">
        <v>292</v>
      </c>
      <c r="C26" s="17" t="s">
        <v>85</v>
      </c>
      <c r="D26" s="17" t="s">
        <v>213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5494.6236559139788</v>
      </c>
      <c r="O26" s="18">
        <f t="shared" si="5"/>
        <v>1918118.1720430108</v>
      </c>
      <c r="P26" s="17" t="s">
        <v>214</v>
      </c>
    </row>
    <row r="27" spans="1:16" ht="30" x14ac:dyDescent="0.25">
      <c r="A27" s="16">
        <v>35</v>
      </c>
      <c r="B27" s="16" t="s">
        <v>292</v>
      </c>
      <c r="C27" s="17" t="s">
        <v>293</v>
      </c>
      <c r="D27" s="17" t="s">
        <v>288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5494.6236559139788</v>
      </c>
      <c r="O27" s="18">
        <f t="shared" si="5"/>
        <v>3234237.5268817204</v>
      </c>
      <c r="P27" s="17" t="s">
        <v>294</v>
      </c>
    </row>
    <row r="28" spans="1:16" ht="30" x14ac:dyDescent="0.25">
      <c r="A28" s="20">
        <v>36</v>
      </c>
      <c r="B28" s="20" t="s">
        <v>292</v>
      </c>
      <c r="C28" s="21" t="s">
        <v>295</v>
      </c>
      <c r="D28" s="21" t="s">
        <v>215</v>
      </c>
      <c r="E28" s="20" t="s">
        <v>261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327</v>
      </c>
    </row>
    <row r="29" spans="1:16" ht="30" x14ac:dyDescent="0.25">
      <c r="A29" s="20">
        <v>37</v>
      </c>
      <c r="B29" s="20" t="s">
        <v>292</v>
      </c>
      <c r="C29" s="21" t="s">
        <v>296</v>
      </c>
      <c r="D29" s="21" t="s">
        <v>215</v>
      </c>
      <c r="E29" s="20" t="s">
        <v>261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328</v>
      </c>
    </row>
    <row r="30" spans="1:16" ht="15" customHeight="1" x14ac:dyDescent="0.25">
      <c r="A30" s="7"/>
      <c r="B30" s="7"/>
      <c r="C30" s="7" t="s">
        <v>357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104924.73118279572</v>
      </c>
      <c r="O30" s="6">
        <f t="shared" si="17"/>
        <v>58796672.473118283</v>
      </c>
      <c r="P30" s="7"/>
    </row>
    <row r="31" spans="1:16" ht="15" customHeight="1" x14ac:dyDescent="0.25">
      <c r="C31" t="s">
        <v>358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359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372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301</v>
      </c>
      <c r="E3" s="25" t="s">
        <v>302</v>
      </c>
      <c r="F3" s="25" t="s">
        <v>303</v>
      </c>
      <c r="G3" s="25" t="s">
        <v>304</v>
      </c>
      <c r="H3" s="25" t="s">
        <v>354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305</v>
      </c>
      <c r="C4" s="27" t="s">
        <v>215</v>
      </c>
      <c r="D4" s="27" t="s">
        <v>306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307</v>
      </c>
      <c r="C5" s="27" t="s">
        <v>215</v>
      </c>
      <c r="D5" s="27" t="s">
        <v>308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309</v>
      </c>
      <c r="C6" s="27" t="s">
        <v>310</v>
      </c>
      <c r="D6" s="27" t="s">
        <v>311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312</v>
      </c>
      <c r="C7" s="27" t="s">
        <v>313</v>
      </c>
      <c r="D7" s="27" t="s">
        <v>314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315</v>
      </c>
      <c r="C8" s="27" t="s">
        <v>313</v>
      </c>
      <c r="D8" s="27" t="s">
        <v>316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317</v>
      </c>
      <c r="C9" s="27" t="s">
        <v>313</v>
      </c>
      <c r="D9" s="27" t="s">
        <v>318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319</v>
      </c>
      <c r="C10" s="27" t="s">
        <v>313</v>
      </c>
      <c r="D10" s="27" t="s">
        <v>320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321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353</v>
      </c>
    </row>
    <row r="2" spans="1:7" ht="15" customHeight="1" x14ac:dyDescent="0.25">
      <c r="A2" s="2" t="s">
        <v>218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351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352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298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273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373</v>
      </c>
    </row>
    <row r="2" spans="1:9" ht="15" customHeight="1" x14ac:dyDescent="0.25">
      <c r="A2" s="2" t="s">
        <v>374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375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376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341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397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226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227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225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234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223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228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235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236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237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238</v>
      </c>
      <c r="C21" t="s">
        <v>239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240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241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242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243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244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277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398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276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399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278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279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280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281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340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400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401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348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349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350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402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338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224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275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411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412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413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414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403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329</v>
      </c>
      <c r="C53" t="s">
        <v>247</v>
      </c>
      <c r="D53" s="9"/>
      <c r="E53" s="10"/>
      <c r="F53" s="9" t="s">
        <v>245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404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405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377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299</v>
      </c>
      <c r="B5" s="4" t="s">
        <v>300</v>
      </c>
      <c r="C5" t="s">
        <v>247</v>
      </c>
      <c r="D5" s="9"/>
      <c r="E5" s="10"/>
      <c r="F5" s="9" t="s">
        <v>245</v>
      </c>
      <c r="G5" s="5">
        <v>3600000</v>
      </c>
    </row>
    <row r="6" spans="1:7" x14ac:dyDescent="0.25">
      <c r="A6" t="s">
        <v>299</v>
      </c>
      <c r="B6" s="4" t="s">
        <v>249</v>
      </c>
      <c r="C6" t="s">
        <v>247</v>
      </c>
      <c r="D6" s="9"/>
      <c r="E6" s="10"/>
      <c r="F6" s="9" t="s">
        <v>245</v>
      </c>
      <c r="G6" s="5">
        <v>1200000</v>
      </c>
    </row>
    <row r="7" spans="1:7" x14ac:dyDescent="0.25">
      <c r="A7" t="s">
        <v>299</v>
      </c>
      <c r="B7" s="4" t="s">
        <v>347</v>
      </c>
      <c r="C7" t="s">
        <v>247</v>
      </c>
      <c r="D7" s="9"/>
      <c r="E7" s="10"/>
      <c r="F7" s="9" t="s">
        <v>245</v>
      </c>
      <c r="G7" s="5">
        <v>6100000</v>
      </c>
    </row>
    <row r="8" spans="1:7" ht="30" x14ac:dyDescent="0.25">
      <c r="A8" t="s">
        <v>299</v>
      </c>
      <c r="B8" s="4" t="s">
        <v>346</v>
      </c>
      <c r="C8" t="s">
        <v>247</v>
      </c>
      <c r="D8" s="9"/>
      <c r="E8" s="10"/>
      <c r="F8" s="9" t="s">
        <v>245</v>
      </c>
      <c r="G8" s="5">
        <v>18400000</v>
      </c>
    </row>
    <row r="9" spans="1:7" x14ac:dyDescent="0.25">
      <c r="A9" t="s">
        <v>299</v>
      </c>
      <c r="B9" s="4" t="s">
        <v>248</v>
      </c>
      <c r="C9" t="s">
        <v>247</v>
      </c>
      <c r="D9" s="9"/>
      <c r="E9" s="10"/>
      <c r="F9" s="9" t="s">
        <v>245</v>
      </c>
      <c r="G9" s="5">
        <v>9200000</v>
      </c>
    </row>
    <row r="10" spans="1:7" x14ac:dyDescent="0.25">
      <c r="A10" t="s">
        <v>299</v>
      </c>
      <c r="B10" s="4" t="s">
        <v>250</v>
      </c>
      <c r="C10" t="s">
        <v>247</v>
      </c>
      <c r="D10" s="9"/>
      <c r="E10" s="10"/>
      <c r="F10" s="9" t="s">
        <v>245</v>
      </c>
      <c r="G10" s="5">
        <v>31000271.420000002</v>
      </c>
    </row>
    <row r="11" spans="1:7" x14ac:dyDescent="0.25">
      <c r="A11" t="s">
        <v>299</v>
      </c>
      <c r="B11" s="4" t="s">
        <v>246</v>
      </c>
      <c r="C11" t="s">
        <v>247</v>
      </c>
      <c r="D11" s="9"/>
      <c r="E11" s="10"/>
      <c r="F11" s="9" t="s">
        <v>245</v>
      </c>
      <c r="G11" s="5">
        <v>18400000</v>
      </c>
    </row>
    <row r="12" spans="1:7" x14ac:dyDescent="0.25">
      <c r="G12" s="5"/>
    </row>
    <row r="13" spans="1:7" x14ac:dyDescent="0.25">
      <c r="B13" s="7" t="s">
        <v>378</v>
      </c>
      <c r="C13" s="7"/>
      <c r="D13" s="7"/>
      <c r="E13" s="7"/>
      <c r="F13" s="7"/>
      <c r="G13" s="6">
        <f>SUM(G5:G11)</f>
        <v>87900271.420000002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410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330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408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409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41</vt:i4>
      </vt:variant>
    </vt:vector>
  </HeadingPairs>
  <TitlesOfParts>
    <vt:vector size="50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2026-10-12T09:39:48Z</dcterms:modified>
  <dc:language>en-US</dc:language>
</cp:coreProperties>
</file>