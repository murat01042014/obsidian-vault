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N17" i="3"/>
  <c r="L17" i="3"/>
  <c r="J17" i="3"/>
  <c r="K17" i="3" s="1"/>
  <c r="N18" i="3" l="1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47" i="5" s="1"/>
  <c r="I47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L5" i="3"/>
  <c r="F5" i="4" l="1"/>
  <c r="F6" i="4"/>
  <c r="B49" i="2"/>
  <c r="B52" i="2" s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L8" i="3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L16" i="3"/>
  <c r="E23" i="5"/>
  <c r="I23" i="5" s="1"/>
  <c r="E22" i="5"/>
  <c r="I22" i="5" s="1"/>
  <c r="E21" i="5"/>
  <c r="I21" i="5" s="1"/>
  <c r="E20" i="5"/>
  <c r="I20" i="5" s="1"/>
  <c r="F9" i="4" l="1"/>
  <c r="M9" i="3"/>
  <c r="O9" i="3" s="1"/>
  <c r="F8" i="4"/>
  <c r="F7" i="4"/>
  <c r="F11" i="4"/>
  <c r="F10" i="4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6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0" i="5"/>
  <c r="I46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<sst xmlns="http://schemas.openxmlformats.org/spreadsheetml/2006/main" count="747" uniqueCount="425">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</sst>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387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356</v>
      </c>
      <c r="B4" s="37">
        <f>SUMIF(Штат!E5:E34,"штат",Штат!G5:G34)</f>
        <v>23</v>
      </c>
    </row>
    <row r="5" spans="1:2" x14ac:dyDescent="0.25">
      <c r="A5" s="36" t="s">
        <v>357</v>
      </c>
      <c r="B5" s="37">
        <f>Штат!G36</f>
        <v>17</v>
      </c>
    </row>
    <row r="6" spans="1:2" x14ac:dyDescent="0.25">
      <c r="A6" s="36" t="s">
        <v>358</v>
      </c>
      <c r="B6" s="38">
        <f>SUMIFS(Штат!M5:M34,Штат!E5:E34,"штат")</f>
        <v>68758393.225806445</v>
      </c>
    </row>
    <row r="7" spans="1:2" ht="30" x14ac:dyDescent="0.25">
      <c r="A7" s="36" t="s">
        <v>423</v>
      </c>
      <c r="B7" s="38">
        <f>Аутсорс!J11</f>
        <v>14855483.870967744</v>
      </c>
    </row>
    <row r="8" spans="1:2" x14ac:dyDescent="0.25">
      <c r="A8" s="36" t="s">
        <v>385</v>
      </c>
      <c r="B8" s="38">
        <f>Штат!N35</f>
        <v>665000</v>
      </c>
    </row>
    <row r="9" spans="1:2" x14ac:dyDescent="0.25">
      <c r="A9" s="36" t="s">
        <v>359</v>
      </c>
      <c r="B9" s="38">
        <f>Командировки!G12</f>
        <v>4906387.0967741935</v>
      </c>
    </row>
    <row r="10" spans="1:2" ht="30" x14ac:dyDescent="0.25">
      <c r="A10" s="36" t="s">
        <v>360</v>
      </c>
      <c r="B10" s="38">
        <f>SUMIFS('Оснащение и офис'!I5:I57,'Оснащение и офис'!A5:A57,"Оснащение")</f>
        <v>28145855</v>
      </c>
    </row>
    <row r="11" spans="1:2" ht="30" x14ac:dyDescent="0.25">
      <c r="A11" s="36" t="s">
        <v>375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361</v>
      </c>
      <c r="B12" s="38">
        <f>SUMIFS('Оснащение и офис'!I5:I57,'Оснащение и офис'!A5:A57,"Цифровые")</f>
        <v>694500</v>
      </c>
    </row>
    <row r="13" spans="1:2" x14ac:dyDescent="0.25">
      <c r="A13" s="36" t="s">
        <v>362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363</v>
      </c>
      <c r="B14" s="40">
        <f>B6+B7+B8+B9+B10+B11+B12+B13</f>
        <v>138080657.69032258</v>
      </c>
    </row>
    <row r="15" spans="1:2" ht="30" x14ac:dyDescent="0.25">
      <c r="A15" s="36" t="s">
        <v>386</v>
      </c>
      <c r="B15" s="38">
        <f>B14*Резерв+SUMIFS('Оснащение и офис'!I5:I57,'Оснащение и офис'!A5:A57,"Прочие")</f>
        <v>13883065.769032259</v>
      </c>
    </row>
    <row r="16" spans="1:2" x14ac:dyDescent="0.25">
      <c r="A16" s="36" t="s">
        <v>293</v>
      </c>
      <c r="B16" s="38">
        <f>(B14+B15)*НДС</f>
        <v>24314195.753496777</v>
      </c>
    </row>
    <row r="17" spans="1:2" x14ac:dyDescent="0.25">
      <c r="A17" s="41" t="s">
        <v>364</v>
      </c>
      <c r="B17" s="42">
        <f>B14+B15+B16</f>
        <v>176277919.21285161</v>
      </c>
    </row>
    <row r="18" spans="1:2" x14ac:dyDescent="0.25">
      <c r="A18" s="39" t="s">
        <v>365</v>
      </c>
      <c r="B18" s="40">
        <f>Проекты!G13</f>
        <v>87404855.379999995</v>
      </c>
    </row>
    <row r="19" spans="1:2" x14ac:dyDescent="0.25">
      <c r="A19" s="43" t="s">
        <v>366</v>
      </c>
      <c r="B19" s="44">
        <f>B17+B18</f>
        <v>263682774.59285161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383</v>
      </c>
      <c r="B15" s="8">
        <f>ROUND(0.29%*12*SUMIFS(Штат!$H$5:$H$34,Штат!$E$5:$E$34,"штат",Штат!$F$5:$F$34,"новая"),-3)</f>
        <v>665000</v>
      </c>
      <c r="C15" t="s">
        <v>422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324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353</v>
      </c>
    </row>
    <row r="38" spans="1:3" ht="15" customHeight="1" x14ac:dyDescent="0.25">
      <c r="A38" t="s">
        <v>354</v>
      </c>
    </row>
    <row r="41" spans="1:3" s="7" customFormat="1" x14ac:dyDescent="0.25">
      <c r="A41" s="7" t="s">
        <v>321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322</v>
      </c>
    </row>
    <row r="43" spans="1:3" x14ac:dyDescent="0.25">
      <c r="A43" t="s">
        <v>167</v>
      </c>
      <c r="B43" s="5">
        <v>13500</v>
      </c>
      <c r="C43" t="s">
        <v>319</v>
      </c>
    </row>
    <row r="44" spans="1:3" x14ac:dyDescent="0.25">
      <c r="A44" t="s">
        <v>218</v>
      </c>
      <c r="B44" s="5">
        <f>743*309.7</f>
        <v>230107.1</v>
      </c>
      <c r="C44" t="s">
        <v>323</v>
      </c>
    </row>
    <row r="45" spans="1:3" x14ac:dyDescent="0.25">
      <c r="A45" t="s">
        <v>168</v>
      </c>
      <c r="B45" s="5">
        <v>2</v>
      </c>
      <c r="C45" t="s">
        <v>277</v>
      </c>
    </row>
    <row r="46" spans="1:3" x14ac:dyDescent="0.25">
      <c r="A46" t="s">
        <v>169</v>
      </c>
      <c r="B46" s="5">
        <v>40000</v>
      </c>
      <c r="C46" t="s">
        <v>320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355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287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339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384</v>
      </c>
      <c r="O4" s="3" t="s">
        <v>78</v>
      </c>
      <c r="P4" s="3" t="s">
        <v>340</v>
      </c>
      <c r="Q4" s="4"/>
    </row>
    <row r="5" spans="1:17" ht="75" x14ac:dyDescent="0.25">
      <c r="A5" s="16">
        <v>1</v>
      </c>
      <c r="B5" s="16" t="s">
        <v>278</v>
      </c>
      <c r="C5" s="17" t="s">
        <v>279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344</v>
      </c>
    </row>
    <row r="6" spans="1:17" ht="60" x14ac:dyDescent="0.25">
      <c r="A6" s="16">
        <v>2</v>
      </c>
      <c r="B6" s="16" t="s">
        <v>278</v>
      </c>
      <c r="C6" s="17" t="s">
        <v>390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394</v>
      </c>
    </row>
    <row r="7" spans="1:17" ht="90" x14ac:dyDescent="0.25">
      <c r="A7" s="16">
        <v>3</v>
      </c>
      <c r="B7" s="16" t="s">
        <v>278</v>
      </c>
      <c r="C7" s="17" t="s">
        <v>269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389</v>
      </c>
    </row>
    <row r="8" spans="1:17" ht="90" x14ac:dyDescent="0.25">
      <c r="A8" s="16">
        <v>4</v>
      </c>
      <c r="B8" s="16" t="s">
        <v>215</v>
      </c>
      <c r="C8" s="17" t="s">
        <v>395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35000</v>
      </c>
      <c r="O8" s="18">
        <f t="shared" si="5"/>
        <v>3790190.6451612907</v>
      </c>
      <c r="P8" s="17" t="s">
        <v>396</v>
      </c>
    </row>
    <row r="9" spans="1:17" ht="30" x14ac:dyDescent="0.25">
      <c r="A9" s="16">
        <v>6</v>
      </c>
      <c r="B9" s="16" t="s">
        <v>250</v>
      </c>
      <c r="C9" s="17" t="s">
        <v>251</v>
      </c>
      <c r="D9" s="17" t="s">
        <v>280</v>
      </c>
      <c r="E9" s="16" t="s">
        <v>80</v>
      </c>
      <c r="F9" s="16" t="s">
        <v>83</v>
      </c>
      <c r="G9" s="16">
        <v>1</v>
      </c>
      <c r="H9" s="18">
        <v>1300000</v>
      </c>
      <c r="I9" s="16">
        <v>1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2.3548387096774195</v>
      </c>
      <c r="M9" s="18">
        <f t="shared" ref="M9:M11" si="9">K9*L9</f>
        <v>3491966.7741935486</v>
      </c>
      <c r="N9" s="18">
        <f t="shared" si="4"/>
        <v>35000</v>
      </c>
      <c r="O9" s="18">
        <f t="shared" ref="O9:O11" si="10">M9+N9</f>
        <v>3526966.7741935486</v>
      </c>
      <c r="P9" s="17" t="s">
        <v>409</v>
      </c>
    </row>
    <row r="10" spans="1:17" ht="60" x14ac:dyDescent="0.25">
      <c r="A10" s="16">
        <v>6</v>
      </c>
      <c r="B10" s="16" t="s">
        <v>250</v>
      </c>
      <c r="C10" s="17" t="s">
        <v>410</v>
      </c>
      <c r="D10" s="17" t="s">
        <v>253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1</v>
      </c>
      <c r="J10" s="18">
        <f t="shared" si="6"/>
        <v>147550</v>
      </c>
      <c r="K10" s="18">
        <f t="shared" si="7"/>
        <v>1147550</v>
      </c>
      <c r="L10" s="19">
        <f t="shared" si="8"/>
        <v>2.3548387096774195</v>
      </c>
      <c r="M10" s="18">
        <f t="shared" si="9"/>
        <v>2702295.1612903229</v>
      </c>
      <c r="N10" s="18">
        <f t="shared" si="4"/>
        <v>35000</v>
      </c>
      <c r="O10" s="18">
        <f t="shared" si="10"/>
        <v>2737295.1612903229</v>
      </c>
      <c r="P10" s="17" t="s">
        <v>411</v>
      </c>
    </row>
    <row r="11" spans="1:17" ht="30" x14ac:dyDescent="0.25">
      <c r="A11" s="20">
        <v>6</v>
      </c>
      <c r="B11" s="20" t="s">
        <v>250</v>
      </c>
      <c r="C11" s="21" t="s">
        <v>412</v>
      </c>
      <c r="D11" s="21" t="s">
        <v>253</v>
      </c>
      <c r="E11" s="20" t="s">
        <v>259</v>
      </c>
      <c r="F11" s="20" t="s">
        <v>83</v>
      </c>
      <c r="G11" s="20">
        <v>0</v>
      </c>
      <c r="H11" s="22">
        <v>700000</v>
      </c>
      <c r="I11" s="20">
        <v>1</v>
      </c>
      <c r="J11" s="22">
        <f t="shared" si="6"/>
        <v>112000</v>
      </c>
      <c r="K11" s="22">
        <f t="shared" si="7"/>
        <v>0</v>
      </c>
      <c r="L11" s="23">
        <f t="shared" si="8"/>
        <v>2.3548387096774195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413</v>
      </c>
    </row>
    <row r="12" spans="1:17" ht="30" x14ac:dyDescent="0.25">
      <c r="A12" s="16">
        <v>6</v>
      </c>
      <c r="B12" s="16" t="s">
        <v>250</v>
      </c>
      <c r="C12" s="17" t="s">
        <v>252</v>
      </c>
      <c r="D12" s="17" t="s">
        <v>253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35000</v>
      </c>
      <c r="O12" s="18">
        <f t="shared" si="5"/>
        <v>2737295.1612903229</v>
      </c>
      <c r="P12" s="17" t="s">
        <v>345</v>
      </c>
    </row>
    <row r="13" spans="1:17" ht="30" x14ac:dyDescent="0.25">
      <c r="A13" s="16">
        <v>14</v>
      </c>
      <c r="B13" s="16" t="s">
        <v>254</v>
      </c>
      <c r="C13" s="17" t="s">
        <v>281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1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2.3548387096774195</v>
      </c>
      <c r="M13" s="18">
        <f t="shared" si="3"/>
        <v>2965519.0322580645</v>
      </c>
      <c r="N13" s="18">
        <f t="shared" si="4"/>
        <v>35000</v>
      </c>
      <c r="O13" s="18">
        <f t="shared" si="5"/>
        <v>3000519.0322580645</v>
      </c>
      <c r="P13" s="17" t="s">
        <v>282</v>
      </c>
    </row>
    <row r="14" spans="1:17" ht="60" x14ac:dyDescent="0.25">
      <c r="A14" s="16">
        <v>15</v>
      </c>
      <c r="B14" s="16" t="s">
        <v>254</v>
      </c>
      <c r="C14" s="17" t="s">
        <v>255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1</v>
      </c>
      <c r="J14" s="18">
        <f t="shared" si="0"/>
        <v>147550</v>
      </c>
      <c r="K14" s="18">
        <f t="shared" si="1"/>
        <v>1147550</v>
      </c>
      <c r="L14" s="19">
        <f t="shared" si="2"/>
        <v>2.3548387096774195</v>
      </c>
      <c r="M14" s="18">
        <f t="shared" si="3"/>
        <v>2702295.1612903229</v>
      </c>
      <c r="N14" s="18">
        <f t="shared" si="4"/>
        <v>35000</v>
      </c>
      <c r="O14" s="18">
        <f t="shared" si="5"/>
        <v>2737295.1612903229</v>
      </c>
      <c r="P14" s="17" t="s">
        <v>397</v>
      </c>
    </row>
    <row r="15" spans="1:17" ht="75" x14ac:dyDescent="0.25">
      <c r="A15" s="16">
        <v>17</v>
      </c>
      <c r="B15" s="16" t="s">
        <v>254</v>
      </c>
      <c r="C15" s="17" t="s">
        <v>255</v>
      </c>
      <c r="D15" s="17" t="s">
        <v>256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1</v>
      </c>
      <c r="J15" s="18">
        <f t="shared" si="0"/>
        <v>147550</v>
      </c>
      <c r="K15" s="18">
        <f t="shared" si="1"/>
        <v>1147550</v>
      </c>
      <c r="L15" s="19">
        <f t="shared" si="2"/>
        <v>2.3548387096774195</v>
      </c>
      <c r="M15" s="18">
        <f t="shared" si="3"/>
        <v>2702295.1612903229</v>
      </c>
      <c r="N15" s="18">
        <f t="shared" si="4"/>
        <v>35000</v>
      </c>
      <c r="O15" s="18">
        <f t="shared" si="5"/>
        <v>2737295.1612903229</v>
      </c>
      <c r="P15" s="17" t="s">
        <v>398</v>
      </c>
    </row>
    <row r="16" spans="1:17" ht="60" x14ac:dyDescent="0.25">
      <c r="A16" s="16">
        <v>18</v>
      </c>
      <c r="B16" s="16" t="s">
        <v>254</v>
      </c>
      <c r="C16" s="17" t="s">
        <v>257</v>
      </c>
      <c r="D16" s="17" t="s">
        <v>256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1</v>
      </c>
      <c r="J16" s="18">
        <f t="shared" si="0"/>
        <v>147550</v>
      </c>
      <c r="K16" s="18">
        <f t="shared" si="1"/>
        <v>1147550</v>
      </c>
      <c r="L16" s="19">
        <f t="shared" si="2"/>
        <v>2.3548387096774195</v>
      </c>
      <c r="M16" s="18">
        <f t="shared" si="3"/>
        <v>2702295.1612903229</v>
      </c>
      <c r="N16" s="18">
        <f t="shared" si="4"/>
        <v>35000</v>
      </c>
      <c r="O16" s="18">
        <f t="shared" si="5"/>
        <v>2737295.1612903229</v>
      </c>
      <c r="P16" s="17" t="s">
        <v>399</v>
      </c>
    </row>
    <row r="17" spans="1:16" ht="30" x14ac:dyDescent="0.25">
      <c r="A17" s="16">
        <v>19</v>
      </c>
      <c r="B17" s="16" t="s">
        <v>254</v>
      </c>
      <c r="C17" s="17" t="s">
        <v>255</v>
      </c>
      <c r="D17" s="17" t="s">
        <v>256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35000</v>
      </c>
      <c r="O17" s="18">
        <f t="shared" ref="O17:O18" si="18">M17+N17</f>
        <v>1182550</v>
      </c>
      <c r="P17" s="17" t="s">
        <v>407</v>
      </c>
    </row>
    <row r="18" spans="1:16" ht="30" x14ac:dyDescent="0.25">
      <c r="A18" s="16">
        <v>19</v>
      </c>
      <c r="B18" s="16" t="s">
        <v>254</v>
      </c>
      <c r="C18" s="17" t="s">
        <v>257</v>
      </c>
      <c r="D18" s="17" t="s">
        <v>256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35000</v>
      </c>
      <c r="O18" s="18">
        <f t="shared" si="18"/>
        <v>847210</v>
      </c>
      <c r="P18" s="17" t="s">
        <v>408</v>
      </c>
    </row>
    <row r="19" spans="1:16" ht="30" x14ac:dyDescent="0.25">
      <c r="A19" s="16">
        <v>19</v>
      </c>
      <c r="B19" s="16" t="s">
        <v>254</v>
      </c>
      <c r="C19" s="17" t="s">
        <v>257</v>
      </c>
      <c r="D19" s="17" t="s">
        <v>256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1</v>
      </c>
      <c r="J19" s="18">
        <f t="shared" si="0"/>
        <v>112210</v>
      </c>
      <c r="K19" s="18">
        <f t="shared" si="1"/>
        <v>812210</v>
      </c>
      <c r="L19" s="19">
        <f t="shared" si="2"/>
        <v>2.3548387096774195</v>
      </c>
      <c r="M19" s="18">
        <f t="shared" si="3"/>
        <v>1912623.548387097</v>
      </c>
      <c r="N19" s="18">
        <f t="shared" si="4"/>
        <v>35000</v>
      </c>
      <c r="O19" s="18">
        <f t="shared" si="5"/>
        <v>1947623.548387097</v>
      </c>
      <c r="P19" s="17" t="s">
        <v>406</v>
      </c>
    </row>
    <row r="20" spans="1:16" ht="75" x14ac:dyDescent="0.25">
      <c r="A20" s="16">
        <v>23</v>
      </c>
      <c r="B20" s="16" t="s">
        <v>258</v>
      </c>
      <c r="C20" s="17" t="s">
        <v>251</v>
      </c>
      <c r="D20" s="17" t="s">
        <v>280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1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2.3548387096774195</v>
      </c>
      <c r="M20" s="18">
        <f t="shared" si="3"/>
        <v>3491966.7741935486</v>
      </c>
      <c r="N20" s="18">
        <f t="shared" si="4"/>
        <v>35000</v>
      </c>
      <c r="O20" s="18">
        <f t="shared" si="5"/>
        <v>3526966.7741935486</v>
      </c>
      <c r="P20" s="17" t="s">
        <v>400</v>
      </c>
    </row>
    <row r="21" spans="1:16" ht="30" x14ac:dyDescent="0.25">
      <c r="A21" s="20">
        <v>24</v>
      </c>
      <c r="B21" s="20" t="s">
        <v>258</v>
      </c>
      <c r="C21" s="21" t="s">
        <v>283</v>
      </c>
      <c r="D21" s="21" t="s">
        <v>253</v>
      </c>
      <c r="E21" s="20" t="s">
        <v>259</v>
      </c>
      <c r="F21" s="20" t="s">
        <v>83</v>
      </c>
      <c r="G21" s="20">
        <v>0</v>
      </c>
      <c r="H21" s="22">
        <v>1000000</v>
      </c>
      <c r="I21" s="20">
        <v>1</v>
      </c>
      <c r="J21" s="22">
        <f t="shared" si="0"/>
        <v>160000</v>
      </c>
      <c r="K21" s="22">
        <f t="shared" si="1"/>
        <v>0</v>
      </c>
      <c r="L21" s="23">
        <f t="shared" si="2"/>
        <v>2.3548387096774195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310</v>
      </c>
    </row>
    <row r="22" spans="1:16" ht="30" x14ac:dyDescent="0.25">
      <c r="A22" s="16">
        <v>25</v>
      </c>
      <c r="B22" s="16" t="s">
        <v>260</v>
      </c>
      <c r="C22" s="17" t="s">
        <v>261</v>
      </c>
      <c r="D22" s="17" t="s">
        <v>280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1</v>
      </c>
      <c r="J22" s="18">
        <f t="shared" si="0"/>
        <v>182890</v>
      </c>
      <c r="K22" s="18">
        <f t="shared" si="1"/>
        <v>1482890</v>
      </c>
      <c r="L22" s="19">
        <f t="shared" si="2"/>
        <v>2.3548387096774195</v>
      </c>
      <c r="M22" s="18">
        <f t="shared" si="3"/>
        <v>3491966.7741935486</v>
      </c>
      <c r="N22" s="18">
        <f t="shared" si="4"/>
        <v>35000</v>
      </c>
      <c r="O22" s="18">
        <f t="shared" si="5"/>
        <v>3526966.7741935486</v>
      </c>
      <c r="P22" s="17" t="s">
        <v>402</v>
      </c>
    </row>
    <row r="23" spans="1:16" ht="45" x14ac:dyDescent="0.25">
      <c r="A23" s="16">
        <v>26</v>
      </c>
      <c r="B23" s="16" t="s">
        <v>260</v>
      </c>
      <c r="C23" s="17" t="s">
        <v>262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1</v>
      </c>
      <c r="J23" s="18">
        <f t="shared" si="0"/>
        <v>147550</v>
      </c>
      <c r="K23" s="18">
        <f t="shared" si="1"/>
        <v>1147550</v>
      </c>
      <c r="L23" s="19">
        <f t="shared" si="2"/>
        <v>2.3548387096774195</v>
      </c>
      <c r="M23" s="18">
        <f t="shared" si="3"/>
        <v>2702295.1612903229</v>
      </c>
      <c r="N23" s="18">
        <f t="shared" si="4"/>
        <v>35000</v>
      </c>
      <c r="O23" s="18">
        <f t="shared" si="5"/>
        <v>2737295.1612903229</v>
      </c>
      <c r="P23" s="17" t="s">
        <v>401</v>
      </c>
    </row>
    <row r="24" spans="1:16" x14ac:dyDescent="0.25">
      <c r="A24" s="20">
        <v>27</v>
      </c>
      <c r="B24" s="20" t="s">
        <v>260</v>
      </c>
      <c r="C24" s="21" t="s">
        <v>266</v>
      </c>
      <c r="D24" s="21" t="s">
        <v>216</v>
      </c>
      <c r="E24" s="20" t="s">
        <v>259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311</v>
      </c>
    </row>
    <row r="25" spans="1:16" x14ac:dyDescent="0.25">
      <c r="A25" s="20">
        <v>28</v>
      </c>
      <c r="B25" s="20" t="s">
        <v>260</v>
      </c>
      <c r="C25" s="21" t="s">
        <v>267</v>
      </c>
      <c r="D25" s="21" t="s">
        <v>216</v>
      </c>
      <c r="E25" s="20" t="s">
        <v>259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312</v>
      </c>
    </row>
    <row r="26" spans="1:16" x14ac:dyDescent="0.25">
      <c r="A26" s="16">
        <v>29</v>
      </c>
      <c r="B26" s="16" t="s">
        <v>260</v>
      </c>
      <c r="C26" s="17" t="s">
        <v>404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0"/>
        <v>112210</v>
      </c>
      <c r="K26" s="18">
        <f t="shared" si="1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35000</v>
      </c>
      <c r="O26" s="18">
        <f t="shared" si="5"/>
        <v>1947623.548387097</v>
      </c>
      <c r="P26" s="17" t="s">
        <v>405</v>
      </c>
    </row>
    <row r="27" spans="1:16" x14ac:dyDescent="0.25">
      <c r="A27" s="16">
        <v>30</v>
      </c>
      <c r="B27" s="16" t="s">
        <v>260</v>
      </c>
      <c r="C27" s="17" t="s">
        <v>263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1</v>
      </c>
      <c r="J27" s="18">
        <f t="shared" si="0"/>
        <v>147550</v>
      </c>
      <c r="K27" s="18">
        <f t="shared" si="1"/>
        <v>1147550</v>
      </c>
      <c r="L27" s="19">
        <f t="shared" si="2"/>
        <v>2.3548387096774195</v>
      </c>
      <c r="M27" s="18">
        <f t="shared" si="3"/>
        <v>2702295.1612903229</v>
      </c>
      <c r="N27" s="18">
        <f t="shared" si="4"/>
        <v>35000</v>
      </c>
      <c r="O27" s="18">
        <f t="shared" si="5"/>
        <v>2737295.1612903229</v>
      </c>
      <c r="P27" s="17" t="s">
        <v>403</v>
      </c>
    </row>
    <row r="28" spans="1:16" x14ac:dyDescent="0.25">
      <c r="A28" s="16">
        <v>31</v>
      </c>
      <c r="B28" s="16" t="s">
        <v>260</v>
      </c>
      <c r="C28" s="17" t="s">
        <v>264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1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2.3548387096774195</v>
      </c>
      <c r="M28" s="18">
        <f t="shared" si="3"/>
        <v>1912623.548387097</v>
      </c>
      <c r="N28" s="18">
        <f t="shared" si="4"/>
        <v>35000</v>
      </c>
      <c r="O28" s="18">
        <f t="shared" si="5"/>
        <v>1947623.548387097</v>
      </c>
      <c r="P28" s="17" t="s">
        <v>265</v>
      </c>
    </row>
    <row r="29" spans="1:16" ht="30" x14ac:dyDescent="0.25">
      <c r="A29" s="20">
        <v>32</v>
      </c>
      <c r="B29" s="20" t="s">
        <v>260</v>
      </c>
      <c r="C29" s="21" t="s">
        <v>268</v>
      </c>
      <c r="D29" s="21" t="s">
        <v>216</v>
      </c>
      <c r="E29" s="20" t="s">
        <v>259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313</v>
      </c>
    </row>
    <row r="30" spans="1:16" ht="75" x14ac:dyDescent="0.25">
      <c r="A30" s="16">
        <v>33</v>
      </c>
      <c r="B30" s="16" t="s">
        <v>284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346</v>
      </c>
    </row>
    <row r="31" spans="1:16" ht="30" x14ac:dyDescent="0.25">
      <c r="A31" s="16">
        <v>34</v>
      </c>
      <c r="B31" s="16" t="s">
        <v>284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1</v>
      </c>
      <c r="J31" s="18">
        <f t="shared" si="25"/>
        <v>112210</v>
      </c>
      <c r="K31" s="18">
        <f t="shared" si="26"/>
        <v>812210</v>
      </c>
      <c r="L31" s="19">
        <f t="shared" si="2"/>
        <v>2.3548387096774195</v>
      </c>
      <c r="M31" s="18">
        <f t="shared" si="3"/>
        <v>1912623.548387097</v>
      </c>
      <c r="N31" s="18">
        <f t="shared" si="4"/>
        <v>35000</v>
      </c>
      <c r="O31" s="18">
        <f t="shared" si="5"/>
        <v>1947623.548387097</v>
      </c>
      <c r="P31" s="17" t="s">
        <v>213</v>
      </c>
    </row>
    <row r="32" spans="1:16" ht="45" x14ac:dyDescent="0.25">
      <c r="A32" s="16">
        <v>35</v>
      </c>
      <c r="B32" s="16" t="s">
        <v>391</v>
      </c>
      <c r="C32" s="17" t="s">
        <v>392</v>
      </c>
      <c r="D32" s="17" t="s">
        <v>393</v>
      </c>
      <c r="E32" s="16" t="s">
        <v>80</v>
      </c>
      <c r="F32" s="16" t="s">
        <v>83</v>
      </c>
      <c r="G32" s="16">
        <v>1</v>
      </c>
      <c r="H32" s="18">
        <v>1200000</v>
      </c>
      <c r="I32" s="16">
        <v>1</v>
      </c>
      <c r="J32" s="18">
        <f t="shared" si="25"/>
        <v>171110</v>
      </c>
      <c r="K32" s="18">
        <f t="shared" si="26"/>
        <v>1371110</v>
      </c>
      <c r="L32" s="19">
        <f t="shared" si="2"/>
        <v>2.3548387096774195</v>
      </c>
      <c r="M32" s="18">
        <f t="shared" si="3"/>
        <v>3228742.9032258065</v>
      </c>
      <c r="N32" s="18">
        <f t="shared" si="4"/>
        <v>35000</v>
      </c>
      <c r="O32" s="18">
        <f t="shared" si="5"/>
        <v>3263742.9032258065</v>
      </c>
      <c r="P32" s="17" t="s">
        <v>388</v>
      </c>
    </row>
    <row r="33" spans="1:16" ht="30" x14ac:dyDescent="0.25">
      <c r="A33" s="20">
        <v>36</v>
      </c>
      <c r="B33" s="20" t="s">
        <v>284</v>
      </c>
      <c r="C33" s="21" t="s">
        <v>285</v>
      </c>
      <c r="D33" s="21" t="s">
        <v>214</v>
      </c>
      <c r="E33" s="20" t="s">
        <v>259</v>
      </c>
      <c r="F33" s="20" t="s">
        <v>83</v>
      </c>
      <c r="G33" s="20">
        <v>0</v>
      </c>
      <c r="H33" s="22">
        <v>1000000</v>
      </c>
      <c r="I33" s="20">
        <v>1</v>
      </c>
      <c r="J33" s="22">
        <f t="shared" si="25"/>
        <v>160000</v>
      </c>
      <c r="K33" s="22">
        <f t="shared" si="26"/>
        <v>0</v>
      </c>
      <c r="L33" s="23">
        <f t="shared" si="2"/>
        <v>2.3548387096774195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314</v>
      </c>
    </row>
    <row r="34" spans="1:16" ht="30" x14ac:dyDescent="0.25">
      <c r="A34" s="20">
        <v>37</v>
      </c>
      <c r="B34" s="20" t="s">
        <v>284</v>
      </c>
      <c r="C34" s="21" t="s">
        <v>286</v>
      </c>
      <c r="D34" s="21" t="s">
        <v>214</v>
      </c>
      <c r="E34" s="20" t="s">
        <v>259</v>
      </c>
      <c r="F34" s="20" t="s">
        <v>83</v>
      </c>
      <c r="G34" s="20">
        <v>0</v>
      </c>
      <c r="H34" s="22">
        <v>700000</v>
      </c>
      <c r="I34" s="20">
        <v>1</v>
      </c>
      <c r="J34" s="22">
        <f t="shared" si="25"/>
        <v>112000</v>
      </c>
      <c r="K34" s="22">
        <f t="shared" si="26"/>
        <v>0</v>
      </c>
      <c r="L34" s="23">
        <f t="shared" si="2"/>
        <v>2.3548387096774195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315</v>
      </c>
    </row>
    <row r="35" spans="1:16" x14ac:dyDescent="0.25">
      <c r="A35" s="7"/>
      <c r="B35" s="7"/>
      <c r="C35" s="7" t="s">
        <v>341</v>
      </c>
      <c r="D35" s="7"/>
      <c r="E35" s="7"/>
      <c r="F35" s="7"/>
      <c r="G35" s="7">
        <f>SUM(G5:G34)</f>
        <v>23</v>
      </c>
      <c r="H35" s="6">
        <f>SUMPRODUCT(G5:G34,H5:H34)</f>
        <v>24900000</v>
      </c>
      <c r="I35" s="7"/>
      <c r="J35" s="6"/>
      <c r="K35" s="6">
        <f>SUM(K5:K34)</f>
        <v>28517470</v>
      </c>
      <c r="L35" s="7"/>
      <c r="M35" s="6">
        <f>SUM(M5:M34)</f>
        <v>68758393.225806445</v>
      </c>
      <c r="N35" s="6">
        <f t="shared" ref="N35:O35" si="27">SUM(N5:N34)</f>
        <v>665000</v>
      </c>
      <c r="O35" s="6">
        <f t="shared" si="27"/>
        <v>69423393.225806445</v>
      </c>
      <c r="P35" s="7"/>
    </row>
    <row r="36" spans="1:16" x14ac:dyDescent="0.25">
      <c r="C36" t="s">
        <v>342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343</v>
      </c>
      <c r="G37">
        <f>G35-G36</f>
        <v>6</v>
      </c>
      <c r="H37" s="5">
        <f>H35-H36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347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291</v>
      </c>
      <c r="E3" s="25" t="s">
        <v>292</v>
      </c>
      <c r="F3" s="25" t="s">
        <v>293</v>
      </c>
      <c r="G3" s="25" t="s">
        <v>294</v>
      </c>
      <c r="H3" s="25" t="s">
        <v>339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295</v>
      </c>
      <c r="C4" s="27" t="s">
        <v>214</v>
      </c>
      <c r="D4" s="27" t="s">
        <v>296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297</v>
      </c>
      <c r="C5" s="27" t="s">
        <v>214</v>
      </c>
      <c r="D5" s="27" t="s">
        <v>298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299</v>
      </c>
      <c r="C6" s="27" t="s">
        <v>300</v>
      </c>
      <c r="D6" s="27" t="s">
        <v>301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302</v>
      </c>
      <c r="C7" s="27" t="s">
        <v>303</v>
      </c>
      <c r="D7" s="27" t="s">
        <v>304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305</v>
      </c>
      <c r="C8" s="27" t="s">
        <v>303</v>
      </c>
      <c r="D8" s="27" t="s">
        <v>306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30" x14ac:dyDescent="0.25">
      <c r="A9" s="26">
        <v>6</v>
      </c>
      <c r="B9" s="27" t="s">
        <v>414</v>
      </c>
      <c r="C9" s="27" t="s">
        <v>415</v>
      </c>
      <c r="D9" s="27" t="s">
        <v>416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1</v>
      </c>
      <c r="I9" s="29">
        <f t="shared" si="2"/>
        <v>2.3548387096774195</v>
      </c>
      <c r="J9" s="28">
        <f t="shared" si="3"/>
        <v>1912129.0322580647</v>
      </c>
    </row>
    <row r="10" spans="1:10" ht="45" x14ac:dyDescent="0.25">
      <c r="A10" s="26">
        <v>7</v>
      </c>
      <c r="B10" s="27" t="s">
        <v>307</v>
      </c>
      <c r="C10" s="27" t="s">
        <v>303</v>
      </c>
      <c r="D10" s="27" t="s">
        <v>308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309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14855483.870967744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338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 t="shared" ref="G5:G11" si="0"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 t="shared" si="0"/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 t="shared" si="0"/>
        <v>374713.70967741939</v>
      </c>
    </row>
    <row r="8" spans="1:7" ht="27.75" customHeight="1" x14ac:dyDescent="0.25">
      <c r="A8" s="4" t="s">
        <v>417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IF(C8&gt;0,SUMIFS(Штат!$L$5:$L$34,Штат!$B$5:$B$34,"Департамент социологических*",Штат!$E$5:$E$34,"штат")/C8,0)</f>
        <v>2.3548387096774195</v>
      </c>
      <c r="G8" s="5">
        <f t="shared" si="0"/>
        <v>838469.75806451612</v>
      </c>
    </row>
    <row r="9" spans="1:7" ht="27.75" customHeight="1" x14ac:dyDescent="0.25">
      <c r="A9" s="4" t="s">
        <v>418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IF(C9&gt;0,SUMIFS(Штат!$L$5:$L$34,Штат!$B$5:$B$34,"Департамент проектного управления*",Штат!$E$5:$E$34,"штат")/C9,0)</f>
        <v>1.9677419354838712</v>
      </c>
      <c r="G9" s="5">
        <f t="shared" si="0"/>
        <v>1315091.1290322582</v>
      </c>
    </row>
    <row r="10" spans="1:7" ht="27.75" customHeight="1" x14ac:dyDescent="0.25">
      <c r="A10" s="4" t="s">
        <v>288</v>
      </c>
      <c r="C10">
        <f>SUM(Штат!G20:G21)</f>
        <v>1</v>
      </c>
      <c r="D10" s="9">
        <v>1</v>
      </c>
      <c r="E10" s="9">
        <v>0</v>
      </c>
      <c r="F10" s="15">
        <f>Штат!L20</f>
        <v>2.3548387096774195</v>
      </c>
      <c r="G10" s="5">
        <f t="shared" si="0"/>
        <v>37471.370967741932</v>
      </c>
    </row>
    <row r="11" spans="1:7" ht="27.75" customHeight="1" x14ac:dyDescent="0.25">
      <c r="A11" s="4" t="s">
        <v>419</v>
      </c>
      <c r="C11">
        <f>SUM(Штат!G22:G29)</f>
        <v>5</v>
      </c>
      <c r="D11" s="9">
        <v>4</v>
      </c>
      <c r="E11" s="9">
        <v>4</v>
      </c>
      <c r="F11" s="15">
        <f>Штат!L22</f>
        <v>2.3548387096774195</v>
      </c>
      <c r="G11" s="5">
        <f t="shared" si="0"/>
        <v>1863266.1290322582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4906387.0967741935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348</v>
      </c>
    </row>
    <row r="2" spans="1:9" ht="15" customHeight="1" x14ac:dyDescent="0.25">
      <c r="A2" s="2" t="s">
        <v>349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350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420</v>
      </c>
      <c r="I5" s="5">
        <f t="shared" ref="I5:I39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328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318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368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272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421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271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369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273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274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275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276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326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327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329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330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331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332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370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424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335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336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337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371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325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270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379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380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381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382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19</v>
      </c>
      <c r="E49" s="10">
        <v>7000</v>
      </c>
      <c r="F49" s="9" t="s">
        <v>121</v>
      </c>
      <c r="G49" s="9">
        <v>1</v>
      </c>
      <c r="H49" s="4" t="s">
        <v>372</v>
      </c>
      <c r="I49" s="5">
        <f t="shared" si="3"/>
        <v>399000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316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373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374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351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289</v>
      </c>
      <c r="B5" s="4" t="s">
        <v>290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289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289</v>
      </c>
      <c r="B7" s="4" t="s">
        <v>334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289</v>
      </c>
      <c r="B8" s="4" t="s">
        <v>333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289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289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289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352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378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317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376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377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367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2026-10-20T07:59:53Z</dcterms:modified>
  <dc:language>en-US</dc:language>
</cp:coreProperties>
</file>