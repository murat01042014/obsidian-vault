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" i="1" l="1"/>
  <c r="C4" i="1"/>
  <c r="B4" i="1"/>
  <c r="L77" i="5"/>
  <c r="K77" i="5"/>
  <c r="J77" i="5"/>
  <c r="L76" i="5"/>
  <c r="K76" i="5"/>
  <c r="L75" i="5"/>
  <c r="K75" i="5"/>
  <c r="J75" i="5"/>
  <c r="L74" i="5"/>
  <c r="K74" i="5"/>
  <c r="J74" i="5"/>
  <c r="L73" i="5"/>
  <c r="K73" i="5"/>
  <c r="J73" i="5"/>
  <c r="L72" i="5"/>
  <c r="K72" i="5"/>
  <c r="J72" i="5"/>
  <c r="L71" i="5"/>
  <c r="K71" i="5"/>
  <c r="L70" i="5"/>
  <c r="K70" i="5"/>
  <c r="J70" i="5"/>
  <c r="L69" i="5"/>
  <c r="K69" i="5"/>
  <c r="J69" i="5"/>
  <c r="L68" i="5"/>
  <c r="K68" i="5"/>
  <c r="J68" i="5"/>
  <c r="L67" i="5"/>
  <c r="K67" i="5"/>
  <c r="J67" i="5"/>
  <c r="L66" i="5"/>
  <c r="K66" i="5"/>
  <c r="L64" i="5"/>
  <c r="K64" i="5"/>
  <c r="J64" i="5"/>
  <c r="L62" i="5"/>
  <c r="K62" i="5"/>
  <c r="J62" i="5"/>
  <c r="L61" i="5"/>
  <c r="K61" i="5"/>
  <c r="J61" i="5"/>
  <c r="L60" i="5"/>
  <c r="K60" i="5"/>
  <c r="J60" i="5"/>
  <c r="L59" i="5"/>
  <c r="K59" i="5"/>
  <c r="L57" i="5"/>
  <c r="K57" i="5"/>
  <c r="L56" i="5"/>
  <c r="J56" i="5"/>
  <c r="L55" i="5"/>
  <c r="K55" i="5"/>
  <c r="L54" i="5"/>
  <c r="J54" i="5"/>
  <c r="L53" i="5"/>
  <c r="K53" i="5"/>
  <c r="L52" i="5"/>
  <c r="K52" i="5"/>
  <c r="L51" i="5"/>
  <c r="K51" i="5"/>
  <c r="L50" i="5"/>
  <c r="K50" i="5"/>
  <c r="L49" i="5"/>
  <c r="J49" i="5"/>
  <c r="L48" i="5"/>
  <c r="K48" i="5"/>
  <c r="L47" i="5"/>
  <c r="K47" i="5"/>
  <c r="L46" i="5"/>
  <c r="J46" i="5"/>
  <c r="L45" i="5"/>
  <c r="J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J32" i="5"/>
  <c r="L31" i="5"/>
  <c r="J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C14" i="1" l="1"/>
  <c r="D14" i="1"/>
  <c r="D11" i="1"/>
  <c r="C13" i="1"/>
  <c r="D13" i="1"/>
  <c r="B14" i="1"/>
  <c r="E14" i="1" s="1"/>
  <c r="E63" i="5"/>
  <c r="E42" i="5"/>
  <c r="I42" i="5" s="1"/>
  <c r="J42" i="5" s="1"/>
  <c r="I63" i="5" l="1"/>
  <c r="L63" i="5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B8" i="1" l="1"/>
  <c r="D8" i="1"/>
  <c r="C8" i="1"/>
  <c r="G11" i="9"/>
  <c r="B20" i="16"/>
  <c r="B21" i="16"/>
  <c r="B22" i="16" s="1"/>
  <c r="I11" i="9"/>
  <c r="H11" i="9"/>
  <c r="B5" i="16"/>
  <c r="B11" i="16" s="1"/>
  <c r="C11" i="16" s="1"/>
  <c r="D11" i="16" s="1"/>
  <c r="E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8" i="5"/>
  <c r="E26" i="5" s="1"/>
  <c r="I9" i="5" l="1"/>
  <c r="J9" i="5" s="1"/>
  <c r="L33" i="3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J10" i="8" l="1"/>
  <c r="I10" i="8"/>
  <c r="H10" i="8"/>
  <c r="H5" i="8"/>
  <c r="I5" i="8"/>
  <c r="J5" i="8"/>
  <c r="I7" i="8"/>
  <c r="J7" i="8"/>
  <c r="H7" i="8"/>
  <c r="H8" i="8"/>
  <c r="I8" i="8"/>
  <c r="J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J6" i="8"/>
  <c r="I6" i="8"/>
  <c r="I13" i="8" s="1"/>
  <c r="C19" i="1" s="1"/>
  <c r="J13" i="8"/>
  <c r="D19" i="1" s="1"/>
  <c r="I9" i="8"/>
  <c r="J9" i="8"/>
  <c r="H9" i="8"/>
  <c r="H13" i="8" s="1"/>
  <c r="B19" i="1" s="1"/>
  <c r="G13" i="8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E19" i="1" l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s="1"/>
  <c r="E66" i="5" l="1"/>
  <c r="I66" i="5" s="1"/>
  <c r="J66" i="5" s="1"/>
  <c r="E51" i="5" l="1"/>
  <c r="I51" i="5" s="1"/>
  <c r="J51" i="5" s="1"/>
  <c r="E43" i="5" l="1"/>
  <c r="E41" i="5" l="1"/>
  <c r="I41" i="5" s="1"/>
  <c r="J41" i="5" s="1"/>
  <c r="B44" i="2"/>
  <c r="B42" i="2"/>
  <c r="C11" i="4" l="1"/>
  <c r="C10" i="4"/>
  <c r="C7" i="4"/>
  <c r="A7" i="4"/>
  <c r="C6" i="4"/>
  <c r="A6" i="4"/>
  <c r="C5" i="4"/>
  <c r="A5" i="4"/>
  <c r="H38" i="3" l="1"/>
  <c r="H43" i="3" s="1"/>
  <c r="G38" i="3"/>
  <c r="E5" i="1" s="1"/>
  <c r="H44" i="3" l="1"/>
  <c r="E40" i="5"/>
  <c r="I40" i="5" s="1"/>
  <c r="J40" i="5" s="1"/>
  <c r="E39" i="5"/>
  <c r="I39" i="5" s="1"/>
  <c r="J39" i="5" s="1"/>
  <c r="E37" i="5"/>
  <c r="C7" i="1" l="1"/>
  <c r="E7" i="1" s="1"/>
  <c r="I44" i="5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O20" i="3" l="1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7" i="5"/>
  <c r="I76" i="5"/>
  <c r="J76" i="5" s="1"/>
  <c r="I75" i="5"/>
  <c r="I74" i="5"/>
  <c r="I71" i="5"/>
  <c r="J71" i="5" s="1"/>
  <c r="B13" i="1" s="1"/>
  <c r="E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B11" i="1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D10" i="1" s="1"/>
  <c r="K58" i="5" l="1"/>
  <c r="J58" i="5"/>
  <c r="L58" i="5"/>
  <c r="D12" i="1" s="1"/>
  <c r="D17" i="1" s="1"/>
  <c r="J65" i="5"/>
  <c r="K65" i="5"/>
  <c r="L65" i="5"/>
  <c r="G8" i="4"/>
  <c r="G9" i="4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20" i="1" l="1"/>
  <c r="E20" i="1" s="1"/>
  <c r="B6" i="1"/>
  <c r="B12" i="1"/>
  <c r="D6" i="1"/>
  <c r="D15" i="1" s="1"/>
  <c r="C6" i="1"/>
  <c r="C12" i="1"/>
  <c r="M7" i="3"/>
  <c r="O7" i="3" s="1"/>
  <c r="M6" i="3"/>
  <c r="O6" i="3" s="1"/>
  <c r="N37" i="3"/>
  <c r="G24" i="6"/>
  <c r="E49" i="5" s="1"/>
  <c r="I49" i="5" s="1"/>
  <c r="M15" i="3"/>
  <c r="O15" i="3" s="1"/>
  <c r="M24" i="3"/>
  <c r="O24" i="3" s="1"/>
  <c r="G12" i="4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C10" i="1" l="1"/>
  <c r="B10" i="1"/>
  <c r="B9" i="1"/>
  <c r="E9" i="1" s="1"/>
  <c r="E6" i="1"/>
  <c r="D16" i="1"/>
  <c r="D18" i="1" s="1"/>
  <c r="D21" i="1" s="1"/>
  <c r="K49" i="5"/>
  <c r="C11" i="1" s="1"/>
  <c r="C15" i="1" s="1"/>
  <c r="E12" i="1"/>
  <c r="B17" i="1"/>
  <c r="O5" i="3"/>
  <c r="M37" i="3"/>
  <c r="E10" i="1" l="1"/>
  <c r="C16" i="1"/>
  <c r="C18" i="1" s="1"/>
  <c r="C21" i="1" s="1"/>
  <c r="B15" i="1"/>
  <c r="C17" i="1"/>
  <c r="E17" i="1" s="1"/>
  <c r="E11" i="1"/>
  <c r="O37" i="3"/>
  <c r="E15" i="1" l="1"/>
  <c r="B16" i="1"/>
  <c r="E16" i="1" s="1"/>
  <c r="B18" i="1" l="1"/>
  <c r="B21" i="1" s="1"/>
  <c r="E18" i="1" l="1"/>
  <c r="E21" i="1" s="1"/>
  <c r="B23" i="1"/>
  <c r="C23" i="1" l="1"/>
  <c r="B25" i="1"/>
  <c r="E25" i="1"/>
  <c r="D23" i="1" l="1"/>
  <c r="D25" i="1" s="1"/>
  <c r="C25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<sst xmlns="http://schemas.openxmlformats.org/spreadsheetml/2006/main" count="1055" uniqueCount="574">
  <si>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</si>
  <si>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</si>
  <si>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</si>
  <si>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</si>
  <si>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</si>
  <si>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</si>
  <si>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</si>
  <si>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</si>
  <si>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</si>
  <si>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</si>
  <si>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</si>
  <si>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</si>
  <si>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</si>
  <si>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</si>
  <si>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</si>
  <si>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</si>
  <si>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</si>
  <si>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</si>
  <si>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</si>
  <si>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</si>
  <si>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</si>
  <si>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</si>
  <si>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</si>
  <si>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</si>
  <si>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</si>
  <si>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</si>
  <si>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</si>
  <si>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</si>
  <si>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</si>
  <si>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</si>
  <si>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</si>
  <si>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</si>
  <si>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</si>
  <si>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</si>
  <si>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</si>
  <si>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</si>
  <si>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</si>
  <si>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</si>
  <si>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</si>
  <si>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</si>
  <si>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</si>
  <si>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</si>
  <si>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</si>
  <si>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</si>
  <si>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</si>
  <si>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</si>
  <si>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</si>
  <si>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</si>
  <si>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</si>
  <si>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</si>
  <si>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</si>
  <si>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</si>
  <si>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</si>
  <si>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</si>
  <si>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</si>
  <si>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</si>
  <si>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</si>
  <si>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</si>
  <si>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</si>
  <si>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</si>
  <si>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</si>
  <si>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</si>
  <si>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</si>
  <si>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</si>
  <si>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</si>
  <si>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</si>
  <si>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</si>
  <si>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</si>
  <si>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</si>
  <si>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</si>
  <si>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</si>
  <si>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</si>
  <si>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</si>
  <si>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</si>
  <si>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</si>
  <si>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</si>
  <si>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</si>
  <si>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</si>
  <si>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</si>
  <si>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</si>
  <si>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</si>
  <si>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</si>
  <si>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</si>
  <si>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</si>
  <si>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</si>
  <si>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</si>
  <si>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</si>
  <si>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</si>
  <si>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</si>
  <si>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</si>
  <si>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</si>
  <si>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</si>
  <si>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</si>
  <si>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</si>
  <si>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</si>
  <si>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</si>
  <si>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</si>
  <si>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</si>
  <si>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</si>
  <si>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</si>
  <si>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</si>
  <si>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</si>
  <si>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</si>
  <si>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</si>
  <si>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</si>
  <si>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</si>
  <si>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</si>
  <si>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</si>
  <si>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</si>
  <si>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</si>
  <si>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</si>
  <si>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</si>
  <si>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</si>
  <si>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</si>
  <si>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</si>
  <si>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</si>
  <si>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</si>
  <si>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</si>
  <si>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</si>
  <si>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</si>
  <si>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</si>
  <si>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</si>
  <si>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</si>
  <si>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</si>
  <si>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</si>
  <si>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</si>
  <si>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</si>
  <si>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</si>
  <si>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</si>
  <si>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</si>
  <si>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</si>
  <si>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</si>
  <si>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</si>
  <si>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</si>
  <si>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</si>
  <si>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</si>
  <si>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</si>
  <si>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</si>
  <si>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</si>
  <si>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</si>
  <si>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</si>
  <si>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</si>
  <si>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</si>
  <si>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</si>
  <si>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</si>
  <si>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</si>
  <si>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</si>
  <si>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</si>
  <si>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</si>
  <si>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</si>
  <si>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</si>
  <si>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</si>
  <si>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</si>
  <si>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</si>
  <si>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</si>
  <si>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</si>
  <si>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</si>
  <si>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</si>
  <si>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</si>
  <si>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</si>
  <si>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</si>
  <si>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</si>
  <si>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</si>
  <si>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</si>
  <si>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</si>
  <si>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</si>
  <si>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</si>
  <si>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</si>
  <si>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</si>
  <si>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</si>
  <si>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</si>
  <si>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</si>
  <si>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</si>
  <si>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</si>
  <si>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</si>
  <si>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</si>
  <si>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</si>
  <si>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</si>
  <si>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</si>
  <si>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</si>
  <si>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</si>
  <si>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</si>
  <si>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</si>
  <si>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</si>
  <si>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</si>
  <si>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</si>
  <si>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</si>
  <si>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</si>
  <si>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</si>
  <si>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</si>
  <si>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</si>
  <si>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</si>
  <si>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</si>
  <si>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</si>
  <si>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</si>
  <si>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</si>
  <si>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</si>
  <si>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</si>
  <si>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</si>
  <si>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</si>
  <si>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</si>
  <si>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</si>
  <si>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</si>
  <si>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</si>
  <si>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</si>
  <si>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</si>
  <si>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</si>
  <si>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</si>
  <si>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</si>
  <si>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</si>
  <si>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</si>
  <si>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</si>
  <si>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</si>
  <si>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</si>
  <si>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</si>
  <si>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</si>
  <si>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</si>
  <si>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</si>
  <si>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</si>
  <si>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</si>
  <si>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</si>
  <si>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</si>
  <si>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</si>
  <si>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</si>
  <si>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</si>
  <si>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</si>
  <si>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</si>
  <si>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</si>
  <si>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</si>
  <si>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</si>
  <si>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</si>
  <si>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</si>
  <si>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</si>
  <si>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</si>
  <si>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</si>
  <si>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</si>
  <si>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</si>
  <si>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</si>
  <si>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</si>
  <si>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</si>
  <si>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</si>
  <si>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</si>
  <si>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</si>
  <si>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</si>
  <si>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</si>
  <si>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</si>
  <si>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</si>
  <si>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</si>
  <si>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</si>
  <si>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</si>
  <si>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</si>
  <si>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</si>
  <si>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</si>
  <si>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</si>
  <si>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</si>
  <si>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</si>
  <si>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</si>
  <si>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</si>
  <si>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</si>
  <si>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</si>
  <si>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</si>
  <si>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</si>
  <si>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</si>
  <si>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</si>
  <si>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</si>
  <si>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</si>
  <si>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</si>
  <si>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</si>
  <si>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</si>
  <si>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</si>
  <si>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</si>
  <si>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</si>
  <si>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</si>
  <si>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</si>
  <si>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</si>
  <si>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</si>
  <si>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</si>
  <si>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</si>
  <si>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</si>
  <si>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</si>
  <si>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</si>
  <si>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</si>
  <si>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</si>
  <si>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</si>
  <si>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</si>
  <si>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</si>
  <si>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</si>
  <si>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</si>
  <si>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</si>
  <si>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</si>
  <si>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</si>
  <si>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</si>
  <si>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</si>
  <si>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</si>
  <si>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</si>
  <si>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</si>
  <si>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</si>
  <si>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</si>
  <si>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</si>
  <si>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</si>
  <si>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</si>
  <si>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</si>
  <si>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</si>
  <si>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</si>
  <si>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</si>
  <si>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</si>
  <si>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</si>
  <si>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</si>
  <si>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</si>
  <si>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</si>
  <si>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</si>
  <si>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</si>
  <si>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</si>
  <si>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</si>
  <si>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</si>
  <si>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</si>
  <si>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</si>
  <si>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</si>
  <si>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</si>
  <si>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</si>
  <si>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</si>
  <si>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</si>
  <si>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</si>
  <si>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</si>
  <si>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</si>
  <si>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</si>
  <si>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</si>
  <si>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</si>
  <si>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</si>
  <si>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</si>
  <si>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</si>
  <si>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</si>
  <si>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</si>
  <si>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</si>
  <si>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</si>
  <si>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</si>
  <si>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</si>
  <si>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</si>
  <si>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</si>
  <si>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</si>
  <si>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</si>
  <si>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</si>
  <si>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</si>
  <si>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</si>
  <si>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</si>
  <si>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</si>
  <si>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</si>
  <si>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</si>
  <si>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</si>
  <si>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</si>
  <si>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</si>
  <si>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</si>
  <si>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</si>
  <si>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</si>
  <si>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</si>
  <si>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</si>
  <si>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</si>
  <si>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</si>
  <si>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</si>
  <si>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</si>
  <si>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</si>
  <si>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</si>
  <si>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</si>
  <si>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</si>
  <si>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</si>
  <si>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</si>
  <si>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</si>
  <si>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</si>
  <si>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</si>
  <si>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</si>
  <si>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</si>
  <si>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</si>
  <si>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</si>
  <si>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</si>
  <si>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</si>
  <si>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</si>
  <si>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</si>
  <si>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</si>
  <si>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</si>
  <si>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</si>
  <si>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</si>
  <si>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</si>
  <si>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</si>
  <si>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</si>
  <si>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</si>
  <si>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</si>
  <si>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</si>
  <si>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</si>
  <si>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</si>
  <si>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</si>
  <si>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</si>
  <si>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</si>
  <si>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</si>
  <si>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</si>
  <si>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</si>
  <si>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</si>
  <si>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</si>
  <si>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</si>
  <si>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</si>
  <si>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</si>
  <si>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</si>
  <si>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</si>
  <si>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</si>
  <si>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</si>
  <si>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</si>
  <si>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</si>
  <si>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</si>
  <si>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</si>
  <si>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</si>
  <si>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</si>
  <si>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</si>
  <si>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</si>
  <si>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</si>
  <si>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</si>
  <si>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</si>
  <si>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</si>
  <si>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</si>
  <si>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</si>
  <si>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</si>
  <si>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</si>
  <si>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</si>
  <si>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</si>
  <si>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</si>
  <si>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</si>
  <si>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</si>
  <si>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</si>
  <si>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</si>
  <si>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</si>
  <si>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</si>
  <si>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</si>
  <si>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</si>
  <si>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</si>
  <si>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</si>
  <si>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</si>
  <si>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</si>
  <si>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</si>
  <si>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</si>
  <si>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</si>
  <si>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</si>
  <si>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</si>
  <si>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</si>
  <si>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</si>
  <si>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</si>
  <si>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</si>
  <si>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</si>
  <si>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</si>
  <si>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</si>
  <si>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</si>
  <si>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</si>
  <si>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</si>
  <si>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</si>
  <si>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</si>
  <si>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</si>
  <si>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</si>
  <si>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</si>
  <si>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</si>
  <si>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</si>
  <si>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</si>
  <si>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</si>
  <si>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</si>
  <si>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</si>
  <si>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</si>
  <si>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</si>
  <si>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</si>
  <si>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</si>
  <si>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</si>
  <si>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</si>
  <si>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</si>
  <si>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</si>
  <si>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</si>
  <si>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</si>
  <si>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</si>
  <si>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</si>
  <si>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</si>
  <si>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</si>
  <si>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</si>
  <si>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</si>
  <si>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</si>
  <si>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</si>
  <si>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</si>
  <si>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</si>
  <si>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</si>
  <si>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</si>
  <si>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</si>
  <si>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</si>
  <si>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</si>
  <si>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</si>
  <si>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</si>
  <si>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</si>
  <si>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</si>
  <si>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</si>
  <si>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</si>
  <si>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</si>
  <si>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</si>
  <si>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</si>
  <si>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</si>
  <si>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</si>
  <si>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</si>
  <si>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</si>
  <si>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</si>
  <si>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</si>
  <si>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</si>
  <si>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</si>
  <si>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</si>
  <si>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</si>
  <si>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</si>
  <si>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</si>
  <si>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</si>
  <si>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</si>
  <si>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</si>
  <si>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</si>
  <si>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</si>
  <si>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</si>
  <si>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</si>
  <si>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</si>
  <si>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</si>
  <si>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</si>
  <si>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</si>
  <si>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</si>
  <si>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</si>
  <si>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</si>
  <si>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</si>
  <si>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</si>
  <si>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</si>
  <si>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</si>
  <si>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</si>
  <si>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</si>
  <si>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</si>
  <si>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</si>
  <si>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</si>
  <si>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</si>
  <si>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</si>
  <si>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</si>
  <si>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</si>
  <si>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</si>
  <si>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</si>
  <si>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</si>
  <si>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</si>
  <si>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</si>
  <si>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</si>
  <si>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</si>
  <si>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</si>
  <si>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</si>
  <si>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</si>
  <si>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</si>
  <si>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</si>
  <si>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</si>
  <si>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</si>
  <si>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</si>
  <si>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</si>
  <si>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</si>
  <si>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</si>
  <si>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</si>
  <si>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</si>
  <si>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</si>
  <si>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</si>
  <si>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</si>
  <si>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</si>
  <si>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</si>
  <si>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</si>
  <si>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</si>
  <si>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</si>
  <si>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</si>
  <si>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</si>
  <si>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Январь 2027</t>
  </si>
  <si>
    <t>Месяц оплаты разовых (11 / 12)</t>
  </si>
  <si>
    <t>Итого ноябрь 2026 – январь 2027</t>
  </si>
  <si>
    <t>НДС 16% на закупки, аренду, услуги и подписки (п. 5–8; аутсорс и командировки – уже с НДС, оклады, ОСНС и депозит – без НДС)</t>
  </si>
  <si>
    <t>Нарастающим итогом</t>
  </si>
  <si>
    <t>Финансирование</t>
  </si>
  <si>
    <t>Разница с 250 млн (+ остаток / − не хватает)</t>
  </si>
  <si>
    <t>Бюджет ЦАКФ на ноябрь 2026 – январь 2027 года, ₸</t>
  </si>
  <si>
    <t>В. Долг по зарплате и налогам за июль–октябрь 2026 (4 действующих работника Фонда: оклады и отчисления работодателя за 4 месяца, выплата в ноябре)</t>
  </si>
  <si>
    <t>ВСЕГО (А + Б + 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</si>
</sst>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0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5"/>
  <sheetViews>
    <sheetView tabSelected="1" zoomScaleNormal="100" workbookViewId="0">
      <selection activeCell="A20" sqref="A20:XFD20"/>
    </sheetView>
  </sheetViews>
  <sheetFormatPr defaultColWidth="8.7109375" defaultRowHeight="15" x14ac:dyDescent="0.25"/>
  <cols>
    <col min="1" max="1" width="80.7109375" style="4" customWidth="1"/>
    <col min="2" max="5" width="22.7109375" style="4" customWidth="1"/>
    <col min="6" max="16384" width="8.7109375" style="4"/>
  </cols>
  <sheetData>
    <row r="1" spans="1:5" ht="17.25" x14ac:dyDescent="0.3">
      <c r="A1" s="33" t="s">
        <v>571</v>
      </c>
    </row>
    <row r="3" spans="1:5" ht="30" x14ac:dyDescent="0.25">
      <c r="A3" s="35" t="s">
        <v>0</v>
      </c>
      <c r="B3" s="35" t="s">
        <v>562</v>
      </c>
      <c r="C3" s="35" t="s">
        <v>563</v>
      </c>
      <c r="D3" s="35" t="s">
        <v>564</v>
      </c>
      <c r="E3" s="35" t="s">
        <v>566</v>
      </c>
    </row>
    <row r="4" spans="1:5" x14ac:dyDescent="0.25">
      <c r="A4" s="36" t="s">
        <v>330</v>
      </c>
      <c r="B4" s="37">
        <f>SUMPRODUCT((Штат!$E$5:$E$36="штат")*Штат!$G$5:$G$36*(Штат!$I$5:$I$36&lt;=2))</f>
        <v>21</v>
      </c>
      <c r="C4" s="37">
        <f>SUMPRODUCT((Штат!$E$5:$E$36="штат")*Штат!$G$5:$G$36*(Штат!$I$5:$I$36&lt;=3))</f>
        <v>22</v>
      </c>
      <c r="D4" s="37">
        <f>SUMPRODUCT((Штат!$E$5:$E$36="штат")*Штат!$G$5:$G$36*(Штат!$I$5:$I$36&lt;=3))</f>
        <v>22</v>
      </c>
      <c r="E4" s="37"/>
    </row>
    <row r="5" spans="1:5" x14ac:dyDescent="0.25">
      <c r="A5" s="36" t="s">
        <v>331</v>
      </c>
      <c r="B5" s="37"/>
      <c r="C5" s="37"/>
      <c r="D5" s="37"/>
      <c r="E5" s="37">
        <f>Штат!G38</f>
        <v>15</v>
      </c>
    </row>
    <row r="6" spans="1:5" x14ac:dyDescent="0.25">
      <c r="A6" s="36" t="s">
        <v>332</v>
      </c>
      <c r="B6" s="38">
        <f>SUMPRODUCT((Штат!$E$5:$E$36="штат")*Штат!$K$5:$K$36*(Штат!$I$5:$I$36&lt;=2))</f>
        <v>25551690</v>
      </c>
      <c r="C6" s="38">
        <f>SUMPRODUCT((Штат!$E$5:$E$36="штат")*Штат!$K$5:$K$36*(Штат!$I$5:$I$36&lt;=3))</f>
        <v>27034580</v>
      </c>
      <c r="D6" s="38">
        <f>SUMPRODUCT((Штат!$E$5:$E$36="штат")*Штат!$K$5:$K$36*(Штат!$I$5:$I$36&lt;=3))</f>
        <v>27034580</v>
      </c>
      <c r="E6" s="38">
        <f t="shared" ref="E6:E21" si="0">SUM(B6:D6)</f>
        <v>79620850</v>
      </c>
    </row>
    <row r="7" spans="1:5" ht="30" x14ac:dyDescent="0.25">
      <c r="A7" s="36" t="s">
        <v>489</v>
      </c>
      <c r="B7" s="38">
        <v>0</v>
      </c>
      <c r="C7" s="38">
        <f>Штат!$H$44</f>
        <v>9389520</v>
      </c>
      <c r="D7" s="38">
        <v>0</v>
      </c>
      <c r="E7" s="38">
        <f t="shared" si="0"/>
        <v>9389520</v>
      </c>
    </row>
    <row r="8" spans="1:5" ht="30" x14ac:dyDescent="0.25">
      <c r="A8" s="36" t="s">
        <v>387</v>
      </c>
      <c r="B8" s="38">
        <f>SUMPRODUCT(Аутсорс!$I$4:$I$10*((Аутсорс!$J$4:$J$10&lt;=1)+(Аутсорс!$J$4:$J$10&lt;=2)))</f>
        <v>6881596</v>
      </c>
      <c r="C8" s="38">
        <f>SUMPRODUCT(Аутсорс!$I$4:$I$10*(Аутсорс!$J$4:$J$10&lt;=3))</f>
        <v>6881596</v>
      </c>
      <c r="D8" s="38">
        <f>SUMPRODUCT(Аутсорс!$I$4:$I$10*(Аутсорс!$J$4:$J$10&lt;=3))</f>
        <v>6881596</v>
      </c>
      <c r="E8" s="38">
        <f t="shared" si="0"/>
        <v>20644788</v>
      </c>
    </row>
    <row r="9" spans="1:5" x14ac:dyDescent="0.25">
      <c r="A9" s="36" t="s">
        <v>357</v>
      </c>
      <c r="B9" s="38">
        <f>Штат!$N$37</f>
        <v>611142.85714285716</v>
      </c>
      <c r="C9" s="38">
        <v>0</v>
      </c>
      <c r="D9" s="38">
        <v>0</v>
      </c>
      <c r="E9" s="38">
        <f t="shared" si="0"/>
        <v>611142.85714285716</v>
      </c>
    </row>
    <row r="10" spans="1:5" x14ac:dyDescent="0.25">
      <c r="A10" s="36" t="s">
        <v>333</v>
      </c>
      <c r="B10" s="38">
        <f>Командировки!$G$12/2</f>
        <v>1899506.25</v>
      </c>
      <c r="C10" s="38">
        <f>Командировки!$G$12/2</f>
        <v>1899506.25</v>
      </c>
      <c r="D10" s="38">
        <f>SUMPRODUCT(Командировки!$C$5:$C$11*(Командировки!$D$5:$D$11/12*Поездка_РК+Командировки!$E$5:$E$11*Поездка_местн))</f>
        <v>1958850</v>
      </c>
      <c r="E10" s="38">
        <f t="shared" si="0"/>
        <v>5757862.5</v>
      </c>
    </row>
    <row r="11" spans="1:5" ht="30" x14ac:dyDescent="0.25">
      <c r="A11" s="36" t="s">
        <v>334</v>
      </c>
      <c r="B11" s="38">
        <f>SUMIFS('Оснащение и офис'!$J$5:$J$77,'Оснащение и офис'!$A$5:$A$77,"Оснащение")</f>
        <v>12336433.9</v>
      </c>
      <c r="C11" s="38">
        <f>SUMIFS('Оснащение и офис'!$K$5:$K$77,'Оснащение и офис'!$A$5:$A$77,"Оснащение")</f>
        <v>1695609</v>
      </c>
      <c r="D11" s="38">
        <f>SUMIFS('Оснащение и офис'!$L$5:$L$77,'Оснащение и офис'!$A$5:$A$77,"Оснащение")</f>
        <v>0</v>
      </c>
      <c r="E11" s="38">
        <f t="shared" si="0"/>
        <v>14032042.9</v>
      </c>
    </row>
    <row r="12" spans="1:5" ht="30" x14ac:dyDescent="0.25">
      <c r="A12" s="36" t="s">
        <v>347</v>
      </c>
      <c r="B12" s="38">
        <f>SUMIFS('Оснащение и офис'!$J$5:$J$77,'Оснащение и офис'!$A$5:$A$77,"Офис")</f>
        <v>11829706.848387096</v>
      </c>
      <c r="C12" s="38">
        <f>SUMIFS('Оснащение и офис'!$K$5:$K$77,'Оснащение и офис'!$A$5:$A$77,"Офис")</f>
        <v>5212743.0999999996</v>
      </c>
      <c r="D12" s="38">
        <f>SUMIFS('Оснащение и офис'!$L$5:$L$77,'Оснащение и офис'!$A$5:$A$77,"Офис")</f>
        <v>5212743.0999999996</v>
      </c>
      <c r="E12" s="38">
        <f t="shared" si="0"/>
        <v>22255193.048387095</v>
      </c>
    </row>
    <row r="13" spans="1:5" x14ac:dyDescent="0.25">
      <c r="A13" s="36" t="s">
        <v>335</v>
      </c>
      <c r="B13" s="38">
        <f>SUMIFS('Оснащение и офис'!$J$5:$J$77,'Оснащение и офис'!$A$5:$A$77,"Цифровые")</f>
        <v>332947</v>
      </c>
      <c r="C13" s="38">
        <f>SUMIFS('Оснащение и офис'!$K$5:$K$77,'Оснащение и офис'!$A$5:$A$77,"Цифровые")</f>
        <v>253500</v>
      </c>
      <c r="D13" s="38">
        <f>SUMIFS('Оснащение и офис'!$L$5:$L$77,'Оснащение и офис'!$A$5:$A$77,"Цифровые")</f>
        <v>253500</v>
      </c>
      <c r="E13" s="38">
        <f t="shared" si="0"/>
        <v>839947</v>
      </c>
    </row>
    <row r="14" spans="1:5" x14ac:dyDescent="0.25">
      <c r="A14" s="36" t="s">
        <v>336</v>
      </c>
      <c r="B14" s="38">
        <f>SUMIFS('Оснащение и офис'!$J$5:$J$77,'Оснащение и офис'!$A$5:$A$77,"Медиа")</f>
        <v>1175000</v>
      </c>
      <c r="C14" s="38">
        <f>SUMIFS('Оснащение и офис'!$K$5:$K$77,'Оснащение и офис'!$A$5:$A$77,"Медиа")</f>
        <v>1175000</v>
      </c>
      <c r="D14" s="38">
        <f>SUMIFS('Оснащение и офис'!$L$5:$L$77,'Оснащение и офис'!$A$5:$A$77,"Медиа")</f>
        <v>1175000</v>
      </c>
      <c r="E14" s="38">
        <f t="shared" si="0"/>
        <v>3525000</v>
      </c>
    </row>
    <row r="15" spans="1:5" x14ac:dyDescent="0.25">
      <c r="A15" s="39" t="s">
        <v>337</v>
      </c>
      <c r="B15" s="40">
        <f>SUM(B6:B14)</f>
        <v>60618022.855529949</v>
      </c>
      <c r="C15" s="40">
        <f>SUM(C6:C14)</f>
        <v>53542054.350000001</v>
      </c>
      <c r="D15" s="40">
        <f>SUM(D6:D14)</f>
        <v>42516269.100000001</v>
      </c>
      <c r="E15" s="40">
        <f t="shared" si="0"/>
        <v>156676346.30552995</v>
      </c>
    </row>
    <row r="16" spans="1:5" ht="30" x14ac:dyDescent="0.25">
      <c r="A16" s="36" t="s">
        <v>358</v>
      </c>
      <c r="B16" s="38">
        <f>B15*Резерв+SUMIFS('Оснащение и офис'!$J$5:$J$77,'Оснащение и офис'!$A$5:$A$77,"Прочие")</f>
        <v>6411802.2855529953</v>
      </c>
      <c r="C16" s="38">
        <f>C15*Резерв+SUMIFS('Оснащение и офис'!$K$5:$K$77,'Оснащение и офис'!$A$5:$A$77,"Прочие")</f>
        <v>5354205.4350000005</v>
      </c>
      <c r="D16" s="38">
        <f>D15*Резерв+SUMIFS('Оснащение и офис'!$L$5:$L$77,'Оснащение и офис'!$A$5:$A$77,"Прочие")</f>
        <v>4251626.91</v>
      </c>
      <c r="E16" s="38">
        <f t="shared" si="0"/>
        <v>16017634.630552996</v>
      </c>
    </row>
    <row r="17" spans="1:5" ht="30" x14ac:dyDescent="0.25">
      <c r="A17" s="36" t="s">
        <v>567</v>
      </c>
      <c r="B17" s="38">
        <f>((B11+B12+B13+B14)-'Оснащение и офис'!$J$59)*(1+Резерв)*НДС</f>
        <v>3661668.6741161295</v>
      </c>
      <c r="C17" s="38">
        <f>((C11+C12+C13+C14)-'Оснащение и офис'!$K$59)*(1+Резерв)*НДС</f>
        <v>1467285.9696000002</v>
      </c>
      <c r="D17" s="38">
        <f>((D11+D12+D13+D14)-'Оснащение и офис'!$L$59)*(1+Резерв)*НДС</f>
        <v>1168858.7856000001</v>
      </c>
      <c r="E17" s="38">
        <f t="shared" si="0"/>
        <v>6297813.4293161295</v>
      </c>
    </row>
    <row r="18" spans="1:5" x14ac:dyDescent="0.25">
      <c r="A18" s="41" t="s">
        <v>338</v>
      </c>
      <c r="B18" s="42">
        <f>B15+B16+B17</f>
        <v>70691493.815199077</v>
      </c>
      <c r="C18" s="42">
        <f>C15+C16+C17</f>
        <v>60363545.754600003</v>
      </c>
      <c r="D18" s="42">
        <f>D15+D16+D17</f>
        <v>47936754.795600004</v>
      </c>
      <c r="E18" s="42">
        <f t="shared" si="0"/>
        <v>178991794.36539909</v>
      </c>
    </row>
    <row r="19" spans="1:5" x14ac:dyDescent="0.25">
      <c r="A19" s="39" t="s">
        <v>339</v>
      </c>
      <c r="B19" s="40">
        <f>Проекты!$H$13</f>
        <v>38245973.333333336</v>
      </c>
      <c r="C19" s="40">
        <f>Проекты!$I$13</f>
        <v>31831173.333333332</v>
      </c>
      <c r="D19" s="40">
        <f>Проекты!$J$13</f>
        <v>17157173.333333332</v>
      </c>
      <c r="E19" s="40">
        <f t="shared" si="0"/>
        <v>87234320</v>
      </c>
    </row>
    <row r="20" spans="1:5" ht="30" x14ac:dyDescent="0.25">
      <c r="A20" s="39" t="s">
        <v>572</v>
      </c>
      <c r="B20" s="40">
        <f>4*SUMPRODUCT((Штат!$F$5:$F$36="действующий")*(Штат!$E$5:$E$36="штат")*Штат!$K$5:$K$36)</f>
        <v>26408960</v>
      </c>
      <c r="C20" s="40">
        <v>0</v>
      </c>
      <c r="D20" s="40">
        <v>0</v>
      </c>
      <c r="E20" s="40">
        <f>SUM(B20:D20)</f>
        <v>26408960</v>
      </c>
    </row>
    <row r="21" spans="1:5" x14ac:dyDescent="0.25">
      <c r="A21" s="43" t="s">
        <v>573</v>
      </c>
      <c r="B21" s="44">
        <f>B18+B19+B20</f>
        <v>135346427.14853242</v>
      </c>
      <c r="C21" s="44">
        <f>C18+C19+C20</f>
        <v>92194719.087933332</v>
      </c>
      <c r="D21" s="44">
        <f>D18+D19+D20</f>
        <v>65093928.12893334</v>
      </c>
      <c r="E21" s="44">
        <f>E18+E19+E20</f>
        <v>292635074.36539912</v>
      </c>
    </row>
    <row r="23" spans="1:5" x14ac:dyDescent="0.25">
      <c r="A23" s="106" t="s">
        <v>568</v>
      </c>
      <c r="B23" s="44">
        <f>B21</f>
        <v>135346427.14853242</v>
      </c>
      <c r="C23" s="44">
        <f>B23+C21</f>
        <v>227541146.23646575</v>
      </c>
      <c r="D23" s="44">
        <f>C23+D21</f>
        <v>292635074.36539912</v>
      </c>
      <c r="E23" s="44"/>
    </row>
    <row r="24" spans="1:5" x14ac:dyDescent="0.25">
      <c r="A24" s="106" t="s">
        <v>569</v>
      </c>
      <c r="B24" s="44"/>
      <c r="C24" s="44"/>
      <c r="D24" s="44"/>
      <c r="E24" s="44">
        <v>250000000</v>
      </c>
    </row>
    <row r="25" spans="1:5" x14ac:dyDescent="0.25">
      <c r="A25" s="43" t="s">
        <v>570</v>
      </c>
      <c r="B25" s="44">
        <f>$E$24-B23</f>
        <v>114653572.85146758</v>
      </c>
      <c r="C25" s="44">
        <f>$E$24-C23</f>
        <v>22458853.763534248</v>
      </c>
      <c r="D25" s="44">
        <f>$E$24-D23</f>
        <v>-42635074.365399122</v>
      </c>
      <c r="E25" s="44">
        <f>E24-E21</f>
        <v>-42635074.365399122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355</v>
      </c>
      <c r="B15" s="8">
        <f>ROUND(0.29%*12*SUMIFS(Штат!$H$5:$H$36,Штат!$E$5:$E$36,"штат",Штат!$F$5:$F$36,"новая"),-3)</f>
        <v>713000</v>
      </c>
      <c r="C15" t="s">
        <v>386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304</v>
      </c>
    </row>
    <row r="33" spans="1:3" ht="15" customHeight="1" x14ac:dyDescent="0.25">
      <c r="A33" t="s">
        <v>60</v>
      </c>
      <c r="B33" s="8">
        <v>1</v>
      </c>
      <c r="C33" t="s">
        <v>221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328</v>
      </c>
    </row>
    <row r="38" spans="1:3" ht="15" customHeight="1" x14ac:dyDescent="0.25">
      <c r="A38" t="s">
        <v>329</v>
      </c>
    </row>
    <row r="41" spans="1:3" s="7" customFormat="1" x14ac:dyDescent="0.25">
      <c r="A41" s="7" t="s">
        <v>301</v>
      </c>
    </row>
    <row r="42" spans="1:3" x14ac:dyDescent="0.25">
      <c r="A42" t="s">
        <v>158</v>
      </c>
      <c r="B42" s="13">
        <f>ROUND((52.2+21.4+12.4+33.7+190)*1.1,2)</f>
        <v>340.67</v>
      </c>
      <c r="C42" t="s">
        <v>302</v>
      </c>
    </row>
    <row r="43" spans="1:3" x14ac:dyDescent="0.25">
      <c r="A43" t="s">
        <v>159</v>
      </c>
      <c r="B43" s="5">
        <v>13500</v>
      </c>
      <c r="C43" t="s">
        <v>299</v>
      </c>
    </row>
    <row r="44" spans="1:3" x14ac:dyDescent="0.25">
      <c r="A44" t="s">
        <v>210</v>
      </c>
      <c r="B44" s="5">
        <f>743*309.7</f>
        <v>230107.1</v>
      </c>
      <c r="C44" t="s">
        <v>303</v>
      </c>
    </row>
    <row r="45" spans="1:3" x14ac:dyDescent="0.25">
      <c r="A45" t="s">
        <v>160</v>
      </c>
      <c r="B45" s="5">
        <v>1</v>
      </c>
      <c r="C45" t="s">
        <v>537</v>
      </c>
    </row>
    <row r="46" spans="1:3" x14ac:dyDescent="0.25">
      <c r="A46" t="s">
        <v>161</v>
      </c>
      <c r="B46" s="5">
        <v>40000</v>
      </c>
      <c r="C46" t="s">
        <v>300</v>
      </c>
    </row>
    <row r="47" spans="1:3" x14ac:dyDescent="0.25">
      <c r="A47" t="s">
        <v>162</v>
      </c>
      <c r="B47" s="5">
        <f>Аренда_мес*(1+НДС)</f>
        <v>5648216.4359999988</v>
      </c>
      <c r="C47" t="s">
        <v>163</v>
      </c>
    </row>
    <row r="48" spans="1:3" x14ac:dyDescent="0.25">
      <c r="A48" t="s">
        <v>164</v>
      </c>
      <c r="B48" s="5">
        <f>Аренда_мес*Депозит_мес</f>
        <v>4869152.0999999996</v>
      </c>
      <c r="C48" t="s">
        <v>165</v>
      </c>
    </row>
    <row r="49" spans="1:3" x14ac:dyDescent="0.25">
      <c r="A49" t="s">
        <v>218</v>
      </c>
      <c r="B49" s="15">
        <f>11/31+2</f>
        <v>2.3548387096774195</v>
      </c>
      <c r="C49" t="s">
        <v>219</v>
      </c>
    </row>
    <row r="50" spans="1:3" x14ac:dyDescent="0.25">
      <c r="A50" s="7" t="s">
        <v>211</v>
      </c>
    </row>
    <row r="51" spans="1:3" x14ac:dyDescent="0.25">
      <c r="A51" t="s">
        <v>212</v>
      </c>
      <c r="B51" s="14">
        <v>0.1</v>
      </c>
      <c r="C51" t="s">
        <v>213</v>
      </c>
    </row>
    <row r="52" spans="1:3" x14ac:dyDescent="0.25">
      <c r="A52" t="s">
        <v>220</v>
      </c>
      <c r="B52" s="15">
        <v>2</v>
      </c>
      <c r="C52" t="s">
        <v>389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271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315</v>
      </c>
      <c r="J4" s="3" t="s">
        <v>73</v>
      </c>
      <c r="K4" s="3" t="s">
        <v>74</v>
      </c>
      <c r="L4" s="3" t="s">
        <v>390</v>
      </c>
      <c r="M4" s="3" t="s">
        <v>76</v>
      </c>
      <c r="N4" s="3" t="s">
        <v>356</v>
      </c>
      <c r="O4" s="3" t="s">
        <v>77</v>
      </c>
      <c r="P4" s="3" t="s">
        <v>316</v>
      </c>
      <c r="Q4" s="88" t="s">
        <v>487</v>
      </c>
    </row>
    <row r="5" spans="1:17" ht="90" x14ac:dyDescent="0.25">
      <c r="A5" s="16">
        <v>1</v>
      </c>
      <c r="B5" s="16" t="s">
        <v>263</v>
      </c>
      <c r="C5" s="17" t="s">
        <v>264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2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2</v>
      </c>
      <c r="M5" s="18">
        <f t="shared" ref="M5:M36" si="3">K5*L5</f>
        <v>3636460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3636460</v>
      </c>
      <c r="P5" s="17" t="s">
        <v>457</v>
      </c>
      <c r="Q5" s="89"/>
    </row>
    <row r="6" spans="1:17" ht="60" x14ac:dyDescent="0.25">
      <c r="A6" s="16">
        <v>2</v>
      </c>
      <c r="B6" s="16" t="s">
        <v>263</v>
      </c>
      <c r="C6" s="17" t="s">
        <v>453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2</v>
      </c>
      <c r="J6" s="18">
        <f t="shared" si="0"/>
        <v>194670</v>
      </c>
      <c r="K6" s="18">
        <f t="shared" si="1"/>
        <v>1594670</v>
      </c>
      <c r="L6" s="19">
        <f t="shared" si="2"/>
        <v>2</v>
      </c>
      <c r="M6" s="18">
        <f t="shared" si="3"/>
        <v>3189340</v>
      </c>
      <c r="N6" s="18">
        <f t="shared" si="4"/>
        <v>0</v>
      </c>
      <c r="O6" s="18">
        <f t="shared" si="5"/>
        <v>3189340</v>
      </c>
      <c r="P6" s="17" t="s">
        <v>454</v>
      </c>
      <c r="Q6" s="89"/>
    </row>
    <row r="7" spans="1:17" ht="90" x14ac:dyDescent="0.25">
      <c r="A7" s="16">
        <v>3</v>
      </c>
      <c r="B7" s="16" t="s">
        <v>263</v>
      </c>
      <c r="C7" s="17" t="s">
        <v>255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2</v>
      </c>
      <c r="J7" s="18">
        <f t="shared" si="0"/>
        <v>194670</v>
      </c>
      <c r="K7" s="18">
        <f t="shared" si="1"/>
        <v>1594670</v>
      </c>
      <c r="L7" s="19">
        <f t="shared" si="2"/>
        <v>2</v>
      </c>
      <c r="M7" s="18">
        <f t="shared" si="3"/>
        <v>3189340</v>
      </c>
      <c r="N7" s="18">
        <f t="shared" si="4"/>
        <v>0</v>
      </c>
      <c r="O7" s="18">
        <f t="shared" si="5"/>
        <v>3189340</v>
      </c>
      <c r="P7" s="17" t="s">
        <v>360</v>
      </c>
      <c r="Q7" s="89"/>
    </row>
    <row r="8" spans="1:17" ht="90" x14ac:dyDescent="0.25">
      <c r="A8" s="16">
        <v>4</v>
      </c>
      <c r="B8" s="16" t="s">
        <v>207</v>
      </c>
      <c r="C8" s="17" t="s">
        <v>362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363</v>
      </c>
      <c r="Q8" s="89">
        <v>1</v>
      </c>
    </row>
    <row r="9" spans="1:17" ht="45" x14ac:dyDescent="0.25">
      <c r="A9" s="16">
        <v>6</v>
      </c>
      <c r="B9" s="16" t="s">
        <v>236</v>
      </c>
      <c r="C9" s="17" t="s">
        <v>237</v>
      </c>
      <c r="D9" s="17" t="s">
        <v>486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374</v>
      </c>
      <c r="Q9" s="89"/>
    </row>
    <row r="10" spans="1:17" ht="60" x14ac:dyDescent="0.25">
      <c r="A10" s="16">
        <v>6</v>
      </c>
      <c r="B10" s="16" t="s">
        <v>236</v>
      </c>
      <c r="C10" s="17" t="s">
        <v>375</v>
      </c>
      <c r="D10" s="17" t="s">
        <v>239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376</v>
      </c>
      <c r="Q10" s="89">
        <v>1</v>
      </c>
    </row>
    <row r="11" spans="1:17" ht="30" x14ac:dyDescent="0.25">
      <c r="A11" s="20">
        <v>6</v>
      </c>
      <c r="B11" s="20" t="s">
        <v>236</v>
      </c>
      <c r="C11" s="21" t="s">
        <v>377</v>
      </c>
      <c r="D11" s="21" t="s">
        <v>239</v>
      </c>
      <c r="E11" s="20" t="s">
        <v>245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378</v>
      </c>
      <c r="Q11" s="89"/>
    </row>
    <row r="12" spans="1:17" ht="30" x14ac:dyDescent="0.25">
      <c r="A12" s="16">
        <v>6</v>
      </c>
      <c r="B12" s="16" t="s">
        <v>236</v>
      </c>
      <c r="C12" s="17" t="s">
        <v>238</v>
      </c>
      <c r="D12" s="17" t="s">
        <v>239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320</v>
      </c>
      <c r="Q12" s="89"/>
    </row>
    <row r="13" spans="1:17" ht="30" x14ac:dyDescent="0.25">
      <c r="A13" s="16">
        <v>14</v>
      </c>
      <c r="B13" s="16" t="s">
        <v>240</v>
      </c>
      <c r="C13" s="17" t="s">
        <v>265</v>
      </c>
      <c r="D13" s="17" t="s">
        <v>242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266</v>
      </c>
      <c r="Q13" s="89"/>
    </row>
    <row r="14" spans="1:17" ht="60" x14ac:dyDescent="0.25">
      <c r="A14" s="16">
        <v>15</v>
      </c>
      <c r="B14" s="16" t="s">
        <v>240</v>
      </c>
      <c r="C14" s="17" t="s">
        <v>241</v>
      </c>
      <c r="D14" s="17" t="s">
        <v>242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364</v>
      </c>
      <c r="Q14" s="89">
        <v>1</v>
      </c>
    </row>
    <row r="15" spans="1:17" ht="75" x14ac:dyDescent="0.25">
      <c r="A15" s="16">
        <v>17</v>
      </c>
      <c r="B15" s="16" t="s">
        <v>240</v>
      </c>
      <c r="C15" s="17" t="s">
        <v>241</v>
      </c>
      <c r="D15" s="17" t="s">
        <v>242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365</v>
      </c>
      <c r="Q15" s="89">
        <v>1</v>
      </c>
    </row>
    <row r="16" spans="1:17" ht="60" x14ac:dyDescent="0.25">
      <c r="A16" s="16">
        <v>18</v>
      </c>
      <c r="B16" s="16" t="s">
        <v>240</v>
      </c>
      <c r="C16" s="17" t="s">
        <v>243</v>
      </c>
      <c r="D16" s="17" t="s">
        <v>242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366</v>
      </c>
      <c r="Q16" s="89">
        <v>1</v>
      </c>
    </row>
    <row r="17" spans="1:17" ht="30" x14ac:dyDescent="0.25">
      <c r="A17" s="16">
        <v>19</v>
      </c>
      <c r="B17" s="16" t="s">
        <v>240</v>
      </c>
      <c r="C17" s="17" t="s">
        <v>241</v>
      </c>
      <c r="D17" s="17" t="s">
        <v>242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462</v>
      </c>
      <c r="Q17" s="89"/>
    </row>
    <row r="18" spans="1:17" ht="30" x14ac:dyDescent="0.25">
      <c r="A18" s="16">
        <v>19</v>
      </c>
      <c r="B18" s="16" t="s">
        <v>240</v>
      </c>
      <c r="C18" s="17" t="s">
        <v>243</v>
      </c>
      <c r="D18" s="17" t="s">
        <v>242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463</v>
      </c>
      <c r="Q18" s="89"/>
    </row>
    <row r="19" spans="1:17" ht="30" x14ac:dyDescent="0.25">
      <c r="A19" s="16">
        <v>19</v>
      </c>
      <c r="B19" s="16" t="s">
        <v>240</v>
      </c>
      <c r="C19" s="17" t="s">
        <v>243</v>
      </c>
      <c r="D19" s="17" t="s">
        <v>242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373</v>
      </c>
      <c r="Q19" s="89"/>
    </row>
    <row r="20" spans="1:17" ht="75" x14ac:dyDescent="0.25">
      <c r="A20" s="16">
        <v>23</v>
      </c>
      <c r="B20" s="16" t="s">
        <v>244</v>
      </c>
      <c r="C20" s="17" t="s">
        <v>237</v>
      </c>
      <c r="D20" s="17" t="s">
        <v>486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367</v>
      </c>
      <c r="Q20" s="89">
        <v>1</v>
      </c>
    </row>
    <row r="21" spans="1:17" ht="30" x14ac:dyDescent="0.25">
      <c r="A21" s="20">
        <v>24</v>
      </c>
      <c r="B21" s="20" t="s">
        <v>244</v>
      </c>
      <c r="C21" s="21" t="s">
        <v>267</v>
      </c>
      <c r="D21" s="21" t="s">
        <v>239</v>
      </c>
      <c r="E21" s="20" t="s">
        <v>245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291</v>
      </c>
      <c r="Q21" s="89"/>
    </row>
    <row r="22" spans="1:17" ht="45" x14ac:dyDescent="0.25">
      <c r="A22" s="16">
        <v>25</v>
      </c>
      <c r="B22" s="16" t="s">
        <v>246</v>
      </c>
      <c r="C22" s="17" t="s">
        <v>247</v>
      </c>
      <c r="D22" s="17" t="s">
        <v>486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369</v>
      </c>
      <c r="Q22" s="89"/>
    </row>
    <row r="23" spans="1:17" ht="45" x14ac:dyDescent="0.25">
      <c r="A23" s="16">
        <v>26</v>
      </c>
      <c r="B23" s="16" t="s">
        <v>246</v>
      </c>
      <c r="C23" s="17" t="s">
        <v>248</v>
      </c>
      <c r="D23" s="17" t="s">
        <v>208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368</v>
      </c>
      <c r="Q23" s="89">
        <v>1</v>
      </c>
    </row>
    <row r="24" spans="1:17" x14ac:dyDescent="0.25">
      <c r="A24" s="20">
        <v>27</v>
      </c>
      <c r="B24" s="20" t="s">
        <v>246</v>
      </c>
      <c r="C24" s="21" t="s">
        <v>252</v>
      </c>
      <c r="D24" s="21" t="s">
        <v>208</v>
      </c>
      <c r="E24" s="20" t="s">
        <v>245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292</v>
      </c>
      <c r="Q24" s="89"/>
    </row>
    <row r="25" spans="1:17" x14ac:dyDescent="0.25">
      <c r="A25" s="20">
        <v>28</v>
      </c>
      <c r="B25" s="20" t="s">
        <v>246</v>
      </c>
      <c r="C25" s="21" t="s">
        <v>253</v>
      </c>
      <c r="D25" s="21" t="s">
        <v>208</v>
      </c>
      <c r="E25" s="20" t="s">
        <v>245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293</v>
      </c>
      <c r="Q25" s="89"/>
    </row>
    <row r="26" spans="1:17" x14ac:dyDescent="0.25">
      <c r="A26" s="16">
        <v>29</v>
      </c>
      <c r="B26" s="16" t="s">
        <v>246</v>
      </c>
      <c r="C26" s="17" t="s">
        <v>371</v>
      </c>
      <c r="D26" s="17" t="s">
        <v>208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372</v>
      </c>
      <c r="Q26" s="89">
        <v>1</v>
      </c>
    </row>
    <row r="27" spans="1:17" x14ac:dyDescent="0.25">
      <c r="A27" s="16">
        <v>30</v>
      </c>
      <c r="B27" s="16" t="s">
        <v>246</v>
      </c>
      <c r="C27" s="17" t="s">
        <v>249</v>
      </c>
      <c r="D27" s="17" t="s">
        <v>208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370</v>
      </c>
      <c r="Q27" s="89"/>
    </row>
    <row r="28" spans="1:17" x14ac:dyDescent="0.25">
      <c r="A28" s="16">
        <v>31</v>
      </c>
      <c r="B28" s="16" t="s">
        <v>246</v>
      </c>
      <c r="C28" s="17" t="s">
        <v>250</v>
      </c>
      <c r="D28" s="17" t="s">
        <v>208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251</v>
      </c>
      <c r="Q28" s="89"/>
    </row>
    <row r="29" spans="1:17" ht="30" x14ac:dyDescent="0.25">
      <c r="A29" s="20">
        <v>32</v>
      </c>
      <c r="B29" s="20" t="s">
        <v>246</v>
      </c>
      <c r="C29" s="21" t="s">
        <v>254</v>
      </c>
      <c r="D29" s="21" t="s">
        <v>208</v>
      </c>
      <c r="E29" s="20" t="s">
        <v>245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294</v>
      </c>
      <c r="Q29" s="89"/>
    </row>
    <row r="30" spans="1:17" ht="75" x14ac:dyDescent="0.25">
      <c r="A30" s="16">
        <v>33</v>
      </c>
      <c r="B30" s="16" t="s">
        <v>268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2</v>
      </c>
      <c r="J30" s="18">
        <f t="shared" si="25"/>
        <v>194670</v>
      </c>
      <c r="K30" s="18">
        <f t="shared" si="26"/>
        <v>1594670</v>
      </c>
      <c r="L30" s="19">
        <f t="shared" si="2"/>
        <v>2</v>
      </c>
      <c r="M30" s="18">
        <f t="shared" si="3"/>
        <v>3189340</v>
      </c>
      <c r="N30" s="18">
        <f t="shared" si="4"/>
        <v>0</v>
      </c>
      <c r="O30" s="18">
        <f t="shared" si="5"/>
        <v>3189340</v>
      </c>
      <c r="P30" s="17" t="s">
        <v>321</v>
      </c>
      <c r="Q30" s="89"/>
    </row>
    <row r="31" spans="1:17" ht="30" x14ac:dyDescent="0.25">
      <c r="A31" s="16">
        <v>34</v>
      </c>
      <c r="B31" s="16" t="s">
        <v>268</v>
      </c>
      <c r="C31" s="17" t="s">
        <v>84</v>
      </c>
      <c r="D31" s="17" t="s">
        <v>204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205</v>
      </c>
      <c r="Q31" s="89"/>
    </row>
    <row r="32" spans="1:17" ht="45" x14ac:dyDescent="0.25">
      <c r="A32" s="16">
        <v>35</v>
      </c>
      <c r="B32" s="16" t="s">
        <v>361</v>
      </c>
      <c r="C32" s="17" t="s">
        <v>460</v>
      </c>
      <c r="D32" s="17" t="s">
        <v>456</v>
      </c>
      <c r="E32" s="16" t="s">
        <v>79</v>
      </c>
      <c r="F32" s="16" t="s">
        <v>82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359</v>
      </c>
      <c r="Q32" s="89"/>
    </row>
    <row r="33" spans="1:17" s="79" customFormat="1" ht="45" x14ac:dyDescent="0.25">
      <c r="A33" s="16">
        <v>35</v>
      </c>
      <c r="B33" s="16" t="s">
        <v>361</v>
      </c>
      <c r="C33" s="17" t="s">
        <v>461</v>
      </c>
      <c r="D33" s="17" t="s">
        <v>456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458</v>
      </c>
      <c r="Q33" s="89"/>
    </row>
    <row r="34" spans="1:17" s="79" customFormat="1" ht="45" x14ac:dyDescent="0.25">
      <c r="A34" s="16">
        <v>35</v>
      </c>
      <c r="B34" s="16" t="s">
        <v>361</v>
      </c>
      <c r="C34" s="17" t="s">
        <v>461</v>
      </c>
      <c r="D34" s="17" t="s">
        <v>456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459</v>
      </c>
      <c r="Q34" s="89"/>
    </row>
    <row r="35" spans="1:17" ht="30" x14ac:dyDescent="0.25">
      <c r="A35" s="20">
        <v>36</v>
      </c>
      <c r="B35" s="20" t="s">
        <v>268</v>
      </c>
      <c r="C35" s="21" t="s">
        <v>269</v>
      </c>
      <c r="D35" s="21" t="s">
        <v>206</v>
      </c>
      <c r="E35" s="20" t="s">
        <v>245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295</v>
      </c>
      <c r="Q35" s="89"/>
    </row>
    <row r="36" spans="1:17" ht="30" x14ac:dyDescent="0.25">
      <c r="A36" s="20">
        <v>37</v>
      </c>
      <c r="B36" s="20" t="s">
        <v>268</v>
      </c>
      <c r="C36" s="21" t="s">
        <v>270</v>
      </c>
      <c r="D36" s="21" t="s">
        <v>206</v>
      </c>
      <c r="E36" s="20" t="s">
        <v>245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296</v>
      </c>
      <c r="Q36" s="89"/>
    </row>
    <row r="37" spans="1:17" x14ac:dyDescent="0.25">
      <c r="A37" s="7"/>
      <c r="B37" s="7"/>
      <c r="C37" s="7" t="s">
        <v>317</v>
      </c>
      <c r="D37" s="7"/>
      <c r="E37" s="7"/>
      <c r="F37" s="7"/>
      <c r="G37" s="7">
        <f>SUM(G5:G36)</f>
        <v>22</v>
      </c>
      <c r="H37" s="6">
        <f>SUMPRODUCT(G5:G36,H5:H36)</f>
        <v>23600000</v>
      </c>
      <c r="I37" s="7"/>
      <c r="J37" s="6"/>
      <c r="K37" s="6">
        <f>SUM(K5:K36)</f>
        <v>27034580</v>
      </c>
      <c r="L37" s="7"/>
      <c r="M37" s="6">
        <f>SUM(M5:M36)</f>
        <v>52586270</v>
      </c>
      <c r="N37" s="6">
        <f t="shared" ref="N37:O37" si="37">SUM(N5:N36)</f>
        <v>611142.85714285716</v>
      </c>
      <c r="O37" s="6">
        <f t="shared" si="37"/>
        <v>53197412.857142851</v>
      </c>
      <c r="P37" s="7"/>
    </row>
    <row r="38" spans="1:17" x14ac:dyDescent="0.25">
      <c r="C38" t="s">
        <v>318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319</v>
      </c>
      <c r="G39">
        <f>G37-G38</f>
        <v>7</v>
      </c>
      <c r="H39" s="5">
        <f>H37-H38</f>
        <v>8100000</v>
      </c>
    </row>
    <row r="41" spans="1:17" x14ac:dyDescent="0.25">
      <c r="C41" s="7" t="s">
        <v>482</v>
      </c>
    </row>
    <row r="42" spans="1:17" x14ac:dyDescent="0.25">
      <c r="C42" t="s">
        <v>488</v>
      </c>
      <c r="H42" s="5">
        <f>SUMPRODUCT(Q5:Q36,H5:H36)</f>
        <v>8400000</v>
      </c>
    </row>
    <row r="43" spans="1:17" x14ac:dyDescent="0.25">
      <c r="C43" t="s">
        <v>483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484</v>
      </c>
      <c r="H44" s="6">
        <f>H42+H43</f>
        <v>9389520</v>
      </c>
    </row>
    <row r="45" spans="1:17" x14ac:dyDescent="0.25">
      <c r="C45" t="s">
        <v>485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322</v>
      </c>
    </row>
    <row r="3" spans="1:12" ht="42" customHeight="1" x14ac:dyDescent="0.25">
      <c r="A3" s="25" t="s">
        <v>65</v>
      </c>
      <c r="B3" s="25" t="s">
        <v>175</v>
      </c>
      <c r="C3" s="25" t="s">
        <v>68</v>
      </c>
      <c r="D3" s="25" t="s">
        <v>274</v>
      </c>
      <c r="E3" s="25" t="s">
        <v>275</v>
      </c>
      <c r="F3" s="103" t="s">
        <v>519</v>
      </c>
      <c r="G3" s="103" t="s">
        <v>520</v>
      </c>
      <c r="H3" s="25" t="s">
        <v>276</v>
      </c>
      <c r="I3" s="25" t="s">
        <v>277</v>
      </c>
      <c r="J3" s="25" t="s">
        <v>315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526</v>
      </c>
      <c r="C4" s="27" t="s">
        <v>206</v>
      </c>
      <c r="D4" s="27" t="s">
        <v>278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455</v>
      </c>
      <c r="C5" s="27" t="s">
        <v>206</v>
      </c>
      <c r="D5" s="27" t="s">
        <v>279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280</v>
      </c>
      <c r="C6" s="27" t="s">
        <v>281</v>
      </c>
      <c r="D6" s="27" t="s">
        <v>282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283</v>
      </c>
      <c r="C7" s="27" t="s">
        <v>284</v>
      </c>
      <c r="D7" s="27" t="s">
        <v>285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286</v>
      </c>
      <c r="C8" s="27" t="s">
        <v>284</v>
      </c>
      <c r="D8" s="27" t="s">
        <v>287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379</v>
      </c>
      <c r="C9" s="27" t="s">
        <v>380</v>
      </c>
      <c r="D9" s="27" t="s">
        <v>381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288</v>
      </c>
      <c r="C10" s="27" t="s">
        <v>284</v>
      </c>
      <c r="D10" s="27" t="s">
        <v>289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290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527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495</v>
      </c>
    </row>
    <row r="2" spans="1:7" ht="44.1" customHeight="1" x14ac:dyDescent="0.25">
      <c r="A2" s="4" t="s">
        <v>496</v>
      </c>
      <c r="B2" s="4"/>
      <c r="C2" s="4"/>
      <c r="D2" s="4"/>
      <c r="E2" s="4"/>
      <c r="F2" s="4"/>
      <c r="G2" s="4"/>
    </row>
    <row r="4" spans="1:7" x14ac:dyDescent="0.25">
      <c r="A4" t="s">
        <v>497</v>
      </c>
      <c r="B4" s="93">
        <v>0.1</v>
      </c>
      <c r="C4" t="s">
        <v>498</v>
      </c>
    </row>
    <row r="5" spans="1:7" x14ac:dyDescent="0.25">
      <c r="A5" t="s">
        <v>499</v>
      </c>
      <c r="B5" s="94">
        <f>Ставка_ОПВР+Ставка_ООСМС+Ставка_СН*(1-Ставка_ОПВ-Ставка_ВОСМС)</f>
        <v>0.1178</v>
      </c>
      <c r="C5" t="s">
        <v>500</v>
      </c>
    </row>
    <row r="7" spans="1:7" ht="45.95" customHeight="1" x14ac:dyDescent="0.25">
      <c r="A7" s="95" t="s">
        <v>501</v>
      </c>
      <c r="B7" s="95" t="s">
        <v>502</v>
      </c>
      <c r="C7" s="95" t="s">
        <v>503</v>
      </c>
      <c r="D7" s="95" t="s">
        <v>504</v>
      </c>
      <c r="E7" s="95" t="s">
        <v>505</v>
      </c>
      <c r="F7" s="95" t="s">
        <v>506</v>
      </c>
      <c r="G7" s="95" t="s">
        <v>507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508</v>
      </c>
    </row>
    <row r="14" spans="1:7" x14ac:dyDescent="0.25">
      <c r="A14" s="98" t="s">
        <v>509</v>
      </c>
      <c r="B14" s="97">
        <f>$B$4*(1+$B$5)</f>
        <v>0.11177999999999999</v>
      </c>
      <c r="C14" s="98" t="s">
        <v>510</v>
      </c>
    </row>
    <row r="15" spans="1:7" x14ac:dyDescent="0.25">
      <c r="A15" s="98" t="s">
        <v>511</v>
      </c>
      <c r="B15" s="97">
        <f>$B$4*(1+$B$5)*(1+НДС)</f>
        <v>0.12966479999999997</v>
      </c>
      <c r="C15" s="98" t="s">
        <v>512</v>
      </c>
    </row>
    <row r="17" spans="1:3" x14ac:dyDescent="0.25">
      <c r="A17" s="7" t="s">
        <v>513</v>
      </c>
    </row>
    <row r="18" spans="1:3" ht="32.1" customHeight="1" x14ac:dyDescent="0.25">
      <c r="A18" s="99" t="s">
        <v>521</v>
      </c>
      <c r="B18" s="99"/>
      <c r="C18" s="99"/>
    </row>
    <row r="19" spans="1:3" x14ac:dyDescent="0.25">
      <c r="A19" s="98" t="s">
        <v>522</v>
      </c>
      <c r="B19" s="96">
        <f>Аутсорс!E11</f>
        <v>5393100</v>
      </c>
      <c r="C19" s="96"/>
    </row>
    <row r="20" spans="1:3" x14ac:dyDescent="0.25">
      <c r="A20" s="98" t="s">
        <v>523</v>
      </c>
      <c r="B20" s="96">
        <f>Аутсорс!F11</f>
        <v>539310</v>
      </c>
      <c r="C20" s="96"/>
    </row>
    <row r="21" spans="1:3" x14ac:dyDescent="0.25">
      <c r="A21" s="100" t="s">
        <v>514</v>
      </c>
      <c r="B21" s="101">
        <f>Аутсорс!F11*2</f>
        <v>1078620</v>
      </c>
      <c r="C21" s="101"/>
    </row>
    <row r="22" spans="1:3" x14ac:dyDescent="0.25">
      <c r="A22" s="100" t="s">
        <v>515</v>
      </c>
      <c r="B22" s="101">
        <f>B21*(1+НДС)</f>
        <v>1251199.2</v>
      </c>
      <c r="C22" s="101"/>
    </row>
    <row r="23" spans="1:3" x14ac:dyDescent="0.25">
      <c r="A23" s="98" t="s">
        <v>524</v>
      </c>
      <c r="B23" s="96">
        <f>Аутсорс!L11</f>
        <v>13763192</v>
      </c>
      <c r="C23" s="96"/>
    </row>
    <row r="25" spans="1:3" x14ac:dyDescent="0.25">
      <c r="A25" t="s">
        <v>525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314</v>
      </c>
    </row>
    <row r="2" spans="1:7" ht="15" customHeight="1" x14ac:dyDescent="0.25">
      <c r="A2" s="2" t="s">
        <v>209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393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382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464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272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383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3" width="13.7109375" customWidth="1"/>
  </cols>
  <sheetData>
    <row r="1" spans="1:13" ht="15.75" customHeight="1" x14ac:dyDescent="0.3">
      <c r="A1" s="1" t="s">
        <v>323</v>
      </c>
    </row>
    <row r="2" spans="1:13" ht="15" customHeight="1" x14ac:dyDescent="0.25">
      <c r="A2" s="2" t="s">
        <v>324</v>
      </c>
    </row>
    <row r="4" spans="1:13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325</v>
      </c>
      <c r="H4" s="3" t="s">
        <v>96</v>
      </c>
      <c r="I4" s="3" t="s">
        <v>90</v>
      </c>
      <c r="J4" s="3" t="s">
        <v>562</v>
      </c>
      <c r="K4" s="3" t="s">
        <v>563</v>
      </c>
      <c r="L4" s="3" t="s">
        <v>564</v>
      </c>
      <c r="M4" s="3" t="s">
        <v>565</v>
      </c>
    </row>
    <row r="5" spans="1:13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384</v>
      </c>
      <c r="I5" s="5">
        <f t="shared" ref="I5:I57" si="0">IF(F5="разово",IF(G5&lt;=3,D5*E5,0),IF(F5="мес",D5*E5*MAX(0,4-G5),D5*E5*MAX(0,4-G5)/12))</f>
        <v>1800000</v>
      </c>
      <c r="J5" s="5">
        <f t="shared" ref="J5:J36" si="1">IF($F5="разово",IF($M5=12,0,$I5),IF($F5="мес",$D5*$E5*(($G5&lt;=1)+($G5&lt;=2)),IF($F5="год",$D5*$E5/12*(($G5&lt;=1)+($G5&lt;=2)),$I5/2)))</f>
        <v>1800000</v>
      </c>
      <c r="K5" s="5">
        <f t="shared" ref="K5:K36" si="2">IF($F5="разово",IF($M5=12,$I5,0),IF($F5="мес",$D5*$E5*($G5&lt;=3),IF($F5="год",$D5*$E5/12*($G5&lt;=3),$I5/2)))</f>
        <v>0</v>
      </c>
      <c r="L5" s="5">
        <f t="shared" ref="L5:L36" si="3">IF($F5="разово",0,IF($F5="мес",$D5*$E5*($G5&lt;=3),IF($F5="год",$D5*$E5/12*($G5&lt;=3),$I5/2)))</f>
        <v>0</v>
      </c>
      <c r="M5" s="89">
        <v>11</v>
      </c>
    </row>
    <row r="6" spans="1:13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308</v>
      </c>
      <c r="I6" s="5">
        <f t="shared" si="0"/>
        <v>900000</v>
      </c>
      <c r="J6" s="5">
        <f t="shared" si="1"/>
        <v>900000</v>
      </c>
      <c r="K6" s="5">
        <f t="shared" si="2"/>
        <v>0</v>
      </c>
      <c r="L6" s="5">
        <f t="shared" si="3"/>
        <v>0</v>
      </c>
      <c r="M6" s="89">
        <v>11</v>
      </c>
    </row>
    <row r="7" spans="1:13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528</v>
      </c>
      <c r="I7" s="5">
        <f t="shared" si="0"/>
        <v>500000</v>
      </c>
      <c r="J7" s="5">
        <f t="shared" si="1"/>
        <v>500000</v>
      </c>
      <c r="K7" s="5">
        <f t="shared" si="2"/>
        <v>0</v>
      </c>
      <c r="L7" s="5">
        <f t="shared" si="3"/>
        <v>0</v>
      </c>
      <c r="M7" s="89">
        <v>11</v>
      </c>
    </row>
    <row r="8" spans="1:13" ht="27.75" customHeight="1" x14ac:dyDescent="0.25">
      <c r="A8" t="s">
        <v>97</v>
      </c>
      <c r="B8" s="4" t="s">
        <v>466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467</v>
      </c>
      <c r="I8" s="5">
        <f t="shared" si="0"/>
        <v>1394160</v>
      </c>
      <c r="J8" s="5">
        <f t="shared" si="1"/>
        <v>1394160</v>
      </c>
      <c r="K8" s="5">
        <f t="shared" si="2"/>
        <v>0</v>
      </c>
      <c r="L8" s="5">
        <f t="shared" si="3"/>
        <v>0</v>
      </c>
      <c r="M8" s="89">
        <v>11</v>
      </c>
    </row>
    <row r="9" spans="1:13" s="80" customFormat="1" ht="27.75" customHeight="1" x14ac:dyDescent="0.25">
      <c r="A9" s="80" t="s">
        <v>97</v>
      </c>
      <c r="B9" s="4" t="s">
        <v>468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469</v>
      </c>
      <c r="I9" s="5">
        <f t="shared" ref="I9" si="4">IF(F9="разово",IF(G9&lt;=3,D9*E9,0),IF(F9="мес",D9*E9*MAX(0,4-G9),D9*E9*MAX(0,4-G9)/12))</f>
        <v>383500</v>
      </c>
      <c r="J9" s="5">
        <f t="shared" si="1"/>
        <v>383500</v>
      </c>
      <c r="K9" s="5">
        <f t="shared" si="2"/>
        <v>0</v>
      </c>
      <c r="L9" s="5">
        <f t="shared" si="3"/>
        <v>0</v>
      </c>
      <c r="M9" s="89">
        <v>11</v>
      </c>
    </row>
    <row r="10" spans="1:13" s="81" customFormat="1" ht="27.75" customHeight="1" x14ac:dyDescent="0.25">
      <c r="A10" s="81" t="s">
        <v>97</v>
      </c>
      <c r="B10" s="4" t="s">
        <v>470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538</v>
      </c>
      <c r="I10" s="5">
        <f t="shared" ref="I10" si="5">IF(F10="разово",IF(G10&lt;=3,D10*E10,0),IF(F10="мес",D10*E10*MAX(0,4-G10),D10*E10*MAX(0,4-G10)/12))</f>
        <v>244484</v>
      </c>
      <c r="J10" s="5">
        <f t="shared" si="1"/>
        <v>244484</v>
      </c>
      <c r="K10" s="5">
        <f t="shared" si="2"/>
        <v>0</v>
      </c>
      <c r="L10" s="5">
        <f t="shared" si="3"/>
        <v>0</v>
      </c>
      <c r="M10" s="89">
        <v>11</v>
      </c>
    </row>
    <row r="11" spans="1:13" s="82" customFormat="1" ht="27.75" customHeight="1" x14ac:dyDescent="0.25">
      <c r="A11" s="82" t="s">
        <v>97</v>
      </c>
      <c r="B11" s="4" t="s">
        <v>471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539</v>
      </c>
      <c r="I11" s="5">
        <f t="shared" ref="I11" si="6">IF(F11="разово",IF(G11&lt;=3,D11*E11,0),IF(F11="мес",D11*E11*MAX(0,4-G11),D11*E11*MAX(0,4-G11)/12))</f>
        <v>98672</v>
      </c>
      <c r="J11" s="5">
        <f t="shared" si="1"/>
        <v>98672</v>
      </c>
      <c r="K11" s="5">
        <f t="shared" si="2"/>
        <v>0</v>
      </c>
      <c r="L11" s="5">
        <f t="shared" si="3"/>
        <v>0</v>
      </c>
      <c r="M11" s="89">
        <v>11</v>
      </c>
    </row>
    <row r="12" spans="1:13" ht="15" customHeight="1" x14ac:dyDescent="0.25">
      <c r="A12" t="s">
        <v>97</v>
      </c>
      <c r="B12" s="4" t="s">
        <v>472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540</v>
      </c>
      <c r="I12" s="5">
        <f t="shared" si="0"/>
        <v>0</v>
      </c>
      <c r="J12" s="5">
        <f t="shared" si="1"/>
        <v>0</v>
      </c>
      <c r="K12" s="5">
        <f t="shared" si="2"/>
        <v>0</v>
      </c>
      <c r="L12" s="5">
        <f t="shared" si="3"/>
        <v>0</v>
      </c>
      <c r="M12" s="89">
        <v>11</v>
      </c>
    </row>
    <row r="13" spans="1:13" s="83" customFormat="1" ht="15" customHeight="1" x14ac:dyDescent="0.25">
      <c r="A13" s="84" t="s">
        <v>97</v>
      </c>
      <c r="B13" s="4" t="s">
        <v>530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541</v>
      </c>
      <c r="I13" s="5">
        <f>IF(F13="разово",IF(G13&lt;=3,D13*E13,0),IF(F13="мес",D13*E13*MAX(0,4-G13),D13*E13*MAX(0,4-G13)/12))</f>
        <v>39569</v>
      </c>
      <c r="J13" s="5">
        <f t="shared" si="1"/>
        <v>39569</v>
      </c>
      <c r="K13" s="5">
        <f t="shared" si="2"/>
        <v>0</v>
      </c>
      <c r="L13" s="5">
        <f t="shared" si="3"/>
        <v>0</v>
      </c>
      <c r="M13" s="89">
        <v>11</v>
      </c>
    </row>
    <row r="14" spans="1:13" s="83" customFormat="1" ht="15" customHeight="1" x14ac:dyDescent="0.25">
      <c r="A14" s="84" t="s">
        <v>97</v>
      </c>
      <c r="B14" s="4" t="s">
        <v>490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542</v>
      </c>
      <c r="I14" s="5">
        <f>IF(F14="разово",IF(G14&lt;=3,D14*E14,0),IF(F14="мес",D14*E14*MAX(0,4-G14),D14*E14*MAX(0,4-G14)/12))</f>
        <v>0</v>
      </c>
      <c r="J14" s="5">
        <f t="shared" si="1"/>
        <v>0</v>
      </c>
      <c r="K14" s="5">
        <f t="shared" si="2"/>
        <v>0</v>
      </c>
      <c r="L14" s="5">
        <f t="shared" si="3"/>
        <v>0</v>
      </c>
      <c r="M14" s="89">
        <v>11</v>
      </c>
    </row>
    <row r="15" spans="1:13" s="83" customFormat="1" ht="15" customHeight="1" x14ac:dyDescent="0.25">
      <c r="A15" s="83" t="s">
        <v>97</v>
      </c>
      <c r="B15" s="4" t="s">
        <v>491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543</v>
      </c>
      <c r="I15" s="5">
        <f t="shared" ref="I15" si="7">IF(F15="разово",IF(G15&lt;=3,D15*E15,0),IF(F15="мес",D15*E15*MAX(0,4-G15),D15*E15*MAX(0,4-G15)/12))</f>
        <v>0</v>
      </c>
      <c r="J15" s="5">
        <f t="shared" si="1"/>
        <v>0</v>
      </c>
      <c r="K15" s="5">
        <f t="shared" si="2"/>
        <v>0</v>
      </c>
      <c r="L15" s="5">
        <f t="shared" si="3"/>
        <v>0</v>
      </c>
      <c r="M15" s="89">
        <v>11</v>
      </c>
    </row>
    <row r="16" spans="1:13" s="92" customFormat="1" ht="15" customHeight="1" x14ac:dyDescent="0.25">
      <c r="A16" s="92" t="s">
        <v>97</v>
      </c>
      <c r="B16" s="4" t="s">
        <v>494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544</v>
      </c>
      <c r="I16" s="5">
        <f t="shared" ref="I16:I21" si="8">IF(F16="разово",IF(G16&lt;=3,D16*E16,0),IF(F16="мес",D16*E16*MAX(0,4-G16),D16*E16*MAX(0,4-G16)/12))</f>
        <v>38580</v>
      </c>
      <c r="J16" s="5">
        <f t="shared" si="1"/>
        <v>38580</v>
      </c>
      <c r="K16" s="5">
        <f t="shared" si="2"/>
        <v>0</v>
      </c>
      <c r="L16" s="5">
        <f t="shared" si="3"/>
        <v>0</v>
      </c>
      <c r="M16" s="89">
        <v>11</v>
      </c>
    </row>
    <row r="17" spans="1:13" s="87" customFormat="1" ht="15" customHeight="1" x14ac:dyDescent="0.25">
      <c r="A17" s="87" t="s">
        <v>97</v>
      </c>
      <c r="B17" s="4" t="s">
        <v>493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545</v>
      </c>
      <c r="I17" s="5">
        <f t="shared" si="8"/>
        <v>431032</v>
      </c>
      <c r="J17" s="5">
        <f t="shared" si="1"/>
        <v>431032</v>
      </c>
      <c r="K17" s="5">
        <f t="shared" si="2"/>
        <v>0</v>
      </c>
      <c r="L17" s="5">
        <f t="shared" si="3"/>
        <v>0</v>
      </c>
      <c r="M17" s="89">
        <v>11</v>
      </c>
    </row>
    <row r="18" spans="1:13" s="91" customFormat="1" ht="15" customHeight="1" x14ac:dyDescent="0.25">
      <c r="A18" s="91" t="s">
        <v>97</v>
      </c>
      <c r="B18" s="4" t="s">
        <v>529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546</v>
      </c>
      <c r="I18" s="5">
        <f t="shared" si="8"/>
        <v>456896</v>
      </c>
      <c r="J18" s="5">
        <f t="shared" si="1"/>
        <v>456896</v>
      </c>
      <c r="K18" s="5">
        <f t="shared" si="2"/>
        <v>0</v>
      </c>
      <c r="L18" s="5">
        <f t="shared" si="3"/>
        <v>0</v>
      </c>
      <c r="M18" s="89">
        <v>11</v>
      </c>
    </row>
    <row r="19" spans="1:13" s="85" customFormat="1" ht="15" customHeight="1" x14ac:dyDescent="0.25">
      <c r="A19" s="85" t="s">
        <v>97</v>
      </c>
      <c r="B19" s="4" t="s">
        <v>473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474</v>
      </c>
      <c r="I19" s="5">
        <f t="shared" si="8"/>
        <v>69582</v>
      </c>
      <c r="J19" s="5">
        <f t="shared" si="1"/>
        <v>69582</v>
      </c>
      <c r="K19" s="5">
        <f t="shared" si="2"/>
        <v>0</v>
      </c>
      <c r="L19" s="5">
        <f t="shared" si="3"/>
        <v>0</v>
      </c>
      <c r="M19" s="89">
        <v>11</v>
      </c>
    </row>
    <row r="20" spans="1:13" s="86" customFormat="1" ht="15" customHeight="1" x14ac:dyDescent="0.25">
      <c r="A20" s="86" t="s">
        <v>97</v>
      </c>
      <c r="B20" s="4" t="s">
        <v>475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547</v>
      </c>
      <c r="I20" s="5">
        <f t="shared" si="8"/>
        <v>102466</v>
      </c>
      <c r="J20" s="5">
        <f t="shared" si="1"/>
        <v>102466</v>
      </c>
      <c r="K20" s="5">
        <f t="shared" si="2"/>
        <v>0</v>
      </c>
      <c r="L20" s="5">
        <f t="shared" si="3"/>
        <v>0</v>
      </c>
      <c r="M20" s="89">
        <v>11</v>
      </c>
    </row>
    <row r="21" spans="1:13" s="86" customFormat="1" ht="15" customHeight="1" x14ac:dyDescent="0.25">
      <c r="A21" s="86" t="s">
        <v>97</v>
      </c>
      <c r="B21" s="4" t="s">
        <v>476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477</v>
      </c>
      <c r="I21" s="5">
        <f t="shared" si="8"/>
        <v>31888</v>
      </c>
      <c r="J21" s="5">
        <f t="shared" si="1"/>
        <v>31888</v>
      </c>
      <c r="K21" s="5">
        <f t="shared" si="2"/>
        <v>0</v>
      </c>
      <c r="L21" s="5">
        <f t="shared" si="3"/>
        <v>0</v>
      </c>
      <c r="M21" s="89">
        <v>11</v>
      </c>
    </row>
    <row r="22" spans="1:13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 t="shared" si="1"/>
        <v>0</v>
      </c>
      <c r="K22" s="5">
        <f t="shared" si="2"/>
        <v>0</v>
      </c>
      <c r="L22" s="5">
        <f t="shared" si="3"/>
        <v>0</v>
      </c>
      <c r="M22" s="89">
        <v>11</v>
      </c>
    </row>
    <row r="23" spans="1:13" ht="15" customHeight="1" x14ac:dyDescent="0.25">
      <c r="A23" t="s">
        <v>97</v>
      </c>
      <c r="B23" s="4" t="s">
        <v>341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 t="shared" si="1"/>
        <v>0</v>
      </c>
      <c r="K23" s="5">
        <f t="shared" si="2"/>
        <v>0</v>
      </c>
      <c r="L23" s="5">
        <f t="shared" si="3"/>
        <v>0</v>
      </c>
      <c r="M23" s="89">
        <v>11</v>
      </c>
    </row>
    <row r="24" spans="1:13" ht="15" customHeight="1" x14ac:dyDescent="0.25">
      <c r="A24" t="s">
        <v>97</v>
      </c>
      <c r="B24" s="4" t="s">
        <v>465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548</v>
      </c>
      <c r="I24" s="5">
        <f t="shared" si="0"/>
        <v>0</v>
      </c>
      <c r="J24" s="5">
        <f t="shared" si="1"/>
        <v>0</v>
      </c>
      <c r="K24" s="5">
        <f t="shared" si="2"/>
        <v>0</v>
      </c>
      <c r="L24" s="5">
        <f t="shared" si="3"/>
        <v>0</v>
      </c>
      <c r="M24" s="89">
        <v>11</v>
      </c>
    </row>
    <row r="25" spans="1:13" ht="15" customHeight="1" x14ac:dyDescent="0.25">
      <c r="A25" t="s">
        <v>97</v>
      </c>
      <c r="B25" s="4" t="s">
        <v>216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222</v>
      </c>
      <c r="I25" s="5">
        <f t="shared" si="0"/>
        <v>0</v>
      </c>
      <c r="J25" s="5">
        <f t="shared" si="1"/>
        <v>0</v>
      </c>
      <c r="K25" s="5">
        <f t="shared" si="2"/>
        <v>0</v>
      </c>
      <c r="L25" s="5">
        <f t="shared" si="3"/>
        <v>0</v>
      </c>
      <c r="M25" s="89">
        <v>11</v>
      </c>
    </row>
    <row r="26" spans="1:13" ht="15" customHeight="1" x14ac:dyDescent="0.25">
      <c r="A26" t="s">
        <v>97</v>
      </c>
      <c r="B26" s="4" t="s">
        <v>214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217</v>
      </c>
      <c r="I26" s="5">
        <f t="shared" si="0"/>
        <v>329082.90000000002</v>
      </c>
      <c r="J26" s="5">
        <f t="shared" si="1"/>
        <v>329082.90000000002</v>
      </c>
      <c r="K26" s="5">
        <f t="shared" si="2"/>
        <v>0</v>
      </c>
      <c r="L26" s="5">
        <f t="shared" si="3"/>
        <v>0</v>
      </c>
      <c r="M26" s="89">
        <v>11</v>
      </c>
    </row>
    <row r="27" spans="1:13" s="86" customFormat="1" ht="15" customHeight="1" x14ac:dyDescent="0.25">
      <c r="A27" s="86" t="s">
        <v>97</v>
      </c>
      <c r="B27" s="4" t="s">
        <v>478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479</v>
      </c>
      <c r="I27" s="5">
        <f>IF(F27="разово",IF(G27&lt;=3,D27*E27,0),IF(F27="мес",D27*E27*MAX(0,4-G27),D27*E27*MAX(0,4-G27)/12))</f>
        <v>21552</v>
      </c>
      <c r="J27" s="5">
        <f t="shared" si="1"/>
        <v>21552</v>
      </c>
      <c r="K27" s="5">
        <f t="shared" si="2"/>
        <v>0</v>
      </c>
      <c r="L27" s="5">
        <f t="shared" si="3"/>
        <v>0</v>
      </c>
      <c r="M27" s="89">
        <v>11</v>
      </c>
    </row>
    <row r="28" spans="1:13" ht="27.75" customHeight="1" x14ac:dyDescent="0.25">
      <c r="A28" t="s">
        <v>97</v>
      </c>
      <c r="B28" s="4" t="s">
        <v>166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167</v>
      </c>
      <c r="I28" s="5">
        <f t="shared" si="0"/>
        <v>2500000</v>
      </c>
      <c r="J28" s="5">
        <f t="shared" si="1"/>
        <v>2500000</v>
      </c>
      <c r="K28" s="5">
        <f t="shared" si="2"/>
        <v>0</v>
      </c>
      <c r="L28" s="5">
        <f t="shared" si="3"/>
        <v>0</v>
      </c>
      <c r="M28" s="89">
        <v>11</v>
      </c>
    </row>
    <row r="29" spans="1:13" ht="15" customHeight="1" x14ac:dyDescent="0.25">
      <c r="A29" t="s">
        <v>97</v>
      </c>
      <c r="B29" s="4" t="s">
        <v>168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 t="shared" si="1"/>
        <v>300000</v>
      </c>
      <c r="K29" s="5">
        <f t="shared" si="2"/>
        <v>0</v>
      </c>
      <c r="L29" s="5">
        <f t="shared" si="3"/>
        <v>0</v>
      </c>
      <c r="M29" s="89">
        <v>11</v>
      </c>
    </row>
    <row r="30" spans="1:13" ht="15" customHeight="1" x14ac:dyDescent="0.25">
      <c r="A30" t="s">
        <v>97</v>
      </c>
      <c r="B30" s="4" t="s">
        <v>169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223</v>
      </c>
      <c r="I30" s="5">
        <f t="shared" si="0"/>
        <v>560000</v>
      </c>
      <c r="J30" s="5">
        <f t="shared" si="1"/>
        <v>560000</v>
      </c>
      <c r="K30" s="5">
        <f t="shared" si="2"/>
        <v>0</v>
      </c>
      <c r="L30" s="5">
        <f t="shared" si="3"/>
        <v>0</v>
      </c>
      <c r="M30" s="89">
        <v>11</v>
      </c>
    </row>
    <row r="31" spans="1:13" ht="15" customHeight="1" x14ac:dyDescent="0.25">
      <c r="A31" t="s">
        <v>97</v>
      </c>
      <c r="B31" s="4" t="s">
        <v>170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171</v>
      </c>
      <c r="I31" s="5">
        <f t="shared" si="0"/>
        <v>220000</v>
      </c>
      <c r="J31" s="5">
        <f t="shared" si="1"/>
        <v>0</v>
      </c>
      <c r="K31" s="5">
        <f t="shared" si="2"/>
        <v>220000</v>
      </c>
      <c r="L31" s="5">
        <f t="shared" si="3"/>
        <v>0</v>
      </c>
      <c r="M31" s="89">
        <v>12</v>
      </c>
    </row>
    <row r="32" spans="1:13" ht="15" customHeight="1" x14ac:dyDescent="0.25">
      <c r="A32" t="s">
        <v>97</v>
      </c>
      <c r="B32" s="4" t="s">
        <v>172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173</v>
      </c>
      <c r="I32" s="5">
        <f t="shared" si="0"/>
        <v>300000</v>
      </c>
      <c r="J32" s="5">
        <f t="shared" si="1"/>
        <v>0</v>
      </c>
      <c r="K32" s="5">
        <f t="shared" si="2"/>
        <v>300000</v>
      </c>
      <c r="L32" s="5">
        <f t="shared" si="3"/>
        <v>0</v>
      </c>
      <c r="M32" s="89">
        <v>12</v>
      </c>
    </row>
    <row r="33" spans="1:13" ht="15" customHeight="1" x14ac:dyDescent="0.25">
      <c r="A33" t="s">
        <v>97</v>
      </c>
      <c r="B33" s="4" t="s">
        <v>224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225</v>
      </c>
      <c r="I33" s="5">
        <f t="shared" si="0"/>
        <v>0</v>
      </c>
      <c r="J33" s="5">
        <f t="shared" si="1"/>
        <v>0</v>
      </c>
      <c r="K33" s="5">
        <f t="shared" si="2"/>
        <v>0</v>
      </c>
      <c r="L33" s="5">
        <f t="shared" si="3"/>
        <v>0</v>
      </c>
      <c r="M33" s="89">
        <v>11</v>
      </c>
    </row>
    <row r="34" spans="1:13" ht="15" customHeight="1" x14ac:dyDescent="0.25">
      <c r="A34" t="s">
        <v>97</v>
      </c>
      <c r="B34" s="4" t="s">
        <v>226</v>
      </c>
      <c r="C34" t="s">
        <v>227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228</v>
      </c>
      <c r="I34" s="5">
        <f t="shared" si="0"/>
        <v>0</v>
      </c>
      <c r="J34" s="5">
        <f t="shared" si="1"/>
        <v>0</v>
      </c>
      <c r="K34" s="5">
        <f t="shared" si="2"/>
        <v>0</v>
      </c>
      <c r="L34" s="5">
        <f t="shared" si="3"/>
        <v>0</v>
      </c>
      <c r="M34" s="89">
        <v>11</v>
      </c>
    </row>
    <row r="35" spans="1:13" ht="15" customHeight="1" x14ac:dyDescent="0.25">
      <c r="A35" t="s">
        <v>97</v>
      </c>
      <c r="B35" s="4" t="s">
        <v>229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230</v>
      </c>
      <c r="I35" s="5">
        <f t="shared" si="0"/>
        <v>0</v>
      </c>
      <c r="J35" s="5">
        <f t="shared" si="1"/>
        <v>0</v>
      </c>
      <c r="K35" s="5">
        <f t="shared" si="2"/>
        <v>0</v>
      </c>
      <c r="L35" s="5">
        <f t="shared" si="3"/>
        <v>0</v>
      </c>
      <c r="M35" s="89">
        <v>11</v>
      </c>
    </row>
    <row r="36" spans="1:13" ht="15" customHeight="1" x14ac:dyDescent="0.25">
      <c r="A36" t="s">
        <v>97</v>
      </c>
      <c r="B36" s="4" t="s">
        <v>231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232</v>
      </c>
      <c r="I36" s="5">
        <f t="shared" si="0"/>
        <v>0</v>
      </c>
      <c r="J36" s="5">
        <f t="shared" si="1"/>
        <v>0</v>
      </c>
      <c r="K36" s="5">
        <f t="shared" si="2"/>
        <v>0</v>
      </c>
      <c r="L36" s="5">
        <f t="shared" si="3"/>
        <v>0</v>
      </c>
      <c r="M36" s="89">
        <v>11</v>
      </c>
    </row>
    <row r="37" spans="1:13" ht="15" customHeight="1" x14ac:dyDescent="0.25">
      <c r="A37" t="s">
        <v>97</v>
      </c>
      <c r="B37" s="4" t="s">
        <v>258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385</v>
      </c>
      <c r="I37" s="5">
        <f t="shared" si="0"/>
        <v>74550</v>
      </c>
      <c r="J37" s="5">
        <f t="shared" ref="J37:J57" si="9">IF($F37="разово",IF($M37=12,0,$I37),IF($F37="мес",$D37*$E37*(($G37&lt;=1)+($G37&lt;=2)),IF($F37="год",$D37*$E37/12*(($G37&lt;=1)+($G37&lt;=2)),$I37/2)))</f>
        <v>74550</v>
      </c>
      <c r="K37" s="5">
        <f t="shared" ref="K37:K68" si="10">IF($F37="разово",IF($M37=12,$I37,0),IF($F37="мес",$D37*$E37*($G37&lt;=3),IF($F37="год",$D37*$E37/12*($G37&lt;=3),$I37/2)))</f>
        <v>0</v>
      </c>
      <c r="L37" s="5">
        <f t="shared" ref="L37:L68" si="11">IF($F37="разово",0,IF($F37="мес",$D37*$E37*($G37&lt;=3),IF($F37="год",$D37*$E37/12*($G37&lt;=3),$I37/2)))</f>
        <v>0</v>
      </c>
      <c r="M37" s="89">
        <v>11</v>
      </c>
    </row>
    <row r="38" spans="1:13" ht="15" customHeight="1" x14ac:dyDescent="0.25">
      <c r="A38" t="s">
        <v>97</v>
      </c>
      <c r="B38" s="4" t="s">
        <v>257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342</v>
      </c>
      <c r="I38" s="5">
        <f t="shared" si="0"/>
        <v>15777</v>
      </c>
      <c r="J38" s="5">
        <f t="shared" si="9"/>
        <v>15777</v>
      </c>
      <c r="K38" s="5">
        <f t="shared" si="10"/>
        <v>0</v>
      </c>
      <c r="L38" s="5">
        <f t="shared" si="11"/>
        <v>0</v>
      </c>
      <c r="M38" s="89">
        <v>11</v>
      </c>
    </row>
    <row r="39" spans="1:13" ht="15" customHeight="1" x14ac:dyDescent="0.25">
      <c r="A39" t="s">
        <v>97</v>
      </c>
      <c r="B39" s="4" t="s">
        <v>259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260</v>
      </c>
      <c r="I39" s="5">
        <f t="shared" si="0"/>
        <v>24948</v>
      </c>
      <c r="J39" s="5">
        <f t="shared" si="9"/>
        <v>24948</v>
      </c>
      <c r="K39" s="5">
        <f t="shared" si="10"/>
        <v>0</v>
      </c>
      <c r="L39" s="5">
        <f t="shared" si="11"/>
        <v>0</v>
      </c>
      <c r="M39" s="89">
        <v>11</v>
      </c>
    </row>
    <row r="40" spans="1:13" ht="15" customHeight="1" x14ac:dyDescent="0.25">
      <c r="A40" t="s">
        <v>97</v>
      </c>
      <c r="B40" s="4" t="s">
        <v>261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262</v>
      </c>
      <c r="I40" s="5">
        <f t="shared" si="0"/>
        <v>77920</v>
      </c>
      <c r="J40" s="5">
        <f t="shared" si="9"/>
        <v>77920</v>
      </c>
      <c r="K40" s="5">
        <f t="shared" si="10"/>
        <v>0</v>
      </c>
      <c r="L40" s="5">
        <f t="shared" si="11"/>
        <v>0</v>
      </c>
      <c r="M40" s="89">
        <v>11</v>
      </c>
    </row>
    <row r="41" spans="1:13" ht="15" customHeight="1" x14ac:dyDescent="0.25">
      <c r="A41" t="s">
        <v>97</v>
      </c>
      <c r="B41" s="4" t="s">
        <v>306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307</v>
      </c>
      <c r="I41" s="5">
        <f t="shared" ref="I41" si="12">IF(F41="разово",IF(G41&lt;=3,D41*E41,0),IF(F41="мес",D41*E41*MAX(0,4-G41),D41*E41*MAX(0,4-G41)/12))</f>
        <v>769840</v>
      </c>
      <c r="J41" s="5">
        <f t="shared" si="9"/>
        <v>769840</v>
      </c>
      <c r="K41" s="5">
        <f t="shared" si="10"/>
        <v>0</v>
      </c>
      <c r="L41" s="5">
        <f t="shared" si="11"/>
        <v>0</v>
      </c>
      <c r="M41" s="89">
        <v>11</v>
      </c>
    </row>
    <row r="42" spans="1:13" s="105" customFormat="1" ht="15" customHeight="1" x14ac:dyDescent="0.25">
      <c r="A42" s="105" t="s">
        <v>97</v>
      </c>
      <c r="B42" s="4" t="s">
        <v>557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558</v>
      </c>
      <c r="I42" s="5">
        <f>IF(F42="разово",IF(G42&lt;=3,D42*E42,0),IF(F42="мес",D42*E42*MAX(0,4-G42),D42*E42*MAX(0,4-G42)/12))</f>
        <v>31240</v>
      </c>
      <c r="J42" s="5">
        <f t="shared" si="9"/>
        <v>31240</v>
      </c>
      <c r="K42" s="5">
        <f t="shared" si="10"/>
        <v>0</v>
      </c>
      <c r="L42" s="5">
        <f t="shared" si="11"/>
        <v>0</v>
      </c>
      <c r="M42" s="89">
        <v>11</v>
      </c>
    </row>
    <row r="43" spans="1:13" ht="15" customHeight="1" x14ac:dyDescent="0.25">
      <c r="A43" t="s">
        <v>97</v>
      </c>
      <c r="B43" s="4" t="s">
        <v>309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310</v>
      </c>
      <c r="I43" s="5">
        <f t="shared" si="0"/>
        <v>0</v>
      </c>
      <c r="J43" s="5">
        <f t="shared" si="9"/>
        <v>0</v>
      </c>
      <c r="K43" s="5">
        <f t="shared" si="10"/>
        <v>0</v>
      </c>
      <c r="L43" s="5">
        <f t="shared" si="11"/>
        <v>0</v>
      </c>
      <c r="M43" s="89">
        <v>11</v>
      </c>
    </row>
    <row r="44" spans="1:13" ht="15" customHeight="1" x14ac:dyDescent="0.25">
      <c r="A44" t="s">
        <v>97</v>
      </c>
      <c r="B44" s="4" t="s">
        <v>481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549</v>
      </c>
      <c r="I44" s="5">
        <f t="shared" si="0"/>
        <v>49129</v>
      </c>
      <c r="J44" s="5">
        <f t="shared" si="9"/>
        <v>49129</v>
      </c>
      <c r="K44" s="5">
        <f t="shared" si="10"/>
        <v>0</v>
      </c>
      <c r="L44" s="5">
        <f t="shared" si="11"/>
        <v>0</v>
      </c>
      <c r="M44" s="89">
        <v>11</v>
      </c>
    </row>
    <row r="45" spans="1:13" s="90" customFormat="1" ht="15" customHeight="1" x14ac:dyDescent="0.25">
      <c r="A45" s="90" t="s">
        <v>97</v>
      </c>
      <c r="B45" s="4" t="s">
        <v>492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550</v>
      </c>
      <c r="I45" s="5">
        <f>IF(F45="разово",IF(G45&lt;=3,D45*E45,0),IF(F45="мес",D45*E45*MAX(0,4-G45),D45*E45*MAX(0,4-G45)/12))</f>
        <v>96211</v>
      </c>
      <c r="J45" s="5">
        <f t="shared" si="9"/>
        <v>0</v>
      </c>
      <c r="K45" s="5">
        <f t="shared" si="10"/>
        <v>96211</v>
      </c>
      <c r="L45" s="5">
        <f t="shared" si="11"/>
        <v>0</v>
      </c>
      <c r="M45" s="89">
        <v>12</v>
      </c>
    </row>
    <row r="46" spans="1:13" ht="15" customHeight="1" x14ac:dyDescent="0.25">
      <c r="A46" t="s">
        <v>97</v>
      </c>
      <c r="B46" s="4" t="s">
        <v>531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551</v>
      </c>
      <c r="I46" s="5">
        <f t="shared" si="0"/>
        <v>300000</v>
      </c>
      <c r="J46" s="5">
        <f t="shared" si="9"/>
        <v>0</v>
      </c>
      <c r="K46" s="5">
        <f t="shared" si="10"/>
        <v>300000</v>
      </c>
      <c r="L46" s="5">
        <f t="shared" si="11"/>
        <v>0</v>
      </c>
      <c r="M46" s="89">
        <v>12</v>
      </c>
    </row>
    <row r="47" spans="1:13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 t="shared" si="9"/>
        <v>0</v>
      </c>
      <c r="K47" s="5">
        <f t="shared" si="10"/>
        <v>0</v>
      </c>
      <c r="L47" s="5">
        <f t="shared" si="11"/>
        <v>0</v>
      </c>
      <c r="M47" s="89">
        <v>11</v>
      </c>
    </row>
    <row r="48" spans="1:13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 t="shared" si="9"/>
        <v>0</v>
      </c>
      <c r="K48" s="5">
        <f t="shared" si="10"/>
        <v>0</v>
      </c>
      <c r="L48" s="5">
        <f t="shared" si="11"/>
        <v>0</v>
      </c>
      <c r="M48" s="89">
        <v>11</v>
      </c>
    </row>
    <row r="49" spans="1:13" ht="27.75" customHeight="1" x14ac:dyDescent="0.25">
      <c r="A49" t="s">
        <v>97</v>
      </c>
      <c r="B49" s="4" t="s">
        <v>343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388</v>
      </c>
      <c r="I49" s="5">
        <f t="shared" si="0"/>
        <v>300000</v>
      </c>
      <c r="J49" s="5">
        <f t="shared" si="9"/>
        <v>0</v>
      </c>
      <c r="K49" s="5">
        <f t="shared" si="10"/>
        <v>300000</v>
      </c>
      <c r="L49" s="5">
        <f t="shared" si="11"/>
        <v>0</v>
      </c>
      <c r="M49" s="89">
        <v>12</v>
      </c>
    </row>
    <row r="50" spans="1:13" ht="15" customHeight="1" x14ac:dyDescent="0.25">
      <c r="A50" t="s">
        <v>97</v>
      </c>
      <c r="B50" s="4" t="s">
        <v>311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 t="shared" si="9"/>
        <v>400000</v>
      </c>
      <c r="K50" s="5">
        <f t="shared" si="10"/>
        <v>0</v>
      </c>
      <c r="L50" s="5">
        <f t="shared" si="11"/>
        <v>0</v>
      </c>
      <c r="M50" s="89">
        <v>11</v>
      </c>
    </row>
    <row r="51" spans="1:13" ht="15" customHeight="1" x14ac:dyDescent="0.25">
      <c r="A51" t="s">
        <v>97</v>
      </c>
      <c r="B51" s="4" t="s">
        <v>312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313</v>
      </c>
      <c r="I51" s="5">
        <f t="shared" ref="I51" si="13">IF(F51="разово",IF(G51&lt;=3,D51*E51,0),IF(F51="мес",D51*E51*MAX(0,4-G51),D51*E51*MAX(0,4-G51)/12))</f>
        <v>31026</v>
      </c>
      <c r="J51" s="5">
        <f t="shared" si="9"/>
        <v>31026</v>
      </c>
      <c r="K51" s="5">
        <f t="shared" si="10"/>
        <v>0</v>
      </c>
      <c r="L51" s="5">
        <f t="shared" si="11"/>
        <v>0</v>
      </c>
      <c r="M51" s="89">
        <v>11</v>
      </c>
    </row>
    <row r="52" spans="1:13" ht="15" customHeight="1" x14ac:dyDescent="0.25">
      <c r="A52" t="s">
        <v>97</v>
      </c>
      <c r="B52" s="4" t="s">
        <v>480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552</v>
      </c>
      <c r="I52" s="5">
        <f t="shared" ref="I52:I54" si="14">IF(F52="разово",IF(G52&lt;=3,D52*E52,0),IF(F52="мес",D52*E52*MAX(0,4-G52),D52*E52*MAX(0,4-G52)/12))</f>
        <v>130940</v>
      </c>
      <c r="J52" s="5">
        <f t="shared" si="9"/>
        <v>130940</v>
      </c>
      <c r="K52" s="5">
        <f t="shared" si="10"/>
        <v>0</v>
      </c>
      <c r="L52" s="5">
        <f t="shared" si="11"/>
        <v>0</v>
      </c>
      <c r="M52" s="89">
        <v>11</v>
      </c>
    </row>
    <row r="53" spans="1:13" ht="15" customHeight="1" x14ac:dyDescent="0.25">
      <c r="A53" t="s">
        <v>97</v>
      </c>
      <c r="B53" s="4" t="s">
        <v>532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533</v>
      </c>
      <c r="I53" s="5">
        <f t="shared" si="14"/>
        <v>369600</v>
      </c>
      <c r="J53" s="5">
        <f t="shared" si="9"/>
        <v>369600</v>
      </c>
      <c r="K53" s="5">
        <f t="shared" si="10"/>
        <v>0</v>
      </c>
      <c r="L53" s="5">
        <f t="shared" si="11"/>
        <v>0</v>
      </c>
      <c r="M53" s="89">
        <v>11</v>
      </c>
    </row>
    <row r="54" spans="1:13" ht="15" customHeight="1" x14ac:dyDescent="0.25">
      <c r="A54" t="s">
        <v>97</v>
      </c>
      <c r="B54" s="4" t="s">
        <v>391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392</v>
      </c>
      <c r="I54" s="5">
        <f t="shared" si="14"/>
        <v>79398</v>
      </c>
      <c r="J54" s="5">
        <f t="shared" si="9"/>
        <v>0</v>
      </c>
      <c r="K54" s="5">
        <f t="shared" si="10"/>
        <v>79398</v>
      </c>
      <c r="L54" s="5">
        <f t="shared" si="11"/>
        <v>0</v>
      </c>
      <c r="M54" s="89">
        <v>12</v>
      </c>
    </row>
    <row r="55" spans="1:13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 t="shared" si="9"/>
        <v>150000</v>
      </c>
      <c r="K55" s="5">
        <f t="shared" si="10"/>
        <v>0</v>
      </c>
      <c r="L55" s="5">
        <f t="shared" si="11"/>
        <v>0</v>
      </c>
      <c r="M55" s="89">
        <v>11</v>
      </c>
    </row>
    <row r="56" spans="1:13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 t="shared" si="9"/>
        <v>0</v>
      </c>
      <c r="K56" s="5">
        <f t="shared" si="10"/>
        <v>400000</v>
      </c>
      <c r="L56" s="5">
        <f t="shared" si="11"/>
        <v>0</v>
      </c>
      <c r="M56" s="89">
        <v>12</v>
      </c>
    </row>
    <row r="57" spans="1:13" ht="15" customHeight="1" x14ac:dyDescent="0.25">
      <c r="A57" t="s">
        <v>97</v>
      </c>
      <c r="B57" s="4" t="s">
        <v>344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 t="shared" si="9"/>
        <v>10000</v>
      </c>
      <c r="K57" s="5">
        <f t="shared" si="10"/>
        <v>0</v>
      </c>
      <c r="L57" s="5">
        <f t="shared" si="11"/>
        <v>0</v>
      </c>
      <c r="M57" s="89">
        <v>11</v>
      </c>
    </row>
    <row r="58" spans="1:13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305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 t="shared" si="10"/>
        <v>4869152.0999999996</v>
      </c>
      <c r="L58" s="5">
        <f t="shared" si="11"/>
        <v>4869152.0999999996</v>
      </c>
      <c r="M58" s="89"/>
    </row>
    <row r="59" spans="1:13" ht="15" customHeight="1" x14ac:dyDescent="0.25">
      <c r="A59" t="s">
        <v>111</v>
      </c>
      <c r="B59" s="4" t="s">
        <v>215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256</v>
      </c>
      <c r="I59" s="5">
        <f t="shared" ref="I59:I77" si="15">IF(F59="разово",IF(G59&lt;=3,D59*E59,0),IF(F59="мес",D59*E59*MAX(0,4-G59),D59*E59*MAX(0,4-G59)/12))</f>
        <v>4869152.0999999996</v>
      </c>
      <c r="J59" s="5">
        <f t="shared" ref="J59:J77" si="16">IF($F59="разово",IF($M59=12,0,$I59),IF($F59="мес",$D59*$E59*(($G59&lt;=1)+($G59&lt;=2)),IF($F59="год",$D59*$E59/12*(($G59&lt;=1)+($G59&lt;=2)),$I59/2)))</f>
        <v>4869152.0999999996</v>
      </c>
      <c r="K59" s="5">
        <f t="shared" si="10"/>
        <v>0</v>
      </c>
      <c r="L59" s="5">
        <f t="shared" si="11"/>
        <v>0</v>
      </c>
      <c r="M59" s="89">
        <v>11</v>
      </c>
    </row>
    <row r="60" spans="1:13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553</v>
      </c>
      <c r="I60" s="5">
        <f t="shared" si="15"/>
        <v>200000</v>
      </c>
      <c r="J60" s="5">
        <f t="shared" si="16"/>
        <v>100000</v>
      </c>
      <c r="K60" s="5">
        <f t="shared" si="10"/>
        <v>100000</v>
      </c>
      <c r="L60" s="5">
        <f t="shared" si="11"/>
        <v>100000</v>
      </c>
      <c r="M60" s="89"/>
    </row>
    <row r="61" spans="1:13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15"/>
        <v>60000</v>
      </c>
      <c r="J61" s="5">
        <f t="shared" si="16"/>
        <v>30000</v>
      </c>
      <c r="K61" s="5">
        <f t="shared" si="10"/>
        <v>30000</v>
      </c>
      <c r="L61" s="5">
        <f t="shared" si="11"/>
        <v>30000</v>
      </c>
      <c r="M61" s="89"/>
    </row>
    <row r="62" spans="1:13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15"/>
        <v>100000</v>
      </c>
      <c r="J62" s="5">
        <f t="shared" si="16"/>
        <v>50000</v>
      </c>
      <c r="K62" s="5">
        <f t="shared" si="10"/>
        <v>50000</v>
      </c>
      <c r="L62" s="5">
        <f t="shared" si="11"/>
        <v>50000</v>
      </c>
      <c r="M62" s="89"/>
    </row>
    <row r="63" spans="1:13" s="105" customFormat="1" ht="15" customHeight="1" x14ac:dyDescent="0.25">
      <c r="A63" s="105" t="s">
        <v>111</v>
      </c>
      <c r="B63" s="4" t="s">
        <v>559</v>
      </c>
      <c r="C63" s="105" t="s">
        <v>560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561</v>
      </c>
      <c r="I63" s="5">
        <f>IF(F63="разово",IF(G63&lt;=3,D63*E63,0),IF(F63="мес",D63*E63*MAX(0,4-G63),D63*E63*MAX(0,4-G63)/12))</f>
        <v>18932</v>
      </c>
      <c r="J63" s="5">
        <f t="shared" si="16"/>
        <v>9466</v>
      </c>
      <c r="K63" s="5">
        <f t="shared" si="10"/>
        <v>9466</v>
      </c>
      <c r="L63" s="5">
        <f t="shared" si="11"/>
        <v>9466</v>
      </c>
      <c r="M63" s="89"/>
    </row>
    <row r="64" spans="1:13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15"/>
        <v>60000</v>
      </c>
      <c r="J64" s="5">
        <f t="shared" si="16"/>
        <v>30000</v>
      </c>
      <c r="K64" s="5">
        <f t="shared" si="10"/>
        <v>30000</v>
      </c>
      <c r="L64" s="5">
        <f t="shared" si="11"/>
        <v>30000</v>
      </c>
      <c r="M64" s="89"/>
    </row>
    <row r="65" spans="1:13" ht="15" customHeight="1" x14ac:dyDescent="0.25">
      <c r="A65" t="s">
        <v>111</v>
      </c>
      <c r="B65" s="4" t="s">
        <v>351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352</v>
      </c>
      <c r="I65" s="5">
        <f t="shared" si="15"/>
        <v>48250</v>
      </c>
      <c r="J65" s="5">
        <f t="shared" si="16"/>
        <v>24125</v>
      </c>
      <c r="K65" s="5">
        <f t="shared" si="10"/>
        <v>24125</v>
      </c>
      <c r="L65" s="5">
        <f t="shared" si="11"/>
        <v>24125</v>
      </c>
      <c r="M65" s="89"/>
    </row>
    <row r="66" spans="1:13" ht="15" customHeight="1" x14ac:dyDescent="0.25">
      <c r="A66" t="s">
        <v>111</v>
      </c>
      <c r="B66" s="4" t="s">
        <v>353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354</v>
      </c>
      <c r="I66" s="5">
        <f t="shared" ref="I66" si="17">IF(F66="разово",IF(G66&lt;=3,D66*E66,0),IF(F66="мес",D66*E66*MAX(0,4-G66),D66*E66*MAX(0,4-G66)/12))</f>
        <v>20048</v>
      </c>
      <c r="J66" s="5">
        <f t="shared" si="16"/>
        <v>20048</v>
      </c>
      <c r="K66" s="5">
        <f t="shared" si="10"/>
        <v>0</v>
      </c>
      <c r="L66" s="5">
        <f t="shared" si="11"/>
        <v>0</v>
      </c>
      <c r="M66" s="89">
        <v>11</v>
      </c>
    </row>
    <row r="67" spans="1:13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15"/>
        <v>200000</v>
      </c>
      <c r="J67" s="5">
        <f t="shared" si="16"/>
        <v>100000</v>
      </c>
      <c r="K67" s="5">
        <f t="shared" si="10"/>
        <v>100000</v>
      </c>
      <c r="L67" s="5">
        <f t="shared" si="11"/>
        <v>100000</v>
      </c>
      <c r="M67" s="89"/>
    </row>
    <row r="68" spans="1:13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345</v>
      </c>
      <c r="I68" s="5">
        <f t="shared" si="15"/>
        <v>266000</v>
      </c>
      <c r="J68" s="5">
        <f t="shared" si="16"/>
        <v>133000</v>
      </c>
      <c r="K68" s="5">
        <f t="shared" si="10"/>
        <v>133000</v>
      </c>
      <c r="L68" s="5">
        <f t="shared" si="11"/>
        <v>133000</v>
      </c>
      <c r="M68" s="89"/>
    </row>
    <row r="69" spans="1:13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15"/>
        <v>45000</v>
      </c>
      <c r="J69" s="5">
        <f t="shared" si="16"/>
        <v>22500</v>
      </c>
      <c r="K69" s="5">
        <f t="shared" ref="K69:K77" si="18">IF($F69="разово",IF($M69=12,$I69,0),IF($F69="мес",$D69*$E69*($G69&lt;=3),IF($F69="год",$D69*$E69/12*($G69&lt;=3),$I69/2)))</f>
        <v>22500</v>
      </c>
      <c r="L69" s="5">
        <f t="shared" ref="L69:L77" si="19">IF($F69="разово",0,IF($F69="мес",$D69*$E69*($G69&lt;=3),IF($F69="год",$D69*$E69/12*($G69&lt;=3),$I69/2)))</f>
        <v>22500</v>
      </c>
      <c r="M69" s="89"/>
    </row>
    <row r="70" spans="1:13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15"/>
        <v>120000</v>
      </c>
      <c r="J70" s="5">
        <f t="shared" si="16"/>
        <v>60000</v>
      </c>
      <c r="K70" s="5">
        <f t="shared" si="18"/>
        <v>60000</v>
      </c>
      <c r="L70" s="5">
        <f t="shared" si="19"/>
        <v>60000</v>
      </c>
      <c r="M70" s="89"/>
    </row>
    <row r="71" spans="1:13" ht="15" customHeight="1" x14ac:dyDescent="0.25">
      <c r="A71" t="s">
        <v>121</v>
      </c>
      <c r="B71" s="4" t="s">
        <v>535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554</v>
      </c>
      <c r="I71" s="5">
        <f t="shared" si="15"/>
        <v>79447</v>
      </c>
      <c r="J71" s="5">
        <f t="shared" si="16"/>
        <v>79447</v>
      </c>
      <c r="K71" s="5">
        <f t="shared" si="18"/>
        <v>0</v>
      </c>
      <c r="L71" s="5">
        <f t="shared" si="19"/>
        <v>0</v>
      </c>
      <c r="M71" s="89">
        <v>11</v>
      </c>
    </row>
    <row r="72" spans="1:13" s="102" customFormat="1" ht="15" customHeight="1" x14ac:dyDescent="0.25">
      <c r="A72" s="102" t="s">
        <v>121</v>
      </c>
      <c r="B72" s="4" t="s">
        <v>516</v>
      </c>
      <c r="C72" s="102" t="s">
        <v>517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518</v>
      </c>
      <c r="I72" s="5">
        <f>IF(F72="разово",IF(G72&lt;=3,D72*E72,0),IF(F72="мес",D72*E72*MAX(0,4-G72),D72*E72*MAX(0,4-G72)/12))</f>
        <v>76000</v>
      </c>
      <c r="J72" s="5">
        <f t="shared" si="16"/>
        <v>38000</v>
      </c>
      <c r="K72" s="5">
        <f t="shared" si="18"/>
        <v>38000</v>
      </c>
      <c r="L72" s="5">
        <f t="shared" si="19"/>
        <v>38000</v>
      </c>
      <c r="M72" s="89"/>
    </row>
    <row r="73" spans="1:13" ht="15" customHeight="1" x14ac:dyDescent="0.25">
      <c r="A73" t="s">
        <v>128</v>
      </c>
      <c r="B73" s="4" t="s">
        <v>297</v>
      </c>
      <c r="C73" t="s">
        <v>234</v>
      </c>
      <c r="D73" s="9"/>
      <c r="E73" s="10"/>
      <c r="F73" s="9" t="s">
        <v>233</v>
      </c>
      <c r="G73" s="9"/>
      <c r="H73" s="4"/>
      <c r="I73" s="5">
        <v>2000000</v>
      </c>
      <c r="J73" s="5">
        <f t="shared" si="16"/>
        <v>1000000</v>
      </c>
      <c r="K73" s="5">
        <f t="shared" si="18"/>
        <v>1000000</v>
      </c>
      <c r="L73" s="5">
        <f t="shared" si="19"/>
        <v>1000000</v>
      </c>
      <c r="M73" s="89"/>
    </row>
    <row r="74" spans="1:13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15"/>
        <v>300000</v>
      </c>
      <c r="J74" s="5">
        <f t="shared" si="16"/>
        <v>150000</v>
      </c>
      <c r="K74" s="5">
        <f t="shared" si="18"/>
        <v>150000</v>
      </c>
      <c r="L74" s="5">
        <f t="shared" si="19"/>
        <v>150000</v>
      </c>
      <c r="M74" s="89"/>
    </row>
    <row r="75" spans="1:13" ht="15" customHeight="1" x14ac:dyDescent="0.25">
      <c r="A75" t="s">
        <v>128</v>
      </c>
      <c r="B75" s="4" t="s">
        <v>131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15"/>
        <v>50000</v>
      </c>
      <c r="J75" s="5">
        <f t="shared" si="16"/>
        <v>25000</v>
      </c>
      <c r="K75" s="5">
        <f t="shared" si="18"/>
        <v>25000</v>
      </c>
      <c r="L75" s="5">
        <f t="shared" si="19"/>
        <v>25000</v>
      </c>
      <c r="M75" s="89"/>
    </row>
    <row r="76" spans="1:13" ht="15" customHeight="1" x14ac:dyDescent="0.25">
      <c r="A76" t="s">
        <v>132</v>
      </c>
      <c r="B76" s="4" t="s">
        <v>534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555</v>
      </c>
      <c r="I76" s="5">
        <f t="shared" si="15"/>
        <v>350000</v>
      </c>
      <c r="J76" s="5">
        <f t="shared" si="16"/>
        <v>350000</v>
      </c>
      <c r="K76" s="5">
        <f t="shared" si="18"/>
        <v>0</v>
      </c>
      <c r="L76" s="5">
        <f t="shared" si="19"/>
        <v>0</v>
      </c>
      <c r="M76" s="89">
        <v>11</v>
      </c>
    </row>
    <row r="77" spans="1:13" ht="15" customHeight="1" x14ac:dyDescent="0.25">
      <c r="A77" t="s">
        <v>132</v>
      </c>
      <c r="B77" s="4" t="s">
        <v>346</v>
      </c>
      <c r="C77" t="s">
        <v>130</v>
      </c>
      <c r="D77" s="9"/>
      <c r="E77" s="10">
        <v>100000</v>
      </c>
      <c r="F77" s="9" t="s">
        <v>130</v>
      </c>
      <c r="G77" s="9">
        <v>2</v>
      </c>
      <c r="H77" s="4"/>
      <c r="I77" s="5">
        <f t="shared" si="15"/>
        <v>0</v>
      </c>
      <c r="J77" s="5">
        <f t="shared" si="16"/>
        <v>0</v>
      </c>
      <c r="K77" s="5">
        <f t="shared" si="18"/>
        <v>0</v>
      </c>
      <c r="L77" s="5">
        <f t="shared" si="19"/>
        <v>0</v>
      </c>
      <c r="M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10" width="14.7109375" customWidth="1"/>
    <col min="11" max="12" width="8.7109375" customWidth="1"/>
  </cols>
  <sheetData>
    <row r="1" spans="1:10" ht="17.25" x14ac:dyDescent="0.3">
      <c r="A1" s="1" t="s">
        <v>326</v>
      </c>
    </row>
    <row r="2" spans="1:10" x14ac:dyDescent="0.25">
      <c r="A2" s="2"/>
    </row>
    <row r="4" spans="1:10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562</v>
      </c>
      <c r="I4" s="34" t="s">
        <v>563</v>
      </c>
      <c r="J4" s="34" t="s">
        <v>564</v>
      </c>
    </row>
    <row r="5" spans="1:10" ht="30" x14ac:dyDescent="0.25">
      <c r="A5" t="s">
        <v>273</v>
      </c>
      <c r="B5" s="4" t="s">
        <v>449</v>
      </c>
      <c r="C5" t="s">
        <v>234</v>
      </c>
      <c r="D5" s="9"/>
      <c r="E5" s="10"/>
      <c r="F5" s="9" t="s">
        <v>233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  <c r="J5" s="5">
        <f>$G5*1/3</f>
        <v>3585173.3333333335</v>
      </c>
    </row>
    <row r="6" spans="1:10" x14ac:dyDescent="0.25">
      <c r="A6" t="s">
        <v>273</v>
      </c>
      <c r="B6" s="4" t="s">
        <v>450</v>
      </c>
      <c r="C6" t="s">
        <v>234</v>
      </c>
      <c r="D6" s="9"/>
      <c r="E6" s="10"/>
      <c r="F6" s="9" t="s">
        <v>233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  <c r="J6" s="5">
        <f>$G6*0</f>
        <v>0</v>
      </c>
    </row>
    <row r="7" spans="1:10" x14ac:dyDescent="0.25">
      <c r="A7" t="s">
        <v>273</v>
      </c>
      <c r="B7" s="4" t="s">
        <v>235</v>
      </c>
      <c r="C7" t="s">
        <v>234</v>
      </c>
      <c r="D7" s="9"/>
      <c r="E7" s="10"/>
      <c r="F7" s="9" t="s">
        <v>233</v>
      </c>
      <c r="G7" s="5">
        <f>'креативные проекты'!F9</f>
        <v>17284000</v>
      </c>
      <c r="H7" s="5">
        <f t="shared" ref="H7:J8" si="0">$G7*1/3</f>
        <v>5761333.333333333</v>
      </c>
      <c r="I7" s="5">
        <f t="shared" si="0"/>
        <v>5761333.333333333</v>
      </c>
      <c r="J7" s="5">
        <f t="shared" si="0"/>
        <v>5761333.333333333</v>
      </c>
    </row>
    <row r="8" spans="1:10" x14ac:dyDescent="0.25">
      <c r="A8" t="s">
        <v>273</v>
      </c>
      <c r="B8" s="4" t="s">
        <v>451</v>
      </c>
      <c r="C8" t="s">
        <v>234</v>
      </c>
      <c r="D8" s="9"/>
      <c r="E8" s="10"/>
      <c r="F8" s="9" t="s">
        <v>233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  <c r="J8" s="5">
        <f t="shared" si="0"/>
        <v>7810666.666666667</v>
      </c>
    </row>
    <row r="9" spans="1:10" x14ac:dyDescent="0.25">
      <c r="A9" t="s">
        <v>273</v>
      </c>
      <c r="B9" s="4" t="s">
        <v>452</v>
      </c>
      <c r="C9" t="s">
        <v>234</v>
      </c>
      <c r="D9" s="9"/>
      <c r="E9" s="10"/>
      <c r="F9" s="9" t="s">
        <v>233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  <c r="J9" s="5">
        <f>$G9*0</f>
        <v>0</v>
      </c>
    </row>
    <row r="10" spans="1:10" x14ac:dyDescent="0.25">
      <c r="A10" t="s">
        <v>273</v>
      </c>
      <c r="B10" s="4" t="s">
        <v>448</v>
      </c>
      <c r="C10" t="s">
        <v>234</v>
      </c>
      <c r="D10" s="9"/>
      <c r="E10" s="10"/>
      <c r="F10" s="9" t="s">
        <v>233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  <c r="J10" s="5">
        <f>$G10*0</f>
        <v>0</v>
      </c>
    </row>
    <row r="11" spans="1:10" x14ac:dyDescent="0.25">
      <c r="B11" s="4"/>
      <c r="D11" s="9"/>
      <c r="E11" s="10"/>
      <c r="F11" s="9"/>
      <c r="G11" s="5"/>
      <c r="H11" s="5"/>
      <c r="I11" s="5"/>
      <c r="J11" s="5"/>
    </row>
    <row r="12" spans="1:10" x14ac:dyDescent="0.25">
      <c r="G12" s="5"/>
      <c r="H12" s="5"/>
      <c r="I12" s="5"/>
      <c r="J12" s="5"/>
    </row>
    <row r="13" spans="1:10" x14ac:dyDescent="0.25">
      <c r="B13" s="7" t="s">
        <v>327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  <c r="J13" s="6">
        <f>SUM(J5:J11)</f>
        <v>17157173.333333332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394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395</v>
      </c>
      <c r="C3" s="49" t="s">
        <v>396</v>
      </c>
      <c r="D3" s="49" t="s">
        <v>397</v>
      </c>
      <c r="E3" s="50" t="s">
        <v>398</v>
      </c>
      <c r="F3" s="50" t="s">
        <v>399</v>
      </c>
    </row>
    <row r="4" spans="1:12" x14ac:dyDescent="0.2">
      <c r="A4" s="51"/>
      <c r="B4" s="48" t="s">
        <v>400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401</v>
      </c>
      <c r="B5" s="54" t="s">
        <v>402</v>
      </c>
      <c r="C5" s="55" t="s">
        <v>403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404</v>
      </c>
      <c r="B6" s="57" t="s">
        <v>405</v>
      </c>
      <c r="C6" s="55" t="s">
        <v>406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407</v>
      </c>
      <c r="B7" s="57" t="s">
        <v>408</v>
      </c>
      <c r="C7" s="55" t="s">
        <v>406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409</v>
      </c>
      <c r="B8" s="57" t="s">
        <v>410</v>
      </c>
      <c r="C8" s="55" t="s">
        <v>406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411</v>
      </c>
      <c r="B9" s="57" t="s">
        <v>412</v>
      </c>
      <c r="C9" s="55" t="s">
        <v>406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413</v>
      </c>
      <c r="B10" s="57" t="s">
        <v>414</v>
      </c>
      <c r="C10" s="55" t="s">
        <v>406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415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416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417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395</v>
      </c>
      <c r="C3" s="49" t="s">
        <v>396</v>
      </c>
      <c r="D3" s="49" t="s">
        <v>397</v>
      </c>
      <c r="E3" s="50" t="s">
        <v>398</v>
      </c>
      <c r="F3" s="50" t="s">
        <v>399</v>
      </c>
    </row>
    <row r="4" spans="1:12" x14ac:dyDescent="0.2">
      <c r="A4" s="51"/>
      <c r="B4" s="48" t="s">
        <v>400</v>
      </c>
      <c r="C4" s="49"/>
      <c r="D4" s="49"/>
      <c r="E4" s="52"/>
      <c r="F4" s="53">
        <f>F14</f>
        <v>5530000</v>
      </c>
    </row>
    <row r="5" spans="1:12" x14ac:dyDescent="0.2">
      <c r="A5" s="51" t="s">
        <v>401</v>
      </c>
      <c r="B5" s="57" t="s">
        <v>418</v>
      </c>
      <c r="C5" s="55" t="s">
        <v>419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404</v>
      </c>
      <c r="B6" s="57" t="s">
        <v>420</v>
      </c>
      <c r="C6" s="55" t="s">
        <v>419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407</v>
      </c>
      <c r="B7" s="57" t="s">
        <v>421</v>
      </c>
      <c r="C7" s="55" t="s">
        <v>419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409</v>
      </c>
      <c r="B8" s="57" t="s">
        <v>422</v>
      </c>
      <c r="C8" s="55" t="s">
        <v>423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411</v>
      </c>
      <c r="B9" s="57" t="s">
        <v>424</v>
      </c>
      <c r="C9" s="55" t="s">
        <v>425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413</v>
      </c>
      <c r="B10" s="57" t="s">
        <v>426</v>
      </c>
      <c r="C10" s="55" t="s">
        <v>425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427</v>
      </c>
      <c r="C11" s="55" t="s">
        <v>425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413</v>
      </c>
      <c r="B12" s="57" t="s">
        <v>410</v>
      </c>
      <c r="C12" s="55" t="s">
        <v>423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428</v>
      </c>
      <c r="B13" s="75" t="s">
        <v>429</v>
      </c>
      <c r="C13" s="76" t="s">
        <v>403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415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416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430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395</v>
      </c>
      <c r="C3" s="49" t="s">
        <v>396</v>
      </c>
      <c r="D3" s="49" t="s">
        <v>397</v>
      </c>
      <c r="E3" s="50" t="s">
        <v>398</v>
      </c>
      <c r="F3" s="50" t="s">
        <v>399</v>
      </c>
    </row>
    <row r="4" spans="1:12" x14ac:dyDescent="0.2">
      <c r="A4" s="51"/>
      <c r="B4" s="48" t="s">
        <v>400</v>
      </c>
      <c r="C4" s="49"/>
      <c r="D4" s="49"/>
      <c r="E4" s="52"/>
      <c r="F4" s="53">
        <f>F8</f>
        <v>14900000</v>
      </c>
    </row>
    <row r="5" spans="1:12" x14ac:dyDescent="0.2">
      <c r="A5" s="51" t="s">
        <v>401</v>
      </c>
      <c r="B5" s="57" t="s">
        <v>431</v>
      </c>
      <c r="C5" s="55" t="s">
        <v>432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404</v>
      </c>
      <c r="B6" s="57" t="s">
        <v>433</v>
      </c>
      <c r="C6" s="55" t="s">
        <v>434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407</v>
      </c>
      <c r="B7" s="57" t="s">
        <v>435</v>
      </c>
      <c r="C7" s="55" t="s">
        <v>434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415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416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436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395</v>
      </c>
      <c r="C3" s="49" t="s">
        <v>396</v>
      </c>
      <c r="D3" s="49" t="s">
        <v>397</v>
      </c>
      <c r="E3" s="50" t="s">
        <v>398</v>
      </c>
      <c r="F3" s="50" t="s">
        <v>399</v>
      </c>
    </row>
    <row r="4" spans="1:12" x14ac:dyDescent="0.2">
      <c r="A4" s="51"/>
      <c r="B4" s="48" t="s">
        <v>400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401</v>
      </c>
      <c r="B5" s="57" t="s">
        <v>437</v>
      </c>
      <c r="C5" s="55" t="s">
        <v>423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404</v>
      </c>
      <c r="B6" s="57" t="s">
        <v>438</v>
      </c>
      <c r="C6" s="55" t="s">
        <v>432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407</v>
      </c>
      <c r="B7" s="57" t="s">
        <v>439</v>
      </c>
      <c r="C7" s="55" t="s">
        <v>423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409</v>
      </c>
      <c r="B8" s="57" t="s">
        <v>440</v>
      </c>
      <c r="C8" s="55" t="s">
        <v>423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411</v>
      </c>
      <c r="B9" s="57" t="s">
        <v>441</v>
      </c>
      <c r="C9" s="55" t="s">
        <v>423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413</v>
      </c>
      <c r="B10" s="57" t="s">
        <v>442</v>
      </c>
      <c r="C10" s="55" t="s">
        <v>423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428</v>
      </c>
      <c r="B11" s="57" t="s">
        <v>443</v>
      </c>
      <c r="C11" s="55" t="s">
        <v>425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415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416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444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395</v>
      </c>
      <c r="C3" s="49" t="s">
        <v>396</v>
      </c>
      <c r="D3" s="49" t="s">
        <v>397</v>
      </c>
      <c r="E3" s="50" t="s">
        <v>398</v>
      </c>
      <c r="F3" s="50" t="s">
        <v>399</v>
      </c>
    </row>
    <row r="4" spans="1:12" x14ac:dyDescent="0.2">
      <c r="A4" s="51"/>
      <c r="B4" s="48" t="s">
        <v>400</v>
      </c>
      <c r="C4" s="49"/>
      <c r="D4" s="49"/>
      <c r="E4" s="52"/>
      <c r="F4" s="53">
        <f>F7</f>
        <v>11300000</v>
      </c>
    </row>
    <row r="5" spans="1:12" x14ac:dyDescent="0.2">
      <c r="A5" s="51" t="s">
        <v>401</v>
      </c>
      <c r="B5" s="57" t="s">
        <v>445</v>
      </c>
      <c r="C5" s="55" t="s">
        <v>423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404</v>
      </c>
      <c r="B6" s="57" t="s">
        <v>446</v>
      </c>
      <c r="C6" s="55" t="s">
        <v>432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415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416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447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395</v>
      </c>
      <c r="C3" s="49" t="s">
        <v>396</v>
      </c>
      <c r="D3" s="49" t="s">
        <v>397</v>
      </c>
      <c r="E3" s="50" t="s">
        <v>398</v>
      </c>
      <c r="F3" s="50" t="s">
        <v>399</v>
      </c>
    </row>
    <row r="4" spans="1:12" x14ac:dyDescent="0.2">
      <c r="A4" s="51"/>
      <c r="B4" s="48" t="s">
        <v>400</v>
      </c>
      <c r="C4" s="49"/>
      <c r="D4" s="49"/>
      <c r="E4" s="52"/>
      <c r="F4" s="53">
        <f>F6</f>
        <v>14000000</v>
      </c>
    </row>
    <row r="5" spans="1:12" x14ac:dyDescent="0.2">
      <c r="A5" s="51" t="s">
        <v>401</v>
      </c>
      <c r="B5" s="57" t="s">
        <v>448</v>
      </c>
      <c r="C5" s="55" t="s">
        <v>423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415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416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350</v>
      </c>
    </row>
    <row r="4" spans="1:7" s="7" customFormat="1" x14ac:dyDescent="0.25">
      <c r="A4" s="7" t="s">
        <v>174</v>
      </c>
      <c r="B4" s="7" t="s">
        <v>175</v>
      </c>
      <c r="C4" s="7" t="s">
        <v>93</v>
      </c>
      <c r="D4" s="7" t="s">
        <v>176</v>
      </c>
      <c r="E4" s="7" t="s">
        <v>94</v>
      </c>
      <c r="F4" s="7" t="s">
        <v>177</v>
      </c>
      <c r="G4" s="7" t="s">
        <v>96</v>
      </c>
    </row>
    <row r="5" spans="1:7" x14ac:dyDescent="0.25">
      <c r="A5" t="s">
        <v>178</v>
      </c>
      <c r="B5" t="s">
        <v>179</v>
      </c>
      <c r="C5" t="s">
        <v>180</v>
      </c>
      <c r="D5" s="13">
        <v>3.5</v>
      </c>
      <c r="E5" s="5">
        <v>3000</v>
      </c>
      <c r="F5" s="5">
        <f t="shared" ref="F5:F10" si="0">D5*E5</f>
        <v>10500</v>
      </c>
      <c r="G5" t="s">
        <v>298</v>
      </c>
    </row>
    <row r="6" spans="1:7" x14ac:dyDescent="0.25">
      <c r="A6" t="s">
        <v>178</v>
      </c>
      <c r="B6" t="s">
        <v>181</v>
      </c>
      <c r="C6" t="s">
        <v>180</v>
      </c>
      <c r="D6" s="13">
        <v>0.25</v>
      </c>
      <c r="E6" s="5">
        <v>6500</v>
      </c>
      <c r="F6" s="5">
        <f t="shared" si="0"/>
        <v>1625</v>
      </c>
      <c r="G6" t="s">
        <v>182</v>
      </c>
    </row>
    <row r="7" spans="1:7" x14ac:dyDescent="0.25">
      <c r="A7" t="s">
        <v>178</v>
      </c>
      <c r="B7" t="s">
        <v>183</v>
      </c>
      <c r="C7" t="s">
        <v>184</v>
      </c>
      <c r="D7" s="13">
        <v>0.5</v>
      </c>
      <c r="E7" s="5">
        <v>6000</v>
      </c>
      <c r="F7" s="5">
        <f t="shared" si="0"/>
        <v>3000</v>
      </c>
      <c r="G7" t="s">
        <v>185</v>
      </c>
    </row>
    <row r="8" spans="1:7" x14ac:dyDescent="0.25">
      <c r="A8" t="s">
        <v>178</v>
      </c>
      <c r="B8" t="s">
        <v>186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187</v>
      </c>
    </row>
    <row r="9" spans="1:7" x14ac:dyDescent="0.25">
      <c r="A9" t="s">
        <v>188</v>
      </c>
      <c r="B9" t="s">
        <v>189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190</v>
      </c>
    </row>
    <row r="10" spans="1:7" x14ac:dyDescent="0.25">
      <c r="A10" t="s">
        <v>188</v>
      </c>
      <c r="B10" t="s">
        <v>191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190</v>
      </c>
    </row>
    <row r="11" spans="1:7" s="7" customFormat="1" x14ac:dyDescent="0.25">
      <c r="B11" s="7" t="s">
        <v>203</v>
      </c>
      <c r="D11" s="32"/>
      <c r="E11" s="6"/>
      <c r="F11" s="6">
        <f>SUM(F5:F10)</f>
        <v>24125</v>
      </c>
    </row>
    <row r="13" spans="1:7" x14ac:dyDescent="0.25">
      <c r="A13" s="7" t="s">
        <v>348</v>
      </c>
      <c r="B13" s="7"/>
      <c r="C13" s="7"/>
      <c r="D13" s="32" t="s">
        <v>71</v>
      </c>
      <c r="E13" s="6"/>
      <c r="F13" s="6" t="s">
        <v>138</v>
      </c>
      <c r="G13" s="7"/>
    </row>
    <row r="14" spans="1:7" x14ac:dyDescent="0.25">
      <c r="A14" t="s">
        <v>188</v>
      </c>
      <c r="B14" t="s">
        <v>192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193</v>
      </c>
    </row>
    <row r="15" spans="1:7" x14ac:dyDescent="0.25">
      <c r="A15" t="s">
        <v>188</v>
      </c>
      <c r="B15" t="s">
        <v>194</v>
      </c>
      <c r="C15" t="s">
        <v>103</v>
      </c>
      <c r="D15" s="45"/>
      <c r="E15" s="5">
        <v>8000</v>
      </c>
      <c r="F15" s="5">
        <f t="shared" si="1"/>
        <v>0</v>
      </c>
      <c r="G15" t="s">
        <v>195</v>
      </c>
    </row>
    <row r="16" spans="1:7" x14ac:dyDescent="0.25">
      <c r="A16" t="s">
        <v>188</v>
      </c>
      <c r="B16" t="s">
        <v>196</v>
      </c>
      <c r="C16" t="s">
        <v>103</v>
      </c>
      <c r="D16" s="45"/>
      <c r="E16" s="5">
        <v>10000</v>
      </c>
      <c r="F16" s="5">
        <f t="shared" si="1"/>
        <v>0</v>
      </c>
      <c r="G16" t="s">
        <v>197</v>
      </c>
    </row>
    <row r="17" spans="1:7" x14ac:dyDescent="0.25">
      <c r="A17" t="s">
        <v>188</v>
      </c>
      <c r="B17" t="s">
        <v>198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188</v>
      </c>
      <c r="B18" t="s">
        <v>199</v>
      </c>
      <c r="C18" t="s">
        <v>103</v>
      </c>
      <c r="D18" s="45"/>
      <c r="E18" s="5">
        <v>12000</v>
      </c>
      <c r="F18" s="5">
        <f t="shared" si="1"/>
        <v>0</v>
      </c>
      <c r="G18" t="s">
        <v>200</v>
      </c>
    </row>
    <row r="19" spans="1:7" x14ac:dyDescent="0.25">
      <c r="A19" t="s">
        <v>188</v>
      </c>
      <c r="B19" t="s">
        <v>201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202</v>
      </c>
    </row>
    <row r="20" spans="1:7" s="104" customFormat="1" x14ac:dyDescent="0.25">
      <c r="A20" s="104" t="s">
        <v>188</v>
      </c>
      <c r="B20" s="104" t="s">
        <v>536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556</v>
      </c>
    </row>
    <row r="21" spans="1:7" x14ac:dyDescent="0.25">
      <c r="A21" s="7"/>
      <c r="B21" s="7" t="s">
        <v>349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133</v>
      </c>
    </row>
    <row r="2" spans="1:7" ht="15" customHeight="1" x14ac:dyDescent="0.25">
      <c r="A2" s="2" t="s">
        <v>134</v>
      </c>
    </row>
    <row r="4" spans="1:7" ht="27.75" customHeight="1" x14ac:dyDescent="0.25">
      <c r="A4" s="3" t="s">
        <v>65</v>
      </c>
      <c r="B4" s="3" t="s">
        <v>135</v>
      </c>
      <c r="C4" s="3" t="s">
        <v>136</v>
      </c>
      <c r="D4" s="3" t="s">
        <v>137</v>
      </c>
      <c r="E4" s="3" t="s">
        <v>71</v>
      </c>
      <c r="F4" s="3" t="s">
        <v>94</v>
      </c>
      <c r="G4" s="3" t="s">
        <v>138</v>
      </c>
    </row>
    <row r="5" spans="1:7" ht="15" customHeight="1" x14ac:dyDescent="0.25">
      <c r="A5" s="7" t="s">
        <v>139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140</v>
      </c>
      <c r="C6">
        <v>5659</v>
      </c>
      <c r="D6" t="s">
        <v>141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142</v>
      </c>
      <c r="C7">
        <v>2584</v>
      </c>
      <c r="D7" t="s">
        <v>143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144</v>
      </c>
      <c r="C8">
        <v>6218</v>
      </c>
      <c r="D8" t="s">
        <v>143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145</v>
      </c>
      <c r="C9">
        <v>4240</v>
      </c>
      <c r="D9" t="s">
        <v>143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146</v>
      </c>
      <c r="C10">
        <v>6976</v>
      </c>
      <c r="D10" t="s">
        <v>143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147</v>
      </c>
      <c r="C11">
        <v>3288</v>
      </c>
      <c r="D11" t="s">
        <v>143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148</v>
      </c>
      <c r="C12">
        <v>1756</v>
      </c>
      <c r="D12" t="s">
        <v>143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149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340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150</v>
      </c>
      <c r="D16" t="s">
        <v>151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152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153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154</v>
      </c>
      <c r="D20" t="s">
        <v>151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155</v>
      </c>
      <c r="D21" t="s">
        <v>151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156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157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16</vt:i4>
      </vt:variant>
      <vt:variant>
        <vt:lpstr>Именованные диапазоны</vt:lpstr>
      </vt:variant>
      <vt:variant>
        <vt:i4>42</vt:i4>
      </vt:variant>
    </vt:vector>
  </HeadingPairs>
  <TitlesOfParts>
    <vt:vector size="58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2026-10-28T06:20:47Z</dcterms:modified>
  <dc:language>en-US</dc:language>
</cp:coreProperties>
</file>