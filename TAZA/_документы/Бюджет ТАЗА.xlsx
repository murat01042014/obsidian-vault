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  <c r="C4" i="1"/>
  <c r="B4" i="1"/>
  <c r="L77" i="5"/>
  <c r="K77" i="5"/>
  <c r="J77" i="5"/>
  <c r="L76" i="5"/>
  <c r="K76" i="5"/>
  <c r="L75" i="5"/>
  <c r="K75" i="5"/>
  <c r="J75" i="5"/>
  <c r="L74" i="5"/>
  <c r="D14" i="1" s="1"/>
  <c r="K74" i="5"/>
  <c r="J74" i="5"/>
  <c r="L73" i="5"/>
  <c r="K73" i="5"/>
  <c r="C14" i="1" s="1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D11" i="1" s="1"/>
  <c r="K5" i="5"/>
  <c r="C13" i="1" l="1"/>
  <c r="D13" i="1"/>
  <c r="B14" i="1"/>
  <c r="E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C8" i="1"/>
  <c r="G11" i="9"/>
  <c r="B20" i="16"/>
  <c r="B21" i="16"/>
  <c r="B22" i="16" s="1"/>
  <c r="I11" i="9"/>
  <c r="H11" i="9"/>
  <c r="B5" i="16"/>
  <c r="B11" i="16" s="1"/>
  <c r="C11" i="16" s="1"/>
  <c r="D11" i="16" s="1"/>
  <c r="E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E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E5" i="1" s="1"/>
  <c r="H44" i="3" l="1"/>
  <c r="E40" i="5"/>
  <c r="I40" i="5" s="1"/>
  <c r="J40" i="5" s="1"/>
  <c r="E39" i="5"/>
  <c r="I39" i="5" s="1"/>
  <c r="J39" i="5" s="1"/>
  <c r="E37" i="5"/>
  <c r="C7" i="1" l="1"/>
  <c r="E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E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s="1"/>
  <c r="K58" i="5" l="1"/>
  <c r="J58" i="5"/>
  <c r="L58" i="5"/>
  <c r="D12" i="1" s="1"/>
  <c r="D17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2" i="1" l="1"/>
  <c r="B6" i="1"/>
  <c r="D6" i="1"/>
  <c r="D15" i="1" s="1"/>
  <c r="C6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C10" i="1" l="1"/>
  <c r="B10" i="1"/>
  <c r="B9" i="1"/>
  <c r="E9" i="1" s="1"/>
  <c r="E6" i="1"/>
  <c r="D16" i="1"/>
  <c r="D18" i="1" s="1"/>
  <c r="D20" i="1" s="1"/>
  <c r="K49" i="5"/>
  <c r="C11" i="1" s="1"/>
  <c r="C15" i="1" s="1"/>
  <c r="E10" i="1"/>
  <c r="E12" i="1"/>
  <c r="B17" i="1"/>
  <c r="O5" i="3"/>
  <c r="M37" i="3"/>
  <c r="C16" i="1" l="1"/>
  <c r="C18" i="1" s="1"/>
  <c r="C20" i="1" s="1"/>
  <c r="B15" i="1"/>
  <c r="C17" i="1"/>
  <c r="E17" i="1" s="1"/>
  <c r="E11" i="1"/>
  <c r="O37" i="3"/>
  <c r="E15" i="1" l="1"/>
  <c r="B16" i="1"/>
  <c r="E16" i="1" s="1"/>
  <c r="B18" i="1" l="1"/>
  <c r="E18" i="1" l="1"/>
  <c r="B20" i="1"/>
  <c r="B22" i="1" s="1"/>
  <c r="C22" i="1" l="1"/>
  <c r="B24" i="1"/>
  <c r="E20" i="1"/>
  <c r="E24" i="1" s="1"/>
  <c r="D22" i="1" l="1"/>
  <c r="D24" i="1" s="1"/>
  <c r="C24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<sst xmlns="http://schemas.openxmlformats.org/spreadsheetml/2006/main" count="1054" uniqueCount="573">
  <si>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</si>
  <si>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</si>
  <si>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</si>
  <si>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</si>
  <si>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</si>
  <si>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</si>
  <si>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</si>
  <si>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</si>
  <si>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</si>
  <si>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</si>
  <si>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</si>
  <si>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</si>
  <si>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</si>
  <si>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</si>
  <si>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</si>
  <si>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</si>
  <si>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</si>
  <si>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</si>
  <si>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</si>
  <si>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</si>
  <si>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</si>
  <si>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</si>
  <si>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</si>
  <si>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</si>
  <si>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</si>
  <si>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</si>
  <si>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</si>
  <si>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</si>
  <si>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</si>
  <si>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</si>
  <si>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</si>
  <si>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</si>
  <si>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</si>
  <si>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</si>
  <si>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</si>
  <si>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</si>
  <si>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</si>
  <si>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</si>
  <si>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</si>
  <si>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</si>
  <si>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</si>
  <si>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</si>
  <si>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</si>
  <si>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</si>
  <si>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</si>
  <si>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</si>
  <si>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</si>
  <si>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</si>
  <si>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</si>
  <si>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</si>
  <si>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</si>
  <si>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</si>
  <si>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</si>
  <si>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</si>
  <si>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</si>
  <si>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</si>
  <si>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</si>
  <si>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</si>
  <si>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</si>
  <si>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</si>
  <si>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</si>
  <si>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</si>
  <si>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</si>
  <si>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</si>
  <si>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</si>
  <si>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</si>
  <si>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</si>
  <si>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</si>
  <si>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</si>
  <si>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</si>
  <si>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</si>
  <si>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</si>
  <si>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</si>
  <si>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</si>
  <si>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</si>
  <si>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</si>
  <si>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</si>
  <si>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</si>
  <si>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</si>
  <si>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</si>
  <si>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</si>
  <si>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</si>
  <si>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</si>
  <si>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</si>
  <si>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</si>
  <si>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</si>
  <si>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</si>
  <si>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</si>
  <si>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</si>
  <si>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</si>
  <si>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</si>
  <si>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</si>
  <si>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</si>
  <si>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</si>
  <si>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</si>
  <si>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</si>
  <si>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</si>
  <si>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</si>
  <si>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</si>
  <si>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</si>
  <si>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</si>
  <si>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</si>
  <si>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</si>
  <si>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</si>
  <si>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</si>
  <si>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</si>
  <si>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</si>
  <si>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</si>
  <si>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</si>
  <si>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</si>
  <si>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</si>
  <si>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</si>
  <si>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</si>
  <si>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</si>
  <si>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</si>
  <si>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</si>
  <si>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</si>
  <si>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</si>
  <si>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</si>
  <si>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</si>
  <si>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</si>
  <si>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</si>
  <si>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</si>
  <si>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</si>
  <si>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</si>
  <si>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</si>
  <si>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</si>
  <si>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</si>
  <si>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</si>
  <si>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</si>
  <si>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</si>
  <si>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</si>
  <si>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</si>
  <si>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</si>
  <si>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</si>
  <si>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</si>
  <si>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</si>
  <si>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</si>
  <si>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</si>
  <si>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</si>
  <si>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</si>
  <si>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</si>
  <si>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</si>
  <si>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</si>
  <si>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</si>
  <si>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</si>
  <si>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</si>
  <si>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</si>
  <si>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</si>
  <si>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</si>
  <si>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</si>
  <si>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</si>
  <si>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</si>
  <si>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</si>
  <si>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</si>
  <si>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</si>
  <si>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</si>
  <si>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</si>
  <si>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</si>
  <si>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</si>
  <si>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</si>
  <si>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</si>
  <si>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</si>
  <si>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</si>
  <si>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</si>
  <si>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</si>
  <si>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</si>
  <si>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</si>
  <si>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</si>
  <si>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</si>
  <si>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</si>
  <si>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</si>
  <si>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</si>
  <si>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</si>
  <si>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</si>
  <si>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</si>
  <si>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</si>
  <si>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</si>
  <si>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</si>
  <si>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</si>
  <si>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</si>
  <si>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</si>
  <si>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</si>
  <si>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</si>
  <si>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</si>
  <si>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</si>
  <si>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</si>
  <si>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</si>
  <si>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</si>
  <si>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</si>
  <si>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</si>
  <si>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</si>
  <si>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</si>
  <si>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</si>
  <si>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</si>
  <si>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</si>
  <si>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</si>
  <si>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</si>
  <si>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</si>
  <si>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</si>
  <si>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</si>
  <si>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</si>
  <si>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</si>
  <si>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</si>
  <si>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</si>
  <si>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</si>
  <si>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</si>
  <si>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</si>
  <si>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</si>
  <si>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</si>
  <si>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</si>
  <si>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</si>
  <si>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</si>
  <si>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</si>
  <si>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</si>
  <si>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</si>
  <si>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</si>
  <si>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</si>
  <si>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</si>
  <si>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</si>
  <si>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</si>
  <si>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</si>
  <si>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</si>
  <si>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</si>
  <si>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</si>
  <si>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</si>
  <si>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</si>
  <si>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</si>
  <si>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</si>
  <si>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</si>
  <si>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</si>
  <si>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</si>
  <si>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</si>
  <si>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</si>
  <si>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</si>
  <si>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</si>
  <si>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</si>
  <si>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</si>
  <si>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</si>
  <si>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</si>
  <si>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</si>
  <si>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</si>
  <si>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</si>
  <si>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</si>
  <si>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</si>
  <si>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</si>
  <si>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</si>
  <si>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</si>
  <si>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</si>
  <si>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</si>
  <si>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</si>
  <si>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</si>
  <si>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</si>
  <si>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</si>
  <si>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</si>
  <si>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</si>
  <si>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</si>
  <si>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</si>
  <si>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</si>
  <si>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</si>
  <si>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</si>
  <si>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</si>
  <si>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</si>
  <si>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</si>
  <si>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</si>
  <si>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</si>
  <si>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</si>
  <si>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</si>
  <si>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</si>
  <si>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</si>
  <si>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</si>
  <si>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</si>
  <si>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</si>
  <si>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</si>
  <si>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</si>
  <si>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</si>
  <si>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</si>
  <si>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</si>
  <si>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</si>
  <si>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</si>
  <si>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</si>
  <si>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</si>
  <si>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</si>
  <si>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</si>
  <si>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</si>
  <si>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</si>
  <si>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</si>
  <si>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</si>
  <si>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</si>
  <si>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</si>
  <si>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</si>
  <si>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</si>
  <si>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</si>
  <si>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</si>
  <si>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</si>
  <si>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</si>
  <si>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</si>
  <si>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</si>
  <si>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</si>
  <si>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</si>
  <si>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</si>
  <si>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</si>
  <si>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</si>
  <si>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</si>
  <si>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</si>
  <si>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</si>
  <si>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</si>
  <si>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</si>
  <si>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</si>
  <si>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</si>
  <si>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</si>
  <si>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</si>
  <si>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</si>
  <si>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</si>
  <si>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</si>
  <si>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</si>
  <si>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</si>
  <si>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</si>
  <si>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</si>
  <si>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</si>
  <si>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</si>
  <si>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</si>
  <si>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</si>
  <si>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</si>
  <si>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</si>
  <si>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</si>
  <si>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</si>
  <si>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</si>
  <si>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</si>
  <si>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</si>
  <si>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</si>
  <si>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</si>
  <si>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</si>
  <si>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</si>
  <si>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</si>
  <si>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</si>
  <si>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</si>
  <si>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</si>
  <si>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</si>
  <si>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</si>
  <si>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</si>
  <si>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</si>
  <si>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</si>
  <si>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</si>
  <si>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</si>
  <si>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</si>
  <si>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</si>
  <si>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</si>
  <si>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</si>
  <si>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</si>
  <si>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</si>
  <si>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</si>
  <si>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</si>
  <si>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</si>
  <si>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</si>
  <si>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</si>
  <si>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</si>
  <si>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</si>
  <si>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</si>
  <si>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</si>
  <si>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</si>
  <si>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</si>
  <si>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</si>
  <si>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</si>
  <si>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</si>
  <si>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</si>
  <si>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</si>
  <si>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</si>
  <si>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</si>
  <si>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</si>
  <si>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</si>
  <si>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</si>
  <si>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</si>
  <si>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</si>
  <si>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</si>
  <si>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</si>
  <si>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</si>
  <si>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</si>
  <si>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</si>
  <si>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</si>
  <si>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</si>
  <si>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</si>
  <si>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</si>
  <si>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</si>
  <si>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</si>
  <si>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</si>
  <si>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</si>
  <si>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</si>
  <si>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</si>
  <si>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</si>
  <si>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</si>
  <si>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</si>
  <si>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</si>
  <si>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</si>
  <si>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</si>
  <si>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</si>
  <si>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</si>
  <si>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</si>
  <si>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</si>
  <si>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</si>
  <si>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</si>
  <si>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</si>
  <si>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</si>
  <si>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</si>
  <si>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</si>
  <si>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</si>
  <si>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</si>
  <si>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</si>
  <si>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</si>
  <si>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</si>
  <si>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</si>
  <si>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</si>
  <si>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</si>
  <si>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</si>
  <si>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</si>
  <si>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</si>
  <si>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</si>
  <si>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</si>
  <si>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</si>
  <si>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</si>
  <si>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</si>
  <si>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</si>
  <si>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</si>
  <si>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</si>
  <si>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</si>
  <si>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</si>
  <si>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</si>
  <si>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</si>
  <si>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</si>
  <si>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</si>
  <si>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</si>
  <si>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</si>
  <si>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</si>
  <si>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</si>
  <si>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</si>
  <si>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</si>
  <si>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</si>
  <si>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</si>
  <si>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</si>
  <si>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</si>
  <si>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</si>
  <si>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</si>
  <si>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</si>
  <si>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</si>
  <si>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</si>
  <si>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</si>
  <si>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</si>
  <si>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</si>
  <si>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</si>
  <si>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</si>
  <si>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</si>
  <si>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</si>
  <si>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</si>
  <si>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</si>
  <si>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</si>
  <si>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</si>
  <si>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</si>
  <si>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</si>
  <si>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</si>
  <si>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</si>
  <si>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</si>
  <si>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</si>
  <si>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</si>
  <si>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</si>
  <si>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</si>
  <si>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</si>
  <si>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</si>
  <si>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</si>
  <si>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</si>
  <si>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</si>
  <si>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</si>
  <si>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</si>
  <si>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</si>
  <si>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</si>
  <si>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</si>
  <si>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</si>
  <si>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</si>
  <si>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</si>
  <si>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</si>
  <si>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</si>
  <si>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</si>
  <si>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</si>
  <si>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</si>
  <si>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</si>
  <si>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</si>
  <si>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</si>
  <si>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</si>
  <si>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</si>
  <si>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</si>
  <si>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</si>
  <si>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</si>
  <si>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</si>
  <si>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</si>
  <si>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</si>
  <si>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</si>
  <si>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</si>
  <si>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</si>
  <si>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</si>
  <si>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</si>
  <si>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</si>
  <si>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</si>
  <si>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</si>
  <si>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</si>
  <si>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</si>
  <si>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</si>
  <si>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</si>
  <si>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</si>
  <si>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</si>
  <si>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</si>
  <si>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</si>
  <si>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</si>
  <si>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</si>
  <si>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</si>
  <si>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</si>
  <si>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</si>
  <si>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</si>
  <si>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</si>
  <si>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</si>
  <si>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</si>
  <si>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</si>
  <si>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</si>
  <si>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</si>
  <si>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</si>
  <si>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</si>
  <si>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</si>
  <si>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</si>
  <si>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</si>
  <si>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</si>
  <si>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</si>
  <si>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</si>
  <si>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</si>
  <si>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</si>
  <si>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</si>
  <si>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</si>
  <si>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</si>
  <si>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</si>
  <si>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</si>
  <si>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</si>
  <si>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</si>
  <si>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</si>
  <si>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</si>
  <si>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</si>
  <si>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</si>
  <si>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</si>
  <si>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</si>
  <si>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</si>
  <si>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</si>
  <si>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</si>
  <si>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</si>
  <si>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</si>
  <si>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</si>
  <si>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</si>
  <si>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</si>
  <si>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</si>
  <si>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</si>
  <si>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</si>
  <si>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</si>
  <si>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</si>
  <si>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</si>
  <si>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</si>
  <si>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</si>
  <si>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</si>
  <si>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</si>
  <si>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</si>
  <si>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</si>
  <si>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</si>
  <si>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</si>
  <si>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Итого ноябрь 2026 – январь 2027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</si>
  <si>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</si>
  <si>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</si>
  <si>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</si>
  <si>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</si>
  <si>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 2026 – январь 2027 года, 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</si>
</sst>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4"/>
  <sheetViews>
    <sheetView tabSelected="1" zoomScaleNormal="100" workbookViewId="0">
      <selection activeCell="A22" sqref="A22:F24"/>
    </sheetView>
  </sheetViews>
  <sheetFormatPr defaultColWidth="8.7109375" defaultRowHeight="15" x14ac:dyDescent="0.25"/>
  <cols>
    <col min="1" max="1" width="80.7109375" style="4" customWidth="1"/>
    <col min="2" max="5" width="22.7109375" style="4" customWidth="1"/>
    <col min="6" max="16384" width="8.7109375" style="4"/>
  </cols>
  <sheetData>
    <row r="1" spans="1:5" ht="17.25" x14ac:dyDescent="0.3">
      <c r="A1" s="33" t="s">
        <v>572</v>
      </c>
    </row>
    <row r="3" spans="1:5" ht="30" x14ac:dyDescent="0.25">
      <c r="A3" s="35" t="s">
        <v>0</v>
      </c>
      <c r="B3" s="35" t="s">
        <v>563</v>
      </c>
      <c r="C3" s="35" t="s">
        <v>564</v>
      </c>
      <c r="D3" s="35" t="s">
        <v>565</v>
      </c>
      <c r="E3" s="35" t="s">
        <v>567</v>
      </c>
    </row>
    <row r="4" spans="1:5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37">
        <f>SUMPRODUCT((Штат!$E$5:$E$36="штат")*Штат!$G$5:$G$36*(Штат!$I$5:$I$36&lt;=3))</f>
        <v>22</v>
      </c>
      <c r="E4" s="37"/>
    </row>
    <row r="5" spans="1:5" x14ac:dyDescent="0.25">
      <c r="A5" s="36" t="s">
        <v>331</v>
      </c>
      <c r="B5" s="37"/>
      <c r="C5" s="37"/>
      <c r="D5" s="37"/>
      <c r="E5" s="37">
        <f>Штат!G38</f>
        <v>15</v>
      </c>
    </row>
    <row r="6" spans="1:5" x14ac:dyDescent="0.25">
      <c r="A6" s="36" t="s">
        <v>332</v>
      </c>
      <c r="B6" s="38">
        <f>SUMPRODUCT((Штат!$E$5:$E$36="штат")*Штат!$K$5:$K$36*((Штат!$F$5:$F$36="действующий")+(Штат!$I$5:$I$36&lt;=2)))</f>
        <v>32153930</v>
      </c>
      <c r="C6" s="38">
        <f>SUMPRODUCT((Штат!$E$5:$E$36="штат")*Штат!$K$5:$K$36*(Штат!$I$5:$I$36&lt;=3))</f>
        <v>27034580</v>
      </c>
      <c r="D6" s="38">
        <f>SUMPRODUCT((Штат!$E$5:$E$36="штат")*Штат!$K$5:$K$36*(Штат!$I$5:$I$36&lt;=3))</f>
        <v>27034580</v>
      </c>
      <c r="E6" s="38">
        <f t="shared" ref="E6:E20" si="0">SUM(B6:D6)</f>
        <v>86223090</v>
      </c>
    </row>
    <row r="7" spans="1:5" ht="30" x14ac:dyDescent="0.25">
      <c r="A7" s="36" t="s">
        <v>490</v>
      </c>
      <c r="B7" s="38">
        <v>0</v>
      </c>
      <c r="C7" s="38">
        <f>Штат!$H$44</f>
        <v>9389520</v>
      </c>
      <c r="D7" s="38">
        <v>0</v>
      </c>
      <c r="E7" s="38">
        <f t="shared" si="0"/>
        <v>9389520</v>
      </c>
    </row>
    <row r="8" spans="1:5" ht="30" x14ac:dyDescent="0.25">
      <c r="A8" s="36" t="s">
        <v>388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 t="shared" si="0"/>
        <v>20644788</v>
      </c>
    </row>
    <row r="9" spans="1:5" x14ac:dyDescent="0.25">
      <c r="A9" s="36" t="s">
        <v>358</v>
      </c>
      <c r="B9" s="38">
        <f>Штат!$N$37</f>
        <v>611142.85714285716</v>
      </c>
      <c r="C9" s="38">
        <v>0</v>
      </c>
      <c r="D9" s="38">
        <v>0</v>
      </c>
      <c r="E9" s="38">
        <f t="shared" si="0"/>
        <v>611142.85714285716</v>
      </c>
    </row>
    <row r="10" spans="1:5" x14ac:dyDescent="0.25">
      <c r="A10" s="36" t="s">
        <v>333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 t="shared" si="0"/>
        <v>5757862.5</v>
      </c>
    </row>
    <row r="11" spans="1:5" ht="30" x14ac:dyDescent="0.25">
      <c r="A11" s="36" t="s">
        <v>334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 t="shared" si="0"/>
        <v>14032042.9</v>
      </c>
    </row>
    <row r="12" spans="1:5" ht="30" x14ac:dyDescent="0.25">
      <c r="A12" s="36" t="s">
        <v>348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 t="shared" si="0"/>
        <v>22255193.048387095</v>
      </c>
    </row>
    <row r="13" spans="1:5" x14ac:dyDescent="0.25">
      <c r="A13" s="36" t="s">
        <v>335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 t="shared" si="0"/>
        <v>839947</v>
      </c>
    </row>
    <row r="14" spans="1:5" x14ac:dyDescent="0.25">
      <c r="A14" s="36" t="s">
        <v>336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 t="shared" si="0"/>
        <v>3525000</v>
      </c>
    </row>
    <row r="15" spans="1:5" x14ac:dyDescent="0.25">
      <c r="A15" s="39" t="s">
        <v>337</v>
      </c>
      <c r="B15" s="40">
        <f>SUM(B6:B14)</f>
        <v>67220262.855529949</v>
      </c>
      <c r="C15" s="40">
        <f>SUM(C6:C14)</f>
        <v>53542054.350000001</v>
      </c>
      <c r="D15" s="40">
        <f>SUM(D6:D14)</f>
        <v>42516269.100000001</v>
      </c>
      <c r="E15" s="40">
        <f t="shared" si="0"/>
        <v>163278586.30552995</v>
      </c>
    </row>
    <row r="16" spans="1:5" ht="30" x14ac:dyDescent="0.25">
      <c r="A16" s="36" t="s">
        <v>359</v>
      </c>
      <c r="B16" s="38">
        <f>B15*Резерв+SUMIFS('Оснащение и офис'!$J$5:$J$77,'Оснащение и офис'!$A$5:$A$77,"Прочие")</f>
        <v>7072026.2855529953</v>
      </c>
      <c r="C16" s="38">
        <f>C15*Резерв+SUMIFS('Оснащение и офис'!$K$5:$K$77,'Оснащение и офис'!$A$5:$A$77,"Прочие")</f>
        <v>5354205.4350000005</v>
      </c>
      <c r="D16" s="38">
        <f>D15*Резерв+SUMIFS('Оснащение и офис'!$L$5:$L$77,'Оснащение и офис'!$A$5:$A$77,"Прочие")</f>
        <v>4251626.91</v>
      </c>
      <c r="E16" s="38">
        <f t="shared" si="0"/>
        <v>16677858.630552996</v>
      </c>
    </row>
    <row r="17" spans="1:5" ht="30" x14ac:dyDescent="0.25">
      <c r="A17" s="36" t="s">
        <v>568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38">
        <f>((D11+D12+D13+D14)-'Оснащение и офис'!$L$59)*(1+Резерв)*НДС</f>
        <v>1168858.7856000001</v>
      </c>
      <c r="E17" s="38">
        <f t="shared" si="0"/>
        <v>6297813.4293161295</v>
      </c>
    </row>
    <row r="18" spans="1:5" x14ac:dyDescent="0.25">
      <c r="A18" s="41" t="s">
        <v>338</v>
      </c>
      <c r="B18" s="42">
        <f>B15+B16+B17</f>
        <v>77953957.815199077</v>
      </c>
      <c r="C18" s="42">
        <f>C15+C16+C17</f>
        <v>60363545.754600003</v>
      </c>
      <c r="D18" s="42">
        <f>D15+D16+D17</f>
        <v>47936754.795600004</v>
      </c>
      <c r="E18" s="42">
        <f t="shared" si="0"/>
        <v>186254258.36539906</v>
      </c>
    </row>
    <row r="19" spans="1:5" x14ac:dyDescent="0.25">
      <c r="A19" s="39" t="s">
        <v>339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 t="shared" si="0"/>
        <v>87234320</v>
      </c>
    </row>
    <row r="20" spans="1:5" x14ac:dyDescent="0.25">
      <c r="A20" s="43" t="s">
        <v>340</v>
      </c>
      <c r="B20" s="44">
        <f>B18+B19</f>
        <v>116199931.14853242</v>
      </c>
      <c r="C20" s="44">
        <f>C18+C19</f>
        <v>92194719.087933332</v>
      </c>
      <c r="D20" s="44">
        <f>D18+D19</f>
        <v>65093928.12893334</v>
      </c>
      <c r="E20" s="44">
        <f t="shared" si="0"/>
        <v>273488578.36539912</v>
      </c>
    </row>
    <row r="22" spans="1:5" x14ac:dyDescent="0.25">
      <c r="A22" s="106" t="s">
        <v>569</v>
      </c>
      <c r="B22" s="44">
        <f>B20</f>
        <v>116199931.14853242</v>
      </c>
      <c r="C22" s="44">
        <f>B22+C20</f>
        <v>208394650.23646575</v>
      </c>
      <c r="D22" s="44">
        <f>C22+D20</f>
        <v>273488578.36539912</v>
      </c>
      <c r="E22" s="44"/>
    </row>
    <row r="23" spans="1:5" x14ac:dyDescent="0.25">
      <c r="A23" s="106" t="s">
        <v>570</v>
      </c>
      <c r="B23" s="44"/>
      <c r="C23" s="44"/>
      <c r="D23" s="44"/>
      <c r="E23" s="44">
        <v>250000000</v>
      </c>
    </row>
    <row r="24" spans="1:5" x14ac:dyDescent="0.25">
      <c r="A24" s="43" t="s">
        <v>571</v>
      </c>
      <c r="B24" s="44">
        <f>$E$23-B22</f>
        <v>133800068.85146758</v>
      </c>
      <c r="C24" s="44">
        <f>$E$23-C22</f>
        <v>41605349.763534248</v>
      </c>
      <c r="D24" s="44">
        <f>$E$23-D22</f>
        <v>-23488578.365399122</v>
      </c>
      <c r="E24" s="44">
        <f>E23-E20</f>
        <v>-23488578.365399122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356</v>
      </c>
      <c r="B15" s="8">
        <f>ROUND(0.29%*12*SUMIFS(Штат!$H$5:$H$36,Штат!$E$5:$E$36,"штат",Штат!$F$5:$F$36,"новая"),-3)</f>
        <v>713000</v>
      </c>
      <c r="C15" t="s">
        <v>387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538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390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391</v>
      </c>
      <c r="M4" s="3" t="s">
        <v>76</v>
      </c>
      <c r="N4" s="3" t="s">
        <v>357</v>
      </c>
      <c r="O4" s="3" t="s">
        <v>77</v>
      </c>
      <c r="P4" s="3" t="s">
        <v>316</v>
      </c>
      <c r="Q4" s="88" t="s">
        <v>488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458</v>
      </c>
      <c r="Q5" s="89"/>
    </row>
    <row r="6" spans="1:17" ht="60" x14ac:dyDescent="0.25">
      <c r="A6" s="16">
        <v>2</v>
      </c>
      <c r="B6" s="16" t="s">
        <v>263</v>
      </c>
      <c r="C6" s="17" t="s">
        <v>454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455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361</v>
      </c>
      <c r="Q7" s="89"/>
    </row>
    <row r="8" spans="1:17" ht="90" x14ac:dyDescent="0.25">
      <c r="A8" s="16">
        <v>4</v>
      </c>
      <c r="B8" s="16" t="s">
        <v>207</v>
      </c>
      <c r="C8" s="17" t="s">
        <v>363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364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487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375</v>
      </c>
      <c r="Q9" s="89"/>
    </row>
    <row r="10" spans="1:17" ht="60" x14ac:dyDescent="0.25">
      <c r="A10" s="16">
        <v>6</v>
      </c>
      <c r="B10" s="16" t="s">
        <v>236</v>
      </c>
      <c r="C10" s="17" t="s">
        <v>376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377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378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379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365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366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367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463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464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374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487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368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487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370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369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372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373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371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362</v>
      </c>
      <c r="C32" s="17" t="s">
        <v>461</v>
      </c>
      <c r="D32" s="17" t="s">
        <v>457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360</v>
      </c>
      <c r="Q32" s="89"/>
    </row>
    <row r="33" spans="1:17" s="79" customFormat="1" ht="45" x14ac:dyDescent="0.25">
      <c r="A33" s="16">
        <v>35</v>
      </c>
      <c r="B33" s="16" t="s">
        <v>362</v>
      </c>
      <c r="C33" s="17" t="s">
        <v>462</v>
      </c>
      <c r="D33" s="17" t="s">
        <v>457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459</v>
      </c>
      <c r="Q33" s="89"/>
    </row>
    <row r="34" spans="1:17" s="79" customFormat="1" ht="45" x14ac:dyDescent="0.25">
      <c r="A34" s="16">
        <v>35</v>
      </c>
      <c r="B34" s="16" t="s">
        <v>362</v>
      </c>
      <c r="C34" s="17" t="s">
        <v>462</v>
      </c>
      <c r="D34" s="17" t="s">
        <v>457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460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59188510</v>
      </c>
      <c r="N37" s="6">
        <f t="shared" ref="N37:O37" si="37">SUM(N5:N36)</f>
        <v>611142.85714285716</v>
      </c>
      <c r="O37" s="6">
        <f t="shared" si="37"/>
        <v>59799652.857142851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483</v>
      </c>
    </row>
    <row r="42" spans="1:17" x14ac:dyDescent="0.25">
      <c r="C42" t="s">
        <v>489</v>
      </c>
      <c r="H42" s="5">
        <f>SUMPRODUCT(Q5:Q36,H5:H36)</f>
        <v>8400000</v>
      </c>
    </row>
    <row r="43" spans="1:17" x14ac:dyDescent="0.25">
      <c r="C43" t="s">
        <v>484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485</v>
      </c>
      <c r="H44" s="6">
        <f>H42+H43</f>
        <v>9389520</v>
      </c>
    </row>
    <row r="45" spans="1:17" x14ac:dyDescent="0.25">
      <c r="C45" t="s">
        <v>486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520</v>
      </c>
      <c r="G3" s="103" t="s">
        <v>521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527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456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380</v>
      </c>
      <c r="C9" s="27" t="s">
        <v>381</v>
      </c>
      <c r="D9" s="27" t="s">
        <v>382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528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496</v>
      </c>
    </row>
    <row r="2" spans="1:7" ht="44.1" customHeight="1" x14ac:dyDescent="0.25">
      <c r="A2" s="4" t="s">
        <v>497</v>
      </c>
      <c r="B2" s="4"/>
      <c r="C2" s="4"/>
      <c r="D2" s="4"/>
      <c r="E2" s="4"/>
      <c r="F2" s="4"/>
      <c r="G2" s="4"/>
    </row>
    <row r="4" spans="1:7" x14ac:dyDescent="0.25">
      <c r="A4" t="s">
        <v>498</v>
      </c>
      <c r="B4" s="93">
        <v>0.1</v>
      </c>
      <c r="C4" t="s">
        <v>499</v>
      </c>
    </row>
    <row r="5" spans="1:7" x14ac:dyDescent="0.25">
      <c r="A5" t="s">
        <v>500</v>
      </c>
      <c r="B5" s="94">
        <f>Ставка_ОПВР+Ставка_ООСМС+Ставка_СН*(1-Ставка_ОПВ-Ставка_ВОСМС)</f>
        <v>0.1178</v>
      </c>
      <c r="C5" t="s">
        <v>501</v>
      </c>
    </row>
    <row r="7" spans="1:7" ht="45.95" customHeight="1" x14ac:dyDescent="0.25">
      <c r="A7" s="95" t="s">
        <v>502</v>
      </c>
      <c r="B7" s="95" t="s">
        <v>503</v>
      </c>
      <c r="C7" s="95" t="s">
        <v>504</v>
      </c>
      <c r="D7" s="95" t="s">
        <v>505</v>
      </c>
      <c r="E7" s="95" t="s">
        <v>506</v>
      </c>
      <c r="F7" s="95" t="s">
        <v>507</v>
      </c>
      <c r="G7" s="95" t="s">
        <v>508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509</v>
      </c>
    </row>
    <row r="14" spans="1:7" x14ac:dyDescent="0.25">
      <c r="A14" s="98" t="s">
        <v>510</v>
      </c>
      <c r="B14" s="97">
        <f>$B$4*(1+$B$5)</f>
        <v>0.11177999999999999</v>
      </c>
      <c r="C14" s="98" t="s">
        <v>511</v>
      </c>
    </row>
    <row r="15" spans="1:7" x14ac:dyDescent="0.25">
      <c r="A15" s="98" t="s">
        <v>512</v>
      </c>
      <c r="B15" s="97">
        <f>$B$4*(1+$B$5)*(1+НДС)</f>
        <v>0.12966479999999997</v>
      </c>
      <c r="C15" s="98" t="s">
        <v>513</v>
      </c>
    </row>
    <row r="17" spans="1:3" x14ac:dyDescent="0.25">
      <c r="A17" s="7" t="s">
        <v>514</v>
      </c>
    </row>
    <row r="18" spans="1:3" ht="32.1" customHeight="1" x14ac:dyDescent="0.25">
      <c r="A18" s="99" t="s">
        <v>522</v>
      </c>
      <c r="B18" s="99"/>
      <c r="C18" s="99"/>
    </row>
    <row r="19" spans="1:3" x14ac:dyDescent="0.25">
      <c r="A19" s="98" t="s">
        <v>523</v>
      </c>
      <c r="B19" s="96">
        <f>Аутсорс!E11</f>
        <v>5393100</v>
      </c>
      <c r="C19" s="96"/>
    </row>
    <row r="20" spans="1:3" x14ac:dyDescent="0.25">
      <c r="A20" s="98" t="s">
        <v>524</v>
      </c>
      <c r="B20" s="96">
        <f>Аутсорс!F11</f>
        <v>539310</v>
      </c>
      <c r="C20" s="96"/>
    </row>
    <row r="21" spans="1:3" x14ac:dyDescent="0.25">
      <c r="A21" s="100" t="s">
        <v>515</v>
      </c>
      <c r="B21" s="101">
        <f>Аутсорс!F11*2</f>
        <v>1078620</v>
      </c>
      <c r="C21" s="101"/>
    </row>
    <row r="22" spans="1:3" x14ac:dyDescent="0.25">
      <c r="A22" s="100" t="s">
        <v>516</v>
      </c>
      <c r="B22" s="101">
        <f>B21*(1+НДС)</f>
        <v>1251199.2</v>
      </c>
      <c r="C22" s="101"/>
    </row>
    <row r="23" spans="1:3" x14ac:dyDescent="0.25">
      <c r="A23" s="98" t="s">
        <v>525</v>
      </c>
      <c r="B23" s="96">
        <f>Аутсорс!L11</f>
        <v>13763192</v>
      </c>
      <c r="C23" s="96"/>
    </row>
    <row r="25" spans="1:3" x14ac:dyDescent="0.25">
      <c r="A25" t="s">
        <v>526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394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383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465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384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323</v>
      </c>
    </row>
    <row r="2" spans="1:13" ht="15" customHeight="1" x14ac:dyDescent="0.25">
      <c r="A2" s="2" t="s">
        <v>324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563</v>
      </c>
      <c r="K4" s="3" t="s">
        <v>564</v>
      </c>
      <c r="L4" s="3" t="s">
        <v>565</v>
      </c>
      <c r="M4" s="3" t="s">
        <v>566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385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529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467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468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469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470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471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539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472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540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473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541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531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542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491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543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492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544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495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545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494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546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530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547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474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475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476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548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477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478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342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466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549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479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480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386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343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558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559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482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550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493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551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532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552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344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389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481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553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533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534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392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393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345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554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560</v>
      </c>
      <c r="C63" s="105" t="s">
        <v>561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562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352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353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354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355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346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536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555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517</v>
      </c>
      <c r="C72" s="102" t="s">
        <v>518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519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535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556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347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326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563</v>
      </c>
      <c r="I4" s="34" t="s">
        <v>564</v>
      </c>
      <c r="J4" s="34" t="s">
        <v>565</v>
      </c>
    </row>
    <row r="5" spans="1:10" ht="30" x14ac:dyDescent="0.25">
      <c r="A5" t="s">
        <v>273</v>
      </c>
      <c r="B5" s="4" t="s">
        <v>450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273</v>
      </c>
      <c r="B6" s="4" t="s">
        <v>451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273</v>
      </c>
      <c r="B8" s="4" t="s">
        <v>452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273</v>
      </c>
      <c r="B9" s="4" t="s">
        <v>453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273</v>
      </c>
      <c r="B10" s="4" t="s">
        <v>449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402</v>
      </c>
      <c r="B5" s="54" t="s">
        <v>403</v>
      </c>
      <c r="C5" s="55" t="s">
        <v>404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405</v>
      </c>
      <c r="B6" s="57" t="s">
        <v>406</v>
      </c>
      <c r="C6" s="55" t="s">
        <v>407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408</v>
      </c>
      <c r="B7" s="57" t="s">
        <v>409</v>
      </c>
      <c r="C7" s="55" t="s">
        <v>407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410</v>
      </c>
      <c r="B8" s="57" t="s">
        <v>411</v>
      </c>
      <c r="C8" s="55" t="s">
        <v>407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412</v>
      </c>
      <c r="B9" s="57" t="s">
        <v>413</v>
      </c>
      <c r="C9" s="55" t="s">
        <v>407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414</v>
      </c>
      <c r="B10" s="57" t="s">
        <v>415</v>
      </c>
      <c r="C10" s="55" t="s">
        <v>407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416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417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418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F14</f>
        <v>5530000</v>
      </c>
    </row>
    <row r="5" spans="1:12" x14ac:dyDescent="0.2">
      <c r="A5" s="51" t="s">
        <v>402</v>
      </c>
      <c r="B5" s="57" t="s">
        <v>419</v>
      </c>
      <c r="C5" s="55" t="s">
        <v>420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405</v>
      </c>
      <c r="B6" s="57" t="s">
        <v>421</v>
      </c>
      <c r="C6" s="55" t="s">
        <v>420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408</v>
      </c>
      <c r="B7" s="57" t="s">
        <v>422</v>
      </c>
      <c r="C7" s="55" t="s">
        <v>420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410</v>
      </c>
      <c r="B8" s="57" t="s">
        <v>423</v>
      </c>
      <c r="C8" s="55" t="s">
        <v>424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412</v>
      </c>
      <c r="B9" s="57" t="s">
        <v>425</v>
      </c>
      <c r="C9" s="55" t="s">
        <v>426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414</v>
      </c>
      <c r="B10" s="57" t="s">
        <v>427</v>
      </c>
      <c r="C10" s="55" t="s">
        <v>426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428</v>
      </c>
      <c r="C11" s="55" t="s">
        <v>426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414</v>
      </c>
      <c r="B12" s="57" t="s">
        <v>411</v>
      </c>
      <c r="C12" s="55" t="s">
        <v>424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429</v>
      </c>
      <c r="B13" s="75" t="s">
        <v>430</v>
      </c>
      <c r="C13" s="76" t="s">
        <v>404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416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417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431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F8</f>
        <v>14900000</v>
      </c>
    </row>
    <row r="5" spans="1:12" x14ac:dyDescent="0.2">
      <c r="A5" s="51" t="s">
        <v>402</v>
      </c>
      <c r="B5" s="57" t="s">
        <v>432</v>
      </c>
      <c r="C5" s="55" t="s">
        <v>433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405</v>
      </c>
      <c r="B6" s="57" t="s">
        <v>434</v>
      </c>
      <c r="C6" s="55" t="s">
        <v>435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408</v>
      </c>
      <c r="B7" s="57" t="s">
        <v>436</v>
      </c>
      <c r="C7" s="55" t="s">
        <v>435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416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417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437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402</v>
      </c>
      <c r="B5" s="57" t="s">
        <v>438</v>
      </c>
      <c r="C5" s="55" t="s">
        <v>424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405</v>
      </c>
      <c r="B6" s="57" t="s">
        <v>439</v>
      </c>
      <c r="C6" s="55" t="s">
        <v>433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408</v>
      </c>
      <c r="B7" s="57" t="s">
        <v>440</v>
      </c>
      <c r="C7" s="55" t="s">
        <v>424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410</v>
      </c>
      <c r="B8" s="57" t="s">
        <v>441</v>
      </c>
      <c r="C8" s="55" t="s">
        <v>424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412</v>
      </c>
      <c r="B9" s="57" t="s">
        <v>442</v>
      </c>
      <c r="C9" s="55" t="s">
        <v>424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414</v>
      </c>
      <c r="B10" s="57" t="s">
        <v>443</v>
      </c>
      <c r="C10" s="55" t="s">
        <v>424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429</v>
      </c>
      <c r="B11" s="57" t="s">
        <v>444</v>
      </c>
      <c r="C11" s="55" t="s">
        <v>426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416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417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F7</f>
        <v>11300000</v>
      </c>
    </row>
    <row r="5" spans="1:12" x14ac:dyDescent="0.2">
      <c r="A5" s="51" t="s">
        <v>402</v>
      </c>
      <c r="B5" s="57" t="s">
        <v>446</v>
      </c>
      <c r="C5" s="55" t="s">
        <v>424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405</v>
      </c>
      <c r="B6" s="57" t="s">
        <v>447</v>
      </c>
      <c r="C6" s="55" t="s">
        <v>433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416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417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448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F6</f>
        <v>14000000</v>
      </c>
    </row>
    <row r="5" spans="1:12" x14ac:dyDescent="0.2">
      <c r="A5" s="51" t="s">
        <v>402</v>
      </c>
      <c r="B5" s="57" t="s">
        <v>449</v>
      </c>
      <c r="C5" s="55" t="s">
        <v>424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416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417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351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349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537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557</v>
      </c>
    </row>
    <row r="21" spans="1:7" x14ac:dyDescent="0.25">
      <c r="A21" s="7"/>
      <c r="B21" s="7" t="s">
        <v>350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341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2026-10-28T06:16:43Z</dcterms:modified>
  <dc:language>en-US</dc:language>
</cp:coreProperties>
</file>