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 activeTab="2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9" i="3" l="1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F6" i="4"/>
  <c r="B49" i="2"/>
  <c r="B52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L29" i="3"/>
  <c r="L25" i="3"/>
  <c r="L21" i="3"/>
  <c r="L16" i="3"/>
  <c r="L12" i="3"/>
  <c r="L11" i="3"/>
  <c r="L28" i="3"/>
  <c r="L24" i="3"/>
  <c r="L19" i="3"/>
  <c r="L27" i="3"/>
  <c r="L23" i="3"/>
  <c r="L18" i="3"/>
  <c r="L14" i="3"/>
  <c r="L9" i="3"/>
  <c r="L26" i="3"/>
  <c r="L22" i="3"/>
  <c r="L17" i="3"/>
  <c r="L13" i="3"/>
  <c r="E23" i="5"/>
  <c r="I23" i="5" s="1"/>
  <c r="E22" i="5"/>
  <c r="I22" i="5" s="1"/>
  <c r="E21" i="5"/>
  <c r="I21" i="5" s="1"/>
  <c r="E20" i="5"/>
  <c r="I20" i="5" s="1"/>
  <c r="F8" i="4" l="1"/>
  <c r="F7" i="4"/>
  <c r="F11" i="4"/>
  <c r="F10" i="4"/>
  <c r="F9" i="4"/>
  <c r="J11" i="9"/>
  <c r="B7" i="1" s="1"/>
  <c r="M15" i="3"/>
  <c r="M10" i="3"/>
  <c r="O10" i="3" s="1"/>
  <c r="M20" i="3"/>
  <c r="O20" i="3" s="1"/>
  <c r="E14" i="5"/>
  <c r="I13" i="5"/>
  <c r="O15" i="3" l="1"/>
  <c r="B32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8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1" i="2"/>
  <c r="B24" i="2"/>
  <c r="B23" i="2"/>
  <c r="B12" i="1" l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4" i="1" s="1"/>
  <c r="B15" i="1" s="1"/>
  <c r="M30" i="3"/>
  <c r="B16" i="1" l="1"/>
  <c r="B17" i="1" s="1"/>
  <c r="B19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<sst xmlns="http://schemas.openxmlformats.org/spreadsheetml/2006/main" count="717" uniqueCount="417">
  <si>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</si>
  <si>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</si>
  <si>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</si>
  <si>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</si>
  <si>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</si>
  <si>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</si>
  <si>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</si>
  <si>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</si>
  <si>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</si>
  <si>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</si>
  <si>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</si>
  <si>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</si>
  <si>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</si>
  <si>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</si>
  <si>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</si>
  <si>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</si>
  <si>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</si>
  <si>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</si>
  <si>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</si>
  <si>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</si>
  <si>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</si>
  <si>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</si>
  <si>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</si>
  <si>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</si>
  <si>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</si>
  <si>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</si>
  <si>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</si>
  <si>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</si>
  <si>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</si>
  <si>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</si>
  <si>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</si>
  <si>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</si>
  <si>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</si>
  <si>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</si>
  <si>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</si>
  <si>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</si>
  <si>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</si>
  <si>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</si>
  <si>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</si>
  <si>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</si>
  <si>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</si>
  <si>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</si>
  <si>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</si>
  <si>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</si>
  <si>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</si>
  <si>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</si>
  <si>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</si>
  <si>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</si>
  <si>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</si>
  <si>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</si>
  <si>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</si>
  <si>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</si>
  <si>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</si>
  <si>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</si>
  <si>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</si>
  <si>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</si>
  <si>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</si>
  <si>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</si>
  <si>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</si>
  <si>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</si>
  <si>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</si>
  <si>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</si>
  <si>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</si>
  <si>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</si>
  <si>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</si>
  <si>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</si>
  <si>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</si>
  <si>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</si>
  <si>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</si>
  <si>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</si>
  <si>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</si>
  <si>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</si>
  <si>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</si>
  <si>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</si>
  <si>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</si>
  <si>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</si>
  <si>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</si>
  <si>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</si>
  <si>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</si>
  <si>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</si>
  <si>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</si>
  <si>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</si>
  <si>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</si>
  <si>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</si>
  <si>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</si>
  <si>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</si>
  <si>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</si>
  <si>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</si>
  <si>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</si>
  <si>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</si>
  <si>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</si>
  <si>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</si>
  <si>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</si>
  <si>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</si>
  <si>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</si>
  <si>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</si>
  <si>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</si>
  <si>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</si>
  <si>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</si>
  <si>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</si>
  <si>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</si>
  <si>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</si>
  <si>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</si>
  <si>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</si>
  <si>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</si>
  <si>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</si>
  <si>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</si>
  <si>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</si>
  <si>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</si>
  <si>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</si>
  <si>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</si>
  <si>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</si>
  <si>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</si>
  <si>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</si>
  <si>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</si>
  <si>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</si>
  <si>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</si>
  <si>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</si>
  <si>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</si>
  <si>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</si>
  <si>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</si>
  <si>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</si>
  <si>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</si>
  <si>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</si>
  <si>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</si>
  <si>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</si>
  <si>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</si>
  <si>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</si>
  <si>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</si>
  <si>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</si>
  <si>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</si>
  <si>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</si>
  <si>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</si>
  <si>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</si>
  <si>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</si>
  <si>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</si>
  <si>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</si>
  <si>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</si>
  <si>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</si>
  <si>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</si>
  <si>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</si>
  <si>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</si>
  <si>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</si>
  <si>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</si>
  <si>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</si>
  <si>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</si>
  <si>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</si>
  <si>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</si>
  <si>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</si>
  <si>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</si>
  <si>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</si>
  <si>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</si>
  <si>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</si>
  <si>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</si>
  <si>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</si>
  <si>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</si>
  <si>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</si>
  <si>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</si>
  <si>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</si>
  <si>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</si>
  <si>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</si>
  <si>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</si>
  <si>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</si>
  <si>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</si>
  <si>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</si>
  <si>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</si>
  <si>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</si>
  <si>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</si>
  <si>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</si>
  <si>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</si>
  <si>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</si>
  <si>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</si>
  <si>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</si>
  <si>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</si>
  <si>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</si>
  <si>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</si>
  <si>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</si>
  <si>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</si>
  <si>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</si>
  <si>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</si>
  <si>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</si>
  <si>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</si>
  <si>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</si>
  <si>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</si>
  <si>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</si>
  <si>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</si>
  <si>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</si>
  <si>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</si>
  <si>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</si>
  <si>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</si>
  <si>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</si>
  <si>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</si>
  <si>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</si>
  <si>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</si>
  <si>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</si>
  <si>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</si>
  <si>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</si>
  <si>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</si>
  <si>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</si>
  <si>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</si>
  <si>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</si>
  <si>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</si>
  <si>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</si>
  <si>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</si>
  <si>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</si>
  <si>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</si>
  <si>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</si>
  <si>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</si>
  <si>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</si>
  <si>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</si>
  <si>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</si>
  <si>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</si>
  <si>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</si>
  <si>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</si>
  <si>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</si>
  <si>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</si>
  <si>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</si>
  <si>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</si>
  <si>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</si>
  <si>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</si>
  <si>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</si>
  <si>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</si>
  <si>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</si>
  <si>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</si>
  <si>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</si>
  <si>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</si>
  <si>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</si>
  <si>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</si>
  <si>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</si>
  <si>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</si>
  <si>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</si>
  <si>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</si>
  <si>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</si>
  <si>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</si>
  <si>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</si>
  <si>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</si>
  <si>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</si>
  <si>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</si>
  <si>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</si>
  <si>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</si>
  <si>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</si>
  <si>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</si>
  <si>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</si>
  <si>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</si>
  <si>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</si>
  <si>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</si>
  <si>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</si>
  <si>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</si>
  <si>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</si>
  <si>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</si>
  <si>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</si>
  <si>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</si>
  <si>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</si>
  <si>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</si>
  <si>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</si>
  <si>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</si>
  <si>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</si>
  <si>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</si>
  <si>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</si>
  <si>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</si>
  <si>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</si>
  <si>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</si>
  <si>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</si>
  <si>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</si>
  <si>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</si>
  <si>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</si>
  <si>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</si>
  <si>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</si>
  <si>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</si>
  <si>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</si>
  <si>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</si>
  <si>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</si>
  <si>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</si>
  <si>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</si>
  <si>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</si>
  <si>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</si>
  <si>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</si>
  <si>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</si>
  <si>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</si>
  <si>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</si>
  <si>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</si>
  <si>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</si>
  <si>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</si>
  <si>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</si>
  <si>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</si>
  <si>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</si>
  <si>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</si>
  <si>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</si>
  <si>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</si>
  <si>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</si>
  <si>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</si>
  <si>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</si>
  <si>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</si>
  <si>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</si>
  <si>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</si>
  <si>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</si>
  <si>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</si>
  <si>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</si>
  <si>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</si>
  <si>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</si>
  <si>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</si>
  <si>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</si>
  <si>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</si>
  <si>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</si>
  <si>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</si>
  <si>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</si>
  <si>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</si>
  <si>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</si>
  <si>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</si>
  <si>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</si>
  <si>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</si>
  <si>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</si>
  <si>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</si>
  <si>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</si>
  <si>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</si>
  <si>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</si>
  <si>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</si>
  <si>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</si>
  <si>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</si>
  <si>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</si>
  <si>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</si>
  <si>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</si>
  <si>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</si>
  <si>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</si>
  <si>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</si>
  <si>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</si>
  <si>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</si>
  <si>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</si>
  <si>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</si>
  <si>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</si>
  <si>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</si>
  <si>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</si>
  <si>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</si>
  <si>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</si>
  <si>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</si>
  <si>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</si>
  <si>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</si>
  <si>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</si>
  <si>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</si>
  <si>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</si>
  <si>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</si>
  <si>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</si>
  <si>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</si>
  <si>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</si>
  <si>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</si>
  <si>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</si>
  <si>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</si>
  <si>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</si>
  <si>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</si>
  <si>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</si>
  <si>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</si>
  <si>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</si>
  <si>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</si>
  <si>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</si>
  <si>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[Сундетбай С.] Коммуникационная стратегия, медиаплан, работа со СМИ. Опыт: коммуникации, медиа и PR.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</si>
  <si>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</si>
  <si>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</si>
  <si>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</si>
  <si>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</si>
  <si>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</si>
  <si>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</si>
  <si>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</si>
  <si>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</si>
  <si>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</si>
  <si>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</si>
  <si>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</si>
  <si>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</si>
  <si>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</si>
  <si>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</si>
  <si>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</si>
  <si>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</si>
  <si>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</si>
  <si>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</si>
  <si>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</si>
  <si>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</si>
  <si>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</si>
  <si>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</si>
  <si>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</si>
  <si>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</si>
  <si>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</si>
  <si>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</si>
  <si>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</si>
  <si>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</si>
  <si>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</si>
  <si>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</si>
  <si>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</si>
  <si>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</si>
  <si>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</si>
  <si>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</si>
  <si>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</si>
  <si>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</si>
  <si>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</si>
  <si>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</si>
  <si>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</si>
  <si>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</si>
  <si>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</si>
  <si>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</si>
  <si>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Годовой полис ОСНС на новых сотрудников 2026 года, ₸ (оценка: тариф 0,29% от годового ФОТ)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</si>
  <si>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</si>
  <si>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</si>
  <si>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</si>
  <si>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</si>
  <si>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</si>
  <si>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</si>
  <si>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</si>
  <si>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</si>
  <si>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</si>
  <si>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</si>
  <si>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</si>
  <si>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[Серикжанова А.Т.]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</si>
  <si>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Руководитель проектного офиса «Таза Қазақстан»</t>
  </si>
  <si>
    <t>[Қуандық Ж.Б.]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</si>
  <si>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Б.Б.]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</si>
  <si>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Б.Б.]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</si>
  <si>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[Абенов А.Д.] Аналитик: аналитическое сопровождение проектов, методические материалы, отчётность.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</si>
  <si>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[Тастан Н.Е.]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</si>
  <si>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А.Т.]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</si>
</sst>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401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366</v>
      </c>
      <c r="B4" s="37">
        <f>SUMIF(Штат!E5:E29,"штат",Штат!G5:G29)</f>
        <v>18</v>
      </c>
    </row>
    <row r="5" spans="1:2" x14ac:dyDescent="0.25">
      <c r="A5" s="36" t="s">
        <v>367</v>
      </c>
      <c r="B5" s="37">
        <f>Штат!G31</f>
        <v>12</v>
      </c>
    </row>
    <row r="6" spans="1:2" x14ac:dyDescent="0.25">
      <c r="A6" s="36" t="s">
        <v>368</v>
      </c>
      <c r="B6" s="38">
        <f>SUMIFS(Штат!M5:M29,Штат!E5:E29,"штат")</f>
        <v>58691747.741935484</v>
      </c>
    </row>
    <row r="7" spans="1:2" ht="30" x14ac:dyDescent="0.25">
      <c r="A7" s="36" t="s">
        <v>369</v>
      </c>
      <c r="B7" s="38">
        <f>Аутсорс!J11</f>
        <v>14567354.838709679</v>
      </c>
    </row>
    <row r="8" spans="1:2" x14ac:dyDescent="0.25">
      <c r="A8" s="36" t="s">
        <v>399</v>
      </c>
      <c r="B8" s="38">
        <f>Штат!N30</f>
        <v>500000.00000000017</v>
      </c>
    </row>
    <row r="9" spans="1:2" x14ac:dyDescent="0.25">
      <c r="A9" s="36" t="s">
        <v>370</v>
      </c>
      <c r="B9" s="38">
        <f>Командировки!G12</f>
        <v>3783804.032258065</v>
      </c>
    </row>
    <row r="10" spans="1:2" ht="30" x14ac:dyDescent="0.25">
      <c r="A10" s="36" t="s">
        <v>371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388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372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373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374</v>
      </c>
      <c r="B14" s="40">
        <f>B6+B7+B8+B9+B10+B11+B12+B13</f>
        <v>127357480.10967742</v>
      </c>
    </row>
    <row r="15" spans="1:2" ht="30" x14ac:dyDescent="0.25">
      <c r="A15" s="36" t="s">
        <v>400</v>
      </c>
      <c r="B15" s="38">
        <f>B14*Резерв+SUMIFS('Оснащение и офис'!I5:I57,'Оснащение и офис'!A5:A57,"Прочие")</f>
        <v>12810748.010967743</v>
      </c>
    </row>
    <row r="16" spans="1:2" x14ac:dyDescent="0.25">
      <c r="A16" s="36" t="s">
        <v>296</v>
      </c>
      <c r="B16" s="38">
        <f>(B14+B15)*НДС</f>
        <v>22426916.499303225</v>
      </c>
    </row>
    <row r="17" spans="1:2" x14ac:dyDescent="0.25">
      <c r="A17" s="41" t="s">
        <v>375</v>
      </c>
      <c r="B17" s="42">
        <f>B14+B15+B16</f>
        <v>162595144.61994839</v>
      </c>
    </row>
    <row r="18" spans="1:2" x14ac:dyDescent="0.25">
      <c r="A18" s="39" t="s">
        <v>376</v>
      </c>
      <c r="B18" s="40">
        <f>Проекты!G13</f>
        <v>87404855.379999995</v>
      </c>
    </row>
    <row r="19" spans="1:2" x14ac:dyDescent="0.25">
      <c r="A19" s="43" t="s">
        <v>377</v>
      </c>
      <c r="B19" s="44">
        <f>B17+B18</f>
        <v>249999999.99994838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396</v>
      </c>
      <c r="B15" s="8">
        <v>500000</v>
      </c>
      <c r="C15" t="s">
        <v>397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330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363</v>
      </c>
    </row>
    <row r="38" spans="1:3" ht="15" customHeight="1" x14ac:dyDescent="0.25">
      <c r="A38" t="s">
        <v>364</v>
      </c>
    </row>
    <row r="41" spans="1:3" s="7" customFormat="1" x14ac:dyDescent="0.25">
      <c r="A41" s="7" t="s">
        <v>327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328</v>
      </c>
    </row>
    <row r="43" spans="1:3" x14ac:dyDescent="0.25">
      <c r="A43" t="s">
        <v>167</v>
      </c>
      <c r="B43" s="5">
        <v>13500</v>
      </c>
      <c r="C43" t="s">
        <v>325</v>
      </c>
    </row>
    <row r="44" spans="1:3" x14ac:dyDescent="0.25">
      <c r="A44" t="s">
        <v>218</v>
      </c>
      <c r="B44" s="5">
        <f>743*309.7</f>
        <v>230107.1</v>
      </c>
      <c r="C44" t="s">
        <v>329</v>
      </c>
    </row>
    <row r="45" spans="1:3" x14ac:dyDescent="0.25">
      <c r="A45" t="s">
        <v>168</v>
      </c>
      <c r="B45" s="5">
        <v>2</v>
      </c>
      <c r="C45" t="s">
        <v>280</v>
      </c>
    </row>
    <row r="46" spans="1:3" x14ac:dyDescent="0.25">
      <c r="A46" t="s">
        <v>169</v>
      </c>
      <c r="B46" s="5">
        <v>40000</v>
      </c>
      <c r="C46" t="s">
        <v>326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365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abSelected="1"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290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347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398</v>
      </c>
      <c r="O4" s="3" t="s">
        <v>78</v>
      </c>
      <c r="P4" s="3" t="s">
        <v>348</v>
      </c>
      <c r="Q4" s="4"/>
    </row>
    <row r="5" spans="1:17" ht="75" x14ac:dyDescent="0.25">
      <c r="A5" s="16">
        <v>1</v>
      </c>
      <c r="B5" s="16" t="s">
        <v>281</v>
      </c>
      <c r="C5" s="17" t="s">
        <v>282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IF(AND(E5="штат",F5="новая"),ОСНС_полис*G5/COUNTIFS($E$5:$E$29,"штат",$F$5:$F$29,"новая"),0)</f>
        <v>0</v>
      </c>
      <c r="O5" s="18">
        <f t="shared" ref="O5:O29" si="5">M5+N5</f>
        <v>5454690</v>
      </c>
      <c r="P5" s="17" t="s">
        <v>352</v>
      </c>
    </row>
    <row r="6" spans="1:17" ht="60" x14ac:dyDescent="0.25">
      <c r="A6" s="16">
        <v>2</v>
      </c>
      <c r="B6" s="16" t="s">
        <v>281</v>
      </c>
      <c r="C6" s="17" t="s">
        <v>404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408</v>
      </c>
    </row>
    <row r="7" spans="1:17" ht="90" x14ac:dyDescent="0.25">
      <c r="A7" s="16">
        <v>3</v>
      </c>
      <c r="B7" s="16" t="s">
        <v>281</v>
      </c>
      <c r="C7" s="17" t="s">
        <v>272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403</v>
      </c>
    </row>
    <row r="8" spans="1:17" ht="90" x14ac:dyDescent="0.25">
      <c r="A8" s="16">
        <v>4</v>
      </c>
      <c r="B8" s="16" t="s">
        <v>215</v>
      </c>
      <c r="C8" s="17" t="s">
        <v>410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35714.285714285717</v>
      </c>
      <c r="O8" s="18">
        <f t="shared" si="5"/>
        <v>3790904.9308755766</v>
      </c>
      <c r="P8" s="17" t="s">
        <v>409</v>
      </c>
    </row>
    <row r="9" spans="1:17" ht="30" x14ac:dyDescent="0.25">
      <c r="A9" s="16">
        <v>6</v>
      </c>
      <c r="B9" s="16" t="s">
        <v>250</v>
      </c>
      <c r="C9" s="17" t="s">
        <v>252</v>
      </c>
      <c r="D9" s="17" t="s">
        <v>253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35714.285714285717</v>
      </c>
      <c r="O9" s="18">
        <f t="shared" si="5"/>
        <v>2738009.4470046088</v>
      </c>
      <c r="P9" s="17" t="s">
        <v>353</v>
      </c>
    </row>
    <row r="10" spans="1:17" ht="30" x14ac:dyDescent="0.25">
      <c r="A10" s="16">
        <v>14</v>
      </c>
      <c r="B10" s="16" t="s">
        <v>254</v>
      </c>
      <c r="C10" s="17" t="s">
        <v>284</v>
      </c>
      <c r="D10" s="17" t="s">
        <v>256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35714.285714285717</v>
      </c>
      <c r="O10" s="18">
        <f t="shared" si="5"/>
        <v>3001233.3179723504</v>
      </c>
      <c r="P10" s="17" t="s">
        <v>285</v>
      </c>
    </row>
    <row r="11" spans="1:17" ht="60" x14ac:dyDescent="0.25">
      <c r="A11" s="16">
        <v>15</v>
      </c>
      <c r="B11" s="16" t="s">
        <v>254</v>
      </c>
      <c r="C11" s="17" t="s">
        <v>255</v>
      </c>
      <c r="D11" s="17" t="s">
        <v>256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35714.285714285717</v>
      </c>
      <c r="O11" s="18">
        <f t="shared" si="5"/>
        <v>2738009.4470046088</v>
      </c>
      <c r="P11" s="17" t="s">
        <v>411</v>
      </c>
    </row>
    <row r="12" spans="1:17" ht="75" x14ac:dyDescent="0.25">
      <c r="A12" s="16">
        <v>17</v>
      </c>
      <c r="B12" s="16" t="s">
        <v>254</v>
      </c>
      <c r="C12" s="17" t="s">
        <v>255</v>
      </c>
      <c r="D12" s="17" t="s">
        <v>256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35714.285714285717</v>
      </c>
      <c r="O12" s="18">
        <f t="shared" si="5"/>
        <v>2738009.4470046088</v>
      </c>
      <c r="P12" s="17" t="s">
        <v>412</v>
      </c>
    </row>
    <row r="13" spans="1:17" ht="60" x14ac:dyDescent="0.25">
      <c r="A13" s="16">
        <v>18</v>
      </c>
      <c r="B13" s="16" t="s">
        <v>254</v>
      </c>
      <c r="C13" s="17" t="s">
        <v>257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35714.285714285717</v>
      </c>
      <c r="O13" s="18">
        <f t="shared" si="5"/>
        <v>2738009.4470046088</v>
      </c>
      <c r="P13" s="17" t="s">
        <v>413</v>
      </c>
    </row>
    <row r="14" spans="1:17" ht="60" x14ac:dyDescent="0.25">
      <c r="A14" s="16">
        <v>19</v>
      </c>
      <c r="B14" s="16" t="s">
        <v>254</v>
      </c>
      <c r="C14" s="17" t="s">
        <v>257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35714.285714285717</v>
      </c>
      <c r="O14" s="18">
        <f t="shared" si="5"/>
        <v>1948337.8341013826</v>
      </c>
      <c r="P14" s="17" t="s">
        <v>414</v>
      </c>
    </row>
    <row r="15" spans="1:17" ht="75" x14ac:dyDescent="0.25">
      <c r="A15" s="16">
        <v>23</v>
      </c>
      <c r="B15" s="16" t="s">
        <v>258</v>
      </c>
      <c r="C15" s="17" t="s">
        <v>251</v>
      </c>
      <c r="D15" s="17" t="s">
        <v>283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35714.285714285717</v>
      </c>
      <c r="O15" s="18">
        <f t="shared" si="5"/>
        <v>3527681.0599078345</v>
      </c>
      <c r="P15" s="17" t="s">
        <v>415</v>
      </c>
    </row>
    <row r="16" spans="1:17" ht="30" x14ac:dyDescent="0.25">
      <c r="A16" s="20">
        <v>24</v>
      </c>
      <c r="B16" s="20" t="s">
        <v>258</v>
      </c>
      <c r="C16" s="21" t="s">
        <v>286</v>
      </c>
      <c r="D16" s="21" t="s">
        <v>253</v>
      </c>
      <c r="E16" s="20" t="s">
        <v>259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315</v>
      </c>
    </row>
    <row r="17" spans="1:16" ht="30" x14ac:dyDescent="0.25">
      <c r="A17" s="16">
        <v>25</v>
      </c>
      <c r="B17" s="16" t="s">
        <v>260</v>
      </c>
      <c r="C17" s="17" t="s">
        <v>261</v>
      </c>
      <c r="D17" s="17" t="s">
        <v>283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35714.285714285717</v>
      </c>
      <c r="O17" s="18">
        <f t="shared" si="5"/>
        <v>3527681.0599078345</v>
      </c>
      <c r="P17" s="17" t="s">
        <v>354</v>
      </c>
    </row>
    <row r="18" spans="1:16" ht="45" x14ac:dyDescent="0.25">
      <c r="A18" s="16">
        <v>26</v>
      </c>
      <c r="B18" s="16" t="s">
        <v>260</v>
      </c>
      <c r="C18" s="17" t="s">
        <v>262</v>
      </c>
      <c r="D18" s="17" t="s">
        <v>216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35714.285714285717</v>
      </c>
      <c r="O18" s="18">
        <f t="shared" si="5"/>
        <v>2738009.4470046088</v>
      </c>
      <c r="P18" s="17" t="s">
        <v>416</v>
      </c>
    </row>
    <row r="19" spans="1:16" x14ac:dyDescent="0.25">
      <c r="A19" s="20">
        <v>27</v>
      </c>
      <c r="B19" s="20" t="s">
        <v>260</v>
      </c>
      <c r="C19" s="21" t="s">
        <v>267</v>
      </c>
      <c r="D19" s="21" t="s">
        <v>216</v>
      </c>
      <c r="E19" s="20" t="s">
        <v>259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316</v>
      </c>
    </row>
    <row r="20" spans="1:16" x14ac:dyDescent="0.25">
      <c r="A20" s="20">
        <v>28</v>
      </c>
      <c r="B20" s="20" t="s">
        <v>260</v>
      </c>
      <c r="C20" s="21" t="s">
        <v>268</v>
      </c>
      <c r="D20" s="21" t="s">
        <v>216</v>
      </c>
      <c r="E20" s="20" t="s">
        <v>259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317</v>
      </c>
    </row>
    <row r="21" spans="1:16" x14ac:dyDescent="0.25">
      <c r="A21" s="20">
        <v>29</v>
      </c>
      <c r="B21" s="20" t="s">
        <v>260</v>
      </c>
      <c r="C21" s="21" t="s">
        <v>269</v>
      </c>
      <c r="D21" s="21" t="s">
        <v>216</v>
      </c>
      <c r="E21" s="20" t="s">
        <v>259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318</v>
      </c>
    </row>
    <row r="22" spans="1:16" x14ac:dyDescent="0.25">
      <c r="A22" s="16">
        <v>30</v>
      </c>
      <c r="B22" s="16" t="s">
        <v>260</v>
      </c>
      <c r="C22" s="17" t="s">
        <v>263</v>
      </c>
      <c r="D22" s="17" t="s">
        <v>216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35714.285714285717</v>
      </c>
      <c r="O22" s="18">
        <f t="shared" si="5"/>
        <v>2738009.4470046088</v>
      </c>
      <c r="P22" s="17" t="s">
        <v>264</v>
      </c>
    </row>
    <row r="23" spans="1:16" x14ac:dyDescent="0.25">
      <c r="A23" s="16">
        <v>31</v>
      </c>
      <c r="B23" s="16" t="s">
        <v>260</v>
      </c>
      <c r="C23" s="17" t="s">
        <v>265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35714.285714285717</v>
      </c>
      <c r="O23" s="18">
        <f t="shared" si="5"/>
        <v>1948337.8341013826</v>
      </c>
      <c r="P23" s="17" t="s">
        <v>266</v>
      </c>
    </row>
    <row r="24" spans="1:16" ht="30" x14ac:dyDescent="0.25">
      <c r="A24" s="20">
        <v>32</v>
      </c>
      <c r="B24" s="20" t="s">
        <v>260</v>
      </c>
      <c r="C24" s="21" t="s">
        <v>270</v>
      </c>
      <c r="D24" s="21" t="s">
        <v>216</v>
      </c>
      <c r="E24" s="20" t="s">
        <v>259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319</v>
      </c>
    </row>
    <row r="25" spans="1:16" ht="75" x14ac:dyDescent="0.25">
      <c r="A25" s="16">
        <v>33</v>
      </c>
      <c r="B25" s="16" t="s">
        <v>287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0</v>
      </c>
      <c r="O25" s="18">
        <f t="shared" si="5"/>
        <v>4784010</v>
      </c>
      <c r="P25" s="17" t="s">
        <v>355</v>
      </c>
    </row>
    <row r="26" spans="1:16" ht="30" x14ac:dyDescent="0.25">
      <c r="A26" s="16">
        <v>34</v>
      </c>
      <c r="B26" s="16" t="s">
        <v>287</v>
      </c>
      <c r="C26" s="17" t="s">
        <v>85</v>
      </c>
      <c r="D26" s="17" t="s">
        <v>212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35714.285714285717</v>
      </c>
      <c r="O26" s="18">
        <f t="shared" si="5"/>
        <v>1948337.8341013826</v>
      </c>
      <c r="P26" s="17" t="s">
        <v>213</v>
      </c>
    </row>
    <row r="27" spans="1:16" ht="45" x14ac:dyDescent="0.25">
      <c r="A27" s="16">
        <v>35</v>
      </c>
      <c r="B27" s="16" t="s">
        <v>405</v>
      </c>
      <c r="C27" s="17" t="s">
        <v>406</v>
      </c>
      <c r="D27" s="17" t="s">
        <v>407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35714.285714285717</v>
      </c>
      <c r="O27" s="18">
        <f t="shared" si="5"/>
        <v>3264457.1889400925</v>
      </c>
      <c r="P27" s="17" t="s">
        <v>402</v>
      </c>
    </row>
    <row r="28" spans="1:16" ht="30" x14ac:dyDescent="0.25">
      <c r="A28" s="20">
        <v>36</v>
      </c>
      <c r="B28" s="20" t="s">
        <v>287</v>
      </c>
      <c r="C28" s="21" t="s">
        <v>288</v>
      </c>
      <c r="D28" s="21" t="s">
        <v>214</v>
      </c>
      <c r="E28" s="20" t="s">
        <v>259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320</v>
      </c>
    </row>
    <row r="29" spans="1:16" ht="30" x14ac:dyDescent="0.25">
      <c r="A29" s="20">
        <v>37</v>
      </c>
      <c r="B29" s="20" t="s">
        <v>287</v>
      </c>
      <c r="C29" s="21" t="s">
        <v>289</v>
      </c>
      <c r="D29" s="21" t="s">
        <v>214</v>
      </c>
      <c r="E29" s="20" t="s">
        <v>259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321</v>
      </c>
    </row>
    <row r="30" spans="1:16" x14ac:dyDescent="0.25">
      <c r="A30" s="7"/>
      <c r="B30" s="7"/>
      <c r="C30" s="7" t="s">
        <v>349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500000.00000000017</v>
      </c>
      <c r="O30" s="6">
        <f t="shared" si="17"/>
        <v>59191747.741935477</v>
      </c>
      <c r="P30" s="7"/>
    </row>
    <row r="31" spans="1:16" x14ac:dyDescent="0.25">
      <c r="C31" t="s">
        <v>350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351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356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294</v>
      </c>
      <c r="E3" s="25" t="s">
        <v>295</v>
      </c>
      <c r="F3" s="25" t="s">
        <v>296</v>
      </c>
      <c r="G3" s="25" t="s">
        <v>297</v>
      </c>
      <c r="H3" s="25" t="s">
        <v>347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298</v>
      </c>
      <c r="C4" s="27" t="s">
        <v>214</v>
      </c>
      <c r="D4" s="27" t="s">
        <v>299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300</v>
      </c>
      <c r="C5" s="27" t="s">
        <v>214</v>
      </c>
      <c r="D5" s="27" t="s">
        <v>301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302</v>
      </c>
      <c r="C6" s="27" t="s">
        <v>303</v>
      </c>
      <c r="D6" s="27" t="s">
        <v>304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305</v>
      </c>
      <c r="C7" s="27" t="s">
        <v>306</v>
      </c>
      <c r="D7" s="27" t="s">
        <v>307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308</v>
      </c>
      <c r="C8" s="27" t="s">
        <v>306</v>
      </c>
      <c r="D8" s="27" t="s">
        <v>309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310</v>
      </c>
      <c r="C9" s="27" t="s">
        <v>306</v>
      </c>
      <c r="D9" s="27" t="s">
        <v>311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312</v>
      </c>
      <c r="C10" s="27" t="s">
        <v>306</v>
      </c>
      <c r="D10" s="27" t="s">
        <v>313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314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346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344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345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291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271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357</v>
      </c>
    </row>
    <row r="2" spans="1:9" ht="15" customHeight="1" x14ac:dyDescent="0.25">
      <c r="A2" s="2" t="s">
        <v>358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359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360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334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324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379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275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380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274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381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276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277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278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279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332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333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335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336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337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338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382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383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341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342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343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384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331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273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392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393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394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395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385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322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386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387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361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292</v>
      </c>
      <c r="B5" s="4" t="s">
        <v>293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292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292</v>
      </c>
      <c r="B7" s="4" t="s">
        <v>340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292</v>
      </c>
      <c r="B8" s="4" t="s">
        <v>339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292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292</v>
      </c>
      <c r="B10" s="4" t="s">
        <v>249</v>
      </c>
      <c r="C10" t="s">
        <v>246</v>
      </c>
      <c r="D10" s="9"/>
      <c r="E10" s="10"/>
      <c r="F10" s="9" t="s">
        <v>244</v>
      </c>
      <c r="G10" s="5">
        <v>30504855.379999999</v>
      </c>
    </row>
    <row r="11" spans="1:7" x14ac:dyDescent="0.25">
      <c r="A11" t="s">
        <v>292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362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391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323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389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390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378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2026-10-19T05:46:25Z</dcterms:modified>
  <dc:language>en-US</dc:language>
</cp:coreProperties>
</file>