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Taza talqy" sheetId="10" r:id="rId8"/>
    <sheet name="Презентация офисе" sheetId="11" r:id="rId9"/>
    <sheet name="креативные проекты" sheetId="12" r:id="rId10"/>
    <sheet name="Информ сопровождение" sheetId="13" r:id="rId11"/>
    <sheet name="Соц исследования" sheetId="14" r:id="rId12"/>
    <sheet name="Разработка платформы" sheetId="15" r:id="rId13"/>
    <sheet name="Канцелярия" sheetId="7" r:id="rId14"/>
    <sheet name="Смета фото-видео" sheetId="6" r:id="rId15"/>
  </sheets>
  <definedNames>
    <definedName name="Авиа_межд" localSheetId="7">#REF!</definedName>
    <definedName name="Авиа_межд" localSheetId="10">#REF!</definedName>
    <definedName name="Авиа_межд" localSheetId="9">#REF!</definedName>
    <definedName name="Авиа_межд" localSheetId="8">#REF!</definedName>
    <definedName name="Авиа_межд" localSheetId="12">#REF!</definedName>
    <definedName name="Авиа_межд" localSheetId="11">#REF!</definedName>
    <definedName name="Авиа_межд">Параметры!$B$25</definedName>
    <definedName name="Авиа_РК" localSheetId="7">#REF!</definedName>
    <definedName name="Авиа_РК" localSheetId="10">#REF!</definedName>
    <definedName name="Авиа_РК" localSheetId="9">#REF!</definedName>
    <definedName name="Авиа_РК" localSheetId="8">#REF!</definedName>
    <definedName name="Авиа_РК" localSheetId="12">#REF!</definedName>
    <definedName name="Авиа_РК" localSheetId="11">#REF!</definedName>
    <definedName name="Авиа_РК">Параметры!$B$18</definedName>
    <definedName name="Аренда_депозит" localSheetId="7">#REF!</definedName>
    <definedName name="Аренда_депозит" localSheetId="10">#REF!</definedName>
    <definedName name="Аренда_депозит" localSheetId="9">#REF!</definedName>
    <definedName name="Аренда_депозит" localSheetId="8">#REF!</definedName>
    <definedName name="Аренда_депозит" localSheetId="12">#REF!</definedName>
    <definedName name="Аренда_депозит" localSheetId="11">#REF!</definedName>
    <definedName name="Аренда_депозит">Параметры!$B$48</definedName>
    <definedName name="Аренда_мес" localSheetId="7">#REF!</definedName>
    <definedName name="Аренда_мес" localSheetId="10">#REF!</definedName>
    <definedName name="Аренда_мес" localSheetId="9">#REF!</definedName>
    <definedName name="Аренда_мес" localSheetId="8">#REF!</definedName>
    <definedName name="Аренда_мес" localSheetId="12">#REF!</definedName>
    <definedName name="Аренда_мес" localSheetId="11">#REF!</definedName>
    <definedName name="Аренда_мес">Параметры!$B$32</definedName>
    <definedName name="Аренда_мес_2026" localSheetId="7">#REF!</definedName>
    <definedName name="Аренда_мес_2026" localSheetId="10">#REF!</definedName>
    <definedName name="Аренда_мес_2026" localSheetId="9">#REF!</definedName>
    <definedName name="Аренда_мес_2026" localSheetId="8">#REF!</definedName>
    <definedName name="Аренда_мес_2026" localSheetId="12">#REF!</definedName>
    <definedName name="Аренда_мес_2026" localSheetId="11">#REF!</definedName>
    <definedName name="Аренда_мес_2026">Параметры!$B$49</definedName>
    <definedName name="Аренда_с_НДС" localSheetId="7">#REF!</definedName>
    <definedName name="Аренда_с_НДС" localSheetId="10">#REF!</definedName>
    <definedName name="Аренда_с_НДС" localSheetId="9">#REF!</definedName>
    <definedName name="Аренда_с_НДС" localSheetId="8">#REF!</definedName>
    <definedName name="Аренда_с_НДС" localSheetId="12">#REF!</definedName>
    <definedName name="Аренда_с_НДС" localSheetId="11">#REF!</definedName>
    <definedName name="Аренда_с_НДС">Параметры!$B$47</definedName>
    <definedName name="Депозит_мес" localSheetId="7">#REF!</definedName>
    <definedName name="Депозит_мес" localSheetId="10">#REF!</definedName>
    <definedName name="Депозит_мес" localSheetId="9">#REF!</definedName>
    <definedName name="Депозит_мес" localSheetId="8">#REF!</definedName>
    <definedName name="Депозит_мес" localSheetId="12">#REF!</definedName>
    <definedName name="Депозит_мес" localSheetId="11">#REF!</definedName>
    <definedName name="Депозит_мес">Параметры!$B$33</definedName>
    <definedName name="Дней_межд" localSheetId="7">#REF!</definedName>
    <definedName name="Дней_межд" localSheetId="10">#REF!</definedName>
    <definedName name="Дней_межд" localSheetId="9">#REF!</definedName>
    <definedName name="Дней_межд" localSheetId="8">#REF!</definedName>
    <definedName name="Дней_межд" localSheetId="12">#REF!</definedName>
    <definedName name="Дней_межд" localSheetId="11">#REF!</definedName>
    <definedName name="Дней_межд">Параметры!$B$28</definedName>
    <definedName name="Дней_РК" localSheetId="7">#REF!</definedName>
    <definedName name="Дней_РК" localSheetId="10">#REF!</definedName>
    <definedName name="Дней_РК" localSheetId="9">#REF!</definedName>
    <definedName name="Дней_РК" localSheetId="8">#REF!</definedName>
    <definedName name="Дней_РК" localSheetId="12">#REF!</definedName>
    <definedName name="Дней_РК" localSheetId="11">#REF!</definedName>
    <definedName name="Дней_РК">Параметры!$B$21</definedName>
    <definedName name="Кап_ООСМС" localSheetId="7">#REF!</definedName>
    <definedName name="Кап_ООСМС" localSheetId="10">#REF!</definedName>
    <definedName name="Кап_ООСМС" localSheetId="9">#REF!</definedName>
    <definedName name="Кап_ООСМС" localSheetId="8">#REF!</definedName>
    <definedName name="Кап_ООСМС" localSheetId="12">#REF!</definedName>
    <definedName name="Кап_ООСМС" localSheetId="11">#REF!</definedName>
    <definedName name="Кап_ООСМС">Параметры!$B$11</definedName>
    <definedName name="Кап_СО" localSheetId="7">#REF!</definedName>
    <definedName name="Кап_СО" localSheetId="10">#REF!</definedName>
    <definedName name="Кап_СО" localSheetId="9">#REF!</definedName>
    <definedName name="Кап_СО" localSheetId="8">#REF!</definedName>
    <definedName name="Кап_СО" localSheetId="12">#REF!</definedName>
    <definedName name="Кап_СО" localSheetId="11">#REF!</definedName>
    <definedName name="Кап_СО">Параметры!$B$9</definedName>
    <definedName name="Коммун_мес" localSheetId="7">#REF!</definedName>
    <definedName name="Коммун_мес" localSheetId="10">#REF!</definedName>
    <definedName name="Коммун_мес" localSheetId="9">#REF!</definedName>
    <definedName name="Коммун_мес" localSheetId="8">#REF!</definedName>
    <definedName name="Коммун_мес" localSheetId="12">#REF!</definedName>
    <definedName name="Коммун_мес" localSheetId="11">#REF!</definedName>
    <definedName name="Коммун_мес">Параметры!$B$44</definedName>
    <definedName name="Курс" localSheetId="7">#REF!</definedName>
    <definedName name="Курс" localSheetId="10">#REF!</definedName>
    <definedName name="Курс" localSheetId="9">#REF!</definedName>
    <definedName name="Курс" localSheetId="8">#REF!</definedName>
    <definedName name="Курс" localSheetId="12">#REF!</definedName>
    <definedName name="Курс" localSheetId="11">#REF!</definedName>
    <definedName name="Курс">Параметры!$B$16</definedName>
    <definedName name="Мес_2026_новые" localSheetId="7">#REF!</definedName>
    <definedName name="Мес_2026_новые" localSheetId="10">#REF!</definedName>
    <definedName name="Мес_2026_новые" localSheetId="9">#REF!</definedName>
    <definedName name="Мес_2026_новые" localSheetId="8">#REF!</definedName>
    <definedName name="Мес_2026_новые" localSheetId="12">#REF!</definedName>
    <definedName name="Мес_2026_новые" localSheetId="11">#REF!</definedName>
    <definedName name="Мес_2026_новые">Параметры!$B$52</definedName>
    <definedName name="МЗП" localSheetId="7">#REF!</definedName>
    <definedName name="МЗП" localSheetId="10">#REF!</definedName>
    <definedName name="МЗП" localSheetId="9">#REF!</definedName>
    <definedName name="МЗП" localSheetId="8">#REF!</definedName>
    <definedName name="МЗП" localSheetId="12">#REF!</definedName>
    <definedName name="МЗП" localSheetId="11">#REF!</definedName>
    <definedName name="МЗП">Параметры!$B$4</definedName>
    <definedName name="МРП" localSheetId="7">#REF!</definedName>
    <definedName name="МРП" localSheetId="10">#REF!</definedName>
    <definedName name="МРП" localSheetId="9">#REF!</definedName>
    <definedName name="МРП" localSheetId="8">#REF!</definedName>
    <definedName name="МРП" localSheetId="12">#REF!</definedName>
    <definedName name="МРП" localSheetId="11">#REF!</definedName>
    <definedName name="МРП">Параметры!$B$5</definedName>
    <definedName name="НДС" localSheetId="7">#REF!</definedName>
    <definedName name="НДС" localSheetId="10">#REF!</definedName>
    <definedName name="НДС" localSheetId="9">#REF!</definedName>
    <definedName name="НДС" localSheetId="8">#REF!</definedName>
    <definedName name="НДС" localSheetId="12">#REF!</definedName>
    <definedName name="НДС" localSheetId="11">#REF!</definedName>
    <definedName name="НДС">Параметры!$B$35</definedName>
    <definedName name="Ночей_межд" localSheetId="7">#REF!</definedName>
    <definedName name="Ночей_межд" localSheetId="10">#REF!</definedName>
    <definedName name="Ночей_межд" localSheetId="9">#REF!</definedName>
    <definedName name="Ночей_межд" localSheetId="8">#REF!</definedName>
    <definedName name="Ночей_межд" localSheetId="12">#REF!</definedName>
    <definedName name="Ночей_межд" localSheetId="11">#REF!</definedName>
    <definedName name="Ночей_межд">Параметры!$B$29</definedName>
    <definedName name="Ночей_РК" localSheetId="7">#REF!</definedName>
    <definedName name="Ночей_РК" localSheetId="10">#REF!</definedName>
    <definedName name="Ночей_РК" localSheetId="9">#REF!</definedName>
    <definedName name="Ночей_РК" localSheetId="8">#REF!</definedName>
    <definedName name="Ночей_РК" localSheetId="12">#REF!</definedName>
    <definedName name="Ночей_РК" localSheetId="11">#REF!</definedName>
    <definedName name="Ночей_РК">Параметры!$B$22</definedName>
    <definedName name="ОСНС" localSheetId="7">#REF!</definedName>
    <definedName name="ОСНС" localSheetId="10">#REF!</definedName>
    <definedName name="ОСНС" localSheetId="9">#REF!</definedName>
    <definedName name="ОСНС" localSheetId="8">#REF!</definedName>
    <definedName name="ОСНС" localSheetId="12">#REF!</definedName>
    <definedName name="ОСНС" localSheetId="11">#REF!</definedName>
    <definedName name="ОСНС">Параметры!$B$14</definedName>
    <definedName name="ОСНС_полис" localSheetId="7">#REF!</definedName>
    <definedName name="ОСНС_полис" localSheetId="10">#REF!</definedName>
    <definedName name="ОСНС_полис" localSheetId="9">#REF!</definedName>
    <definedName name="ОСНС_полис" localSheetId="8">#REF!</definedName>
    <definedName name="ОСНС_полис" localSheetId="12">#REF!</definedName>
    <definedName name="ОСНС_полис" localSheetId="11">#REF!</definedName>
    <definedName name="ОСНС_полис">Параметры!$B$15</definedName>
    <definedName name="Отель_межд" localSheetId="7">#REF!</definedName>
    <definedName name="Отель_межд" localSheetId="10">#REF!</definedName>
    <definedName name="Отель_межд" localSheetId="9">#REF!</definedName>
    <definedName name="Отель_межд" localSheetId="8">#REF!</definedName>
    <definedName name="Отель_межд" localSheetId="12">#REF!</definedName>
    <definedName name="Отель_межд" localSheetId="11">#REF!</definedName>
    <definedName name="Отель_межд">Параметры!$B$26</definedName>
    <definedName name="Отель_РК" localSheetId="7">#REF!</definedName>
    <definedName name="Отель_РК" localSheetId="10">#REF!</definedName>
    <definedName name="Отель_РК" localSheetId="9">#REF!</definedName>
    <definedName name="Отель_РК" localSheetId="8">#REF!</definedName>
    <definedName name="Отель_РК" localSheetId="12">#REF!</definedName>
    <definedName name="Отель_РК" localSheetId="11">#REF!</definedName>
    <definedName name="Отель_РК">Параметры!$B$19</definedName>
    <definedName name="Парковка_мест" localSheetId="7">#REF!</definedName>
    <definedName name="Парковка_мест" localSheetId="10">#REF!</definedName>
    <definedName name="Парковка_мест" localSheetId="9">#REF!</definedName>
    <definedName name="Парковка_мест" localSheetId="8">#REF!</definedName>
    <definedName name="Парковка_мест" localSheetId="12">#REF!</definedName>
    <definedName name="Парковка_мест" localSheetId="11">#REF!</definedName>
    <definedName name="Парковка_мест">Параметры!$B$45</definedName>
    <definedName name="Парковка_цена" localSheetId="7">#REF!</definedName>
    <definedName name="Парковка_цена" localSheetId="10">#REF!</definedName>
    <definedName name="Парковка_цена" localSheetId="9">#REF!</definedName>
    <definedName name="Парковка_цена" localSheetId="8">#REF!</definedName>
    <definedName name="Парковка_цена" localSheetId="12">#REF!</definedName>
    <definedName name="Парковка_цена" localSheetId="11">#REF!</definedName>
    <definedName name="Парковка_цена">Параметры!$B$46</definedName>
    <definedName name="Площадь_офиса" localSheetId="7">#REF!</definedName>
    <definedName name="Площадь_офиса" localSheetId="10">#REF!</definedName>
    <definedName name="Площадь_офиса" localSheetId="9">#REF!</definedName>
    <definedName name="Площадь_офиса" localSheetId="8">#REF!</definedName>
    <definedName name="Площадь_офиса" localSheetId="12">#REF!</definedName>
    <definedName name="Площадь_офиса" localSheetId="11">#REF!</definedName>
    <definedName name="Площадь_офиса">Параметры!$B$42</definedName>
    <definedName name="Поездка_межд" localSheetId="7">#REF!</definedName>
    <definedName name="Поездка_межд" localSheetId="10">#REF!</definedName>
    <definedName name="Поездка_межд" localSheetId="9">#REF!</definedName>
    <definedName name="Поездка_межд" localSheetId="8">#REF!</definedName>
    <definedName name="Поездка_межд" localSheetId="12">#REF!</definedName>
    <definedName name="Поездка_межд" localSheetId="11">#REF!</definedName>
    <definedName name="Поездка_межд">Параметры!$B$31</definedName>
    <definedName name="Поездка_местн" localSheetId="7">#REF!</definedName>
    <definedName name="Поездка_местн" localSheetId="10">#REF!</definedName>
    <definedName name="Поездка_местн" localSheetId="9">#REF!</definedName>
    <definedName name="Поездка_местн" localSheetId="8">#REF!</definedName>
    <definedName name="Поездка_местн" localSheetId="12">#REF!</definedName>
    <definedName name="Поездка_местн" localSheetId="11">#REF!</definedName>
    <definedName name="Поездка_местн">Параметры!$B$24</definedName>
    <definedName name="Поездка_РК" localSheetId="7">#REF!</definedName>
    <definedName name="Поездка_РК" localSheetId="10">#REF!</definedName>
    <definedName name="Поездка_РК" localSheetId="9">#REF!</definedName>
    <definedName name="Поездка_РК" localSheetId="8">#REF!</definedName>
    <definedName name="Поездка_РК" localSheetId="12">#REF!</definedName>
    <definedName name="Поездка_РК" localSheetId="11">#REF!</definedName>
    <definedName name="Поездка_РК">Параметры!$B$23</definedName>
    <definedName name="Резерв" localSheetId="7">#REF!</definedName>
    <definedName name="Резерв" localSheetId="10">#REF!</definedName>
    <definedName name="Резерв" localSheetId="9">#REF!</definedName>
    <definedName name="Резерв" localSheetId="8">#REF!</definedName>
    <definedName name="Резерв" localSheetId="12">#REF!</definedName>
    <definedName name="Резерв" localSheetId="11">#REF!</definedName>
    <definedName name="Резерв">Параметры!$B$34</definedName>
    <definedName name="Сборка_мебели_проц" localSheetId="7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8">#REF!</definedName>
    <definedName name="Сборка_мебели_проц" localSheetId="12">#REF!</definedName>
    <definedName name="Сборка_мебели_проц" localSheetId="11">#REF!</definedName>
    <definedName name="Сборка_мебели_проц">Параметры!$B$51</definedName>
    <definedName name="Ставка_аренды_м2" localSheetId="7">#REF!</definedName>
    <definedName name="Ставка_аренды_м2" localSheetId="10">#REF!</definedName>
    <definedName name="Ставка_аренды_м2" localSheetId="9">#REF!</definedName>
    <definedName name="Ставка_аренды_м2" localSheetId="8">#REF!</definedName>
    <definedName name="Ставка_аренды_м2" localSheetId="12">#REF!</definedName>
    <definedName name="Ставка_аренды_м2" localSheetId="11">#REF!</definedName>
    <definedName name="Ставка_аренды_м2">Параметры!$B$43</definedName>
    <definedName name="Ставка_ВОСМС" localSheetId="7">#REF!</definedName>
    <definedName name="Ставка_ВОСМС" localSheetId="10">#REF!</definedName>
    <definedName name="Ставка_ВОСМС" localSheetId="9">#REF!</definedName>
    <definedName name="Ставка_ВОСМС" localSheetId="8">#REF!</definedName>
    <definedName name="Ставка_ВОСМС" localSheetId="12">#REF!</definedName>
    <definedName name="Ставка_ВОСМС" localSheetId="11">#REF!</definedName>
    <definedName name="Ставка_ВОСМС">Параметры!$B$13</definedName>
    <definedName name="Ставка_ООСМС" localSheetId="7">#REF!</definedName>
    <definedName name="Ставка_ООСМС" localSheetId="10">#REF!</definedName>
    <definedName name="Ставка_ООСМС" localSheetId="9">#REF!</definedName>
    <definedName name="Ставка_ООСМС" localSheetId="8">#REF!</definedName>
    <definedName name="Ставка_ООСМС" localSheetId="12">#REF!</definedName>
    <definedName name="Ставка_ООСМС" localSheetId="11">#REF!</definedName>
    <definedName name="Ставка_ООСМС">Параметры!$B$10</definedName>
    <definedName name="Ставка_ОПВ" localSheetId="7">#REF!</definedName>
    <definedName name="Ставка_ОПВ" localSheetId="10">#REF!</definedName>
    <definedName name="Ставка_ОПВ" localSheetId="9">#REF!</definedName>
    <definedName name="Ставка_ОПВ" localSheetId="8">#REF!</definedName>
    <definedName name="Ставка_ОПВ" localSheetId="12">#REF!</definedName>
    <definedName name="Ставка_ОПВ" localSheetId="11">#REF!</definedName>
    <definedName name="Ставка_ОПВ">Параметры!$B$12</definedName>
    <definedName name="Ставка_ОПВР" localSheetId="7">#REF!</definedName>
    <definedName name="Ставка_ОПВР" localSheetId="10">#REF!</definedName>
    <definedName name="Ставка_ОПВР" localSheetId="9">#REF!</definedName>
    <definedName name="Ставка_ОПВР" localSheetId="8">#REF!</definedName>
    <definedName name="Ставка_ОПВР" localSheetId="12">#REF!</definedName>
    <definedName name="Ставка_ОПВР" localSheetId="11">#REF!</definedName>
    <definedName name="Ставка_ОПВР">Параметры!$B$7</definedName>
    <definedName name="Ставка_СН" localSheetId="7">#REF!</definedName>
    <definedName name="Ставка_СН" localSheetId="10">#REF!</definedName>
    <definedName name="Ставка_СН" localSheetId="9">#REF!</definedName>
    <definedName name="Ставка_СН" localSheetId="8">#REF!</definedName>
    <definedName name="Ставка_СН" localSheetId="12">#REF!</definedName>
    <definedName name="Ставка_СН" localSheetId="11">#REF!</definedName>
    <definedName name="Ставка_СН">Параметры!$B$6</definedName>
    <definedName name="Ставка_СО" localSheetId="7">#REF!</definedName>
    <definedName name="Ставка_СО" localSheetId="10">#REF!</definedName>
    <definedName name="Ставка_СО" localSheetId="9">#REF!</definedName>
    <definedName name="Ставка_СО" localSheetId="8">#REF!</definedName>
    <definedName name="Ставка_СО" localSheetId="12">#REF!</definedName>
    <definedName name="Ставка_СО" localSheetId="11">#REF!</definedName>
    <definedName name="Ставка_СО">Параметры!$B$8</definedName>
    <definedName name="Страх_межд" localSheetId="7">#REF!</definedName>
    <definedName name="Страх_межд" localSheetId="10">#REF!</definedName>
    <definedName name="Страх_межд" localSheetId="9">#REF!</definedName>
    <definedName name="Страх_межд" localSheetId="8">#REF!</definedName>
    <definedName name="Страх_межд" localSheetId="12">#REF!</definedName>
    <definedName name="Страх_межд" localSheetId="11">#REF!</definedName>
    <definedName name="Страх_межд">Параметры!$B$30</definedName>
    <definedName name="Сут_межд" localSheetId="7">#REF!</definedName>
    <definedName name="Сут_межд" localSheetId="10">#REF!</definedName>
    <definedName name="Сут_межд" localSheetId="9">#REF!</definedName>
    <definedName name="Сут_межд" localSheetId="8">#REF!</definedName>
    <definedName name="Сут_межд" localSheetId="12">#REF!</definedName>
    <definedName name="Сут_межд" localSheetId="11">#REF!</definedName>
    <definedName name="Сут_межд">Параметры!$B$27</definedName>
    <definedName name="Сут_РК" localSheetId="7">#REF!</definedName>
    <definedName name="Сут_РК" localSheetId="10">#REF!</definedName>
    <definedName name="Сут_РК" localSheetId="9">#REF!</definedName>
    <definedName name="Сут_РК" localSheetId="8">#REF!</definedName>
    <definedName name="Сут_РК" localSheetId="12">#REF!</definedName>
    <definedName name="Сут_РК" localSheetId="11">#REF!</definedName>
    <definedName name="Сут_РК">Параметры!$B$17</definedName>
    <definedName name="Трансп_РК" localSheetId="7">#REF!</definedName>
    <definedName name="Трансп_РК" localSheetId="10">#REF!</definedName>
    <definedName name="Трансп_РК" localSheetId="9">#REF!</definedName>
    <definedName name="Трансп_РК" localSheetId="8">#REF!</definedName>
    <definedName name="Трансп_РК" localSheetId="12">#REF!</definedName>
    <definedName name="Трансп_РК" localSheetId="11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4" i="5" l="1"/>
  <c r="I24" i="5" s="1"/>
  <c r="E18" i="5"/>
  <c r="I18" i="5" s="1"/>
  <c r="E17" i="5"/>
  <c r="I17" i="5" s="1"/>
  <c r="E16" i="5" l="1"/>
  <c r="I16" i="5" s="1"/>
  <c r="E14" i="5" l="1"/>
  <c r="I14" i="5" s="1"/>
  <c r="E13" i="5"/>
  <c r="I13" i="5" s="1"/>
  <c r="E15" i="5" l="1"/>
  <c r="I15" i="5" s="1"/>
  <c r="E12" i="5"/>
  <c r="E11" i="5" l="1"/>
  <c r="I11" i="5" s="1"/>
  <c r="E10" i="5" l="1"/>
  <c r="I10" i="5" s="1"/>
  <c r="E47" i="5" l="1"/>
  <c r="E9" i="5"/>
  <c r="E8" i="5"/>
  <c r="E23" i="5" s="1"/>
  <c r="I9" i="5" l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F4" i="13" l="1"/>
  <c r="F15" i="11"/>
  <c r="G6" i="8" s="1"/>
  <c r="F4" i="12"/>
  <c r="F8" i="14"/>
  <c r="G9" i="8" s="1"/>
  <c r="E49" i="5"/>
  <c r="I49" i="5" s="1"/>
  <c r="E48" i="5"/>
  <c r="I48" i="5" s="1"/>
  <c r="I47" i="5"/>
  <c r="G13" i="8" l="1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N9" i="3" l="1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0" i="7" l="1"/>
  <c r="E60" i="5" s="1"/>
  <c r="I60" i="5" s="1"/>
  <c r="B4" i="1"/>
  <c r="E46" i="5" l="1"/>
  <c r="I46" i="5" s="1"/>
  <c r="E40" i="5" l="1"/>
  <c r="E39" i="5"/>
  <c r="E38" i="5" l="1"/>
  <c r="I3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G5" i="9"/>
  <c r="F11" i="9" l="1"/>
  <c r="G4" i="9"/>
  <c r="B18" i="1"/>
  <c r="G11" i="9" l="1"/>
  <c r="C11" i="4"/>
  <c r="C10" i="4"/>
  <c r="C7" i="4"/>
  <c r="A7" i="4"/>
  <c r="C6" i="4"/>
  <c r="A6" i="4"/>
  <c r="C5" i="4"/>
  <c r="A5" i="4"/>
  <c r="H38" i="3" l="1"/>
  <c r="G38" i="3"/>
  <c r="B5" i="1" s="1"/>
  <c r="E37" i="5" l="1"/>
  <c r="I37" i="5" s="1"/>
  <c r="E36" i="5"/>
  <c r="I36" i="5" s="1"/>
  <c r="E34" i="5"/>
  <c r="I40" i="5" l="1"/>
  <c r="E35" i="5" l="1"/>
  <c r="I35" i="5" s="1"/>
  <c r="I34" i="5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I9" i="9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3" i="5"/>
  <c r="I33" i="5" s="1"/>
  <c r="E32" i="5"/>
  <c r="I32" i="5" s="1"/>
  <c r="E31" i="5"/>
  <c r="I31" i="5" s="1"/>
  <c r="E30" i="5"/>
  <c r="I30" i="5" s="1"/>
  <c r="F9" i="4" l="1"/>
  <c r="F8" i="4"/>
  <c r="M9" i="3"/>
  <c r="O9" i="3" s="1"/>
  <c r="J11" i="9"/>
  <c r="B7" i="1" s="1"/>
  <c r="M20" i="3"/>
  <c r="M13" i="3"/>
  <c r="O13" i="3" s="1"/>
  <c r="M25" i="3"/>
  <c r="O25" i="3" s="1"/>
  <c r="I22" i="5"/>
  <c r="O20" i="3" l="1"/>
  <c r="B32" i="2"/>
  <c r="I23" i="5" l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29" i="5"/>
  <c r="I28" i="5"/>
  <c r="I27" i="5"/>
  <c r="B48" i="2"/>
  <c r="F11" i="7" l="1"/>
  <c r="E59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0" i="5"/>
  <c r="I69" i="5"/>
  <c r="I68" i="5"/>
  <c r="I67" i="5"/>
  <c r="I65" i="5"/>
  <c r="I64" i="5"/>
  <c r="I63" i="5"/>
  <c r="I62" i="5"/>
  <c r="I61" i="5"/>
  <c r="I58" i="5"/>
  <c r="I57" i="5"/>
  <c r="I56" i="5"/>
  <c r="I55" i="5"/>
  <c r="E54" i="5"/>
  <c r="I54" i="5" s="1"/>
  <c r="E53" i="5"/>
  <c r="I52" i="5"/>
  <c r="I51" i="5"/>
  <c r="I50" i="5"/>
  <c r="I45" i="5"/>
  <c r="I43" i="5"/>
  <c r="I42" i="5"/>
  <c r="I41" i="5"/>
  <c r="I39" i="5"/>
  <c r="I26" i="5"/>
  <c r="I25" i="5"/>
  <c r="I21" i="5"/>
  <c r="I20" i="5"/>
  <c r="I19" i="5"/>
  <c r="I12" i="5"/>
  <c r="I8" i="5"/>
  <c r="I7" i="5"/>
  <c r="I6" i="5"/>
  <c r="I5" i="5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G8" i="4" l="1"/>
  <c r="G9" i="4"/>
  <c r="B12" i="1"/>
  <c r="B13" i="1"/>
  <c r="G6" i="4"/>
  <c r="G5" i="4"/>
  <c r="G10" i="4"/>
  <c r="G11" i="4"/>
  <c r="G7" i="4"/>
  <c r="I53" i="5"/>
  <c r="I59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11" i="1" l="1"/>
  <c r="M7" i="3"/>
  <c r="O7" i="3" s="1"/>
  <c r="M6" i="3"/>
  <c r="O6" i="3" s="1"/>
  <c r="N37" i="3"/>
  <c r="B8" i="1" s="1"/>
  <c r="G24" i="6"/>
  <c r="E44" i="5" s="1"/>
  <c r="I44" i="5" s="1"/>
  <c r="B10" i="1" s="1"/>
  <c r="M15" i="3"/>
  <c r="O15" i="3" s="1"/>
  <c r="M24" i="3"/>
  <c r="O24" i="3" s="1"/>
  <c r="G12" i="4"/>
  <c r="B9" i="1" s="1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O5" i="3" l="1"/>
  <c r="B6" i="1"/>
  <c r="B14" i="1" s="1"/>
  <c r="B15" i="1" s="1"/>
  <c r="M37" i="3"/>
  <c r="B16" i="1" l="1"/>
  <c r="B17" i="1" s="1"/>
  <c r="B19" i="1" s="1"/>
  <c r="O37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<sst xmlns="http://schemas.openxmlformats.org/spreadsheetml/2006/main" count="963" uniqueCount="508">
  <si>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</si>
  <si>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</si>
  <si>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</si>
  <si>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</si>
  <si>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</si>
  <si>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</si>
  <si>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</si>
  <si>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</si>
  <si>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</si>
  <si>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</si>
  <si>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</si>
  <si>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</si>
  <si>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</si>
  <si>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</si>
  <si>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</si>
  <si>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</si>
  <si>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</si>
  <si>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</si>
  <si>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</si>
  <si>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</si>
  <si>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</si>
  <si>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</si>
  <si>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</si>
  <si>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</si>
  <si>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</si>
  <si>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</si>
  <si>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</si>
  <si>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</si>
  <si>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</si>
  <si>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</si>
  <si>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</si>
  <si>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</si>
  <si>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</si>
  <si>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</si>
  <si>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</si>
  <si>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</si>
  <si>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</si>
  <si>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</si>
  <si>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</si>
  <si>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</si>
  <si>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</si>
  <si>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</si>
  <si>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</si>
  <si>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</si>
  <si>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</si>
  <si>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</si>
  <si>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</si>
  <si>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</si>
  <si>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</si>
  <si>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</si>
  <si>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</si>
  <si>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</si>
  <si>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</si>
  <si>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</si>
  <si>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</si>
  <si>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</si>
  <si>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</si>
  <si>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</si>
  <si>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</si>
  <si>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</si>
  <si>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</si>
  <si>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</si>
  <si>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</si>
  <si>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</si>
  <si>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</si>
  <si>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</si>
  <si>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</si>
  <si>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</si>
  <si>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</si>
  <si>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</si>
  <si>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</si>
  <si>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</si>
  <si>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</si>
  <si>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</si>
  <si>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</si>
  <si>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</si>
  <si>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</si>
  <si>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</si>
  <si>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</si>
  <si>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</si>
  <si>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</si>
  <si>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</si>
  <si>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</si>
  <si>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</si>
  <si>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</si>
  <si>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</si>
  <si>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</si>
  <si>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</si>
  <si>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</si>
  <si>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</si>
  <si>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</si>
  <si>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</si>
  <si>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</si>
  <si>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</si>
  <si>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</si>
  <si>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</si>
  <si>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</si>
  <si>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</si>
  <si>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</si>
  <si>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</si>
  <si>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</si>
  <si>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</si>
  <si>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</si>
  <si>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</si>
  <si>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</si>
  <si>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</si>
  <si>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</si>
  <si>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</si>
  <si>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</si>
  <si>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</si>
  <si>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</si>
  <si>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</si>
  <si>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</si>
  <si>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</si>
  <si>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</si>
  <si>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</si>
  <si>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</si>
  <si>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</si>
  <si>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</si>
  <si>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</si>
  <si>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</si>
  <si>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</si>
  <si>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</si>
  <si>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</si>
  <si>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</si>
  <si>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</si>
  <si>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</si>
  <si>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</si>
  <si>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</si>
  <si>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</si>
  <si>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</si>
  <si>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</si>
  <si>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</si>
  <si>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</si>
  <si>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</si>
  <si>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</si>
  <si>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</si>
  <si>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</si>
  <si>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</si>
  <si>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</si>
  <si>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</si>
  <si>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</si>
  <si>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</si>
  <si>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</si>
  <si>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</si>
  <si>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</si>
  <si>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</si>
  <si>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</si>
  <si>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</si>
  <si>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</si>
  <si>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</si>
  <si>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</si>
  <si>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</si>
  <si>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</si>
  <si>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</si>
  <si>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</si>
  <si>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</si>
  <si>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</si>
  <si>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</si>
  <si>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</si>
  <si>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</si>
  <si>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</si>
  <si>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</si>
  <si>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</si>
  <si>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</si>
  <si>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</si>
  <si>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</si>
  <si>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</si>
  <si>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</si>
  <si>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</si>
  <si>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</si>
  <si>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</si>
  <si>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</si>
  <si>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</si>
  <si>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</si>
  <si>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</si>
  <si>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</si>
  <si>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</si>
  <si>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</si>
  <si>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</si>
  <si>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</si>
  <si>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</si>
  <si>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</si>
  <si>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</si>
  <si>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</si>
  <si>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</si>
  <si>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</si>
  <si>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</si>
  <si>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</si>
  <si>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</si>
  <si>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</si>
  <si>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</si>
  <si>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</si>
  <si>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</si>
  <si>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</si>
  <si>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</si>
  <si>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</si>
  <si>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</si>
  <si>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</si>
  <si>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</si>
  <si>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</si>
  <si>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</si>
  <si>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</si>
  <si>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</si>
  <si>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</si>
  <si>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</si>
  <si>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</si>
  <si>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</si>
  <si>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</si>
  <si>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</si>
  <si>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</si>
  <si>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</si>
  <si>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</si>
  <si>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</si>
  <si>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</si>
  <si>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</si>
  <si>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</si>
  <si>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</si>
  <si>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</si>
  <si>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</si>
  <si>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</si>
  <si>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</si>
  <si>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</si>
  <si>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</si>
  <si>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</si>
  <si>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</si>
  <si>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</si>
  <si>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</si>
  <si>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</si>
  <si>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</si>
  <si>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</si>
  <si>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</si>
  <si>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</si>
  <si>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</si>
  <si>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</si>
  <si>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</si>
  <si>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</si>
  <si>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</si>
  <si>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</si>
  <si>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</si>
  <si>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</si>
  <si>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</si>
  <si>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</si>
  <si>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</si>
  <si>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</si>
  <si>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</si>
  <si>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</si>
  <si>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</si>
  <si>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</si>
  <si>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</si>
  <si>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</si>
  <si>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</si>
  <si>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</si>
  <si>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</si>
  <si>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</si>
  <si>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</si>
  <si>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</si>
  <si>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</si>
  <si>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</si>
  <si>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</si>
  <si>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</si>
  <si>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</si>
  <si>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</si>
  <si>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</si>
  <si>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</si>
  <si>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</si>
  <si>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</si>
  <si>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</si>
  <si>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</si>
  <si>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</si>
  <si>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</si>
  <si>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</si>
  <si>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</si>
  <si>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</si>
  <si>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</si>
  <si>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</si>
  <si>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</si>
  <si>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</si>
  <si>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</si>
  <si>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</si>
  <si>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</si>
  <si>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</si>
  <si>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</si>
  <si>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</si>
  <si>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</si>
  <si>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</si>
  <si>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</si>
  <si>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</si>
  <si>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</si>
  <si>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</si>
  <si>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</si>
  <si>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</si>
  <si>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</si>
  <si>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</si>
  <si>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</si>
  <si>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</si>
  <si>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</si>
  <si>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</si>
  <si>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</si>
  <si>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</si>
  <si>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</si>
  <si>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</si>
  <si>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</si>
  <si>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</si>
  <si>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</si>
  <si>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</si>
  <si>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</si>
  <si>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</si>
  <si>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</si>
  <si>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</si>
  <si>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</si>
  <si>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</si>
  <si>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</si>
  <si>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</si>
  <si>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</si>
  <si>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</si>
  <si>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</si>
  <si>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</si>
  <si>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</si>
  <si>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</si>
  <si>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</si>
  <si>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</si>
  <si>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</si>
  <si>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</si>
  <si>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</si>
  <si>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</si>
  <si>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</si>
  <si>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</si>
  <si>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</si>
  <si>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</si>
  <si>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</si>
  <si>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</si>
  <si>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</si>
  <si>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</si>
  <si>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</si>
  <si>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</si>
  <si>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</si>
  <si>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</si>
  <si>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</si>
  <si>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</si>
  <si>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</si>
  <si>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</si>
  <si>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</si>
  <si>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</si>
  <si>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</si>
  <si>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</si>
  <si>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</si>
  <si>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</si>
  <si>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</si>
  <si>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</si>
  <si>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</si>
  <si>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</si>
  <si>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</si>
  <si>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</si>
  <si>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</si>
  <si>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</si>
  <si>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</si>
  <si>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</si>
  <si>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</si>
  <si>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</si>
  <si>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</si>
  <si>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</si>
  <si>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</si>
  <si>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</si>
  <si>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</si>
  <si>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</si>
  <si>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</si>
  <si>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</si>
  <si>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</si>
  <si>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</si>
  <si>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</si>
  <si>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</si>
  <si>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</si>
  <si>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</si>
  <si>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</si>
  <si>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</si>
  <si>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</si>
  <si>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</si>
  <si>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</si>
  <si>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</si>
  <si>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</si>
  <si>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</si>
  <si>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</si>
  <si>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</si>
  <si>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</si>
  <si>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</si>
  <si>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</si>
  <si>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</si>
  <si>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</si>
  <si>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</si>
  <si>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</si>
  <si>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</si>
  <si>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</si>
  <si>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</si>
  <si>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</si>
  <si>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</si>
  <si>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</si>
  <si>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</si>
  <si>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</si>
  <si>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</si>
  <si>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</si>
  <si>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</si>
  <si>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</si>
  <si>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Жалюзи вертикальные тканевые (зона 710)</t>
  </si>
  <si>
    <t>Дополнение № 1, поз. 82: 1 комплект на окна зоны 710 с установкой – 428 736 ₸ с НДС; в бюджете без НДС (÷1,16)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</si>
  <si>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</si>
  <si>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</si>
  <si>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</si>
  <si>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</si>
  <si>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</si>
  <si>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</si>
  <si>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</si>
  <si>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</si>
  <si>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</si>
  <si>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</si>
  <si>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</si>
  <si>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</si>
  <si>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</si>
  <si>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</si>
  <si>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</si>
  <si>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</si>
  <si>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</si>
  <si>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</si>
  <si>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</si>
  <si>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</si>
  <si>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</si>
  <si>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</si>
  <si>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</si>
  <si>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</si>
  <si>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</si>
  <si>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</si>
  <si>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</si>
  <si>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</si>
  <si>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</si>
  <si>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</si>
  <si>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</si>
  <si>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</si>
  <si>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</si>
  <si>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</si>
  <si>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</si>
  <si>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</si>
  <si>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</si>
  <si>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</si>
  <si>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</si>
  <si>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</si>
  <si>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</si>
  <si>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</si>
  <si>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</si>
  <si>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</si>
  <si>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</si>
  <si>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</si>
  <si>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</si>
  <si>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</si>
  <si>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</si>
  <si>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</si>
  <si>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</si>
  <si>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</si>
  <si>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</si>
  <si>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</si>
  <si>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</si>
  <si>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</si>
  <si>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</si>
  <si>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</si>
  <si>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</si>
  <si>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</si>
  <si>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</si>
  <si>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</si>
  <si>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</si>
  <si>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</si>
  <si>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Юрист (МФЦА), на руки 700 000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</si>
  <si>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</si>
  <si>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</si>
  <si>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</si>
  <si>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</si>
  <si>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</si>
  <si>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</si>
  <si>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</si>
  <si>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</si>
  <si>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</si>
  <si>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</si>
  <si>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</si>
  <si>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 xml:space="preserve">Шка-картотека офисный для документов и печатей входит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</si>
  <si>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</si>
  <si>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</si>
  <si>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</si>
  <si>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</si>
  <si>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Стул офисный для посетителей (ZETA СМ-6 серый, каркас металл, обивка гобелен, нагрузка 100 кг)</t>
  </si>
  <si>
    <t>Решение 23.10.2026: серый вместо чёрного. Kaspi.kz, продавец ZETA, код товара 100872340 – 7 400 ₸ с НДС, в бюджете без НДС (÷1,16). У «ZETA Астана» со склада в Астане – 7 455 ₸</t>
  </si>
  <si>
    <t>Кресло руководителя (ZETA Гермес, высокая спинка, механизм качания, подлокотники, нагрузка 120 кг)</t>
  </si>
  <si>
    <t>Решение 23.10.2026: заместителю ГИД, финансовому директору, национальному координатору и советнику. Kaspi.kz, код товара 101065129, продавец RUH MARKET – 70 900 ₸ с НДС (+1 995 ₸ доставка), в бюджете без НДС (÷1,16)</t>
  </si>
  <si>
    <t>Кресло Главного исполнительного директора (ZETA мод. 2338, экокожа, высокая спинка, нагрузка 120 кг)</t>
  </si>
  <si>
    <t>Решение 23.10.2026: кресло ГИД. Kaspi.kz, код товара 129848350, продавец ZETA ПОЗИТИВ – 114 460 ₸ с НДС (+1 995 ₸ доставка), в бюджете без НДС (÷1,16). Страна производства – Китай</t>
  </si>
  <si>
    <t>Стол руководителя (ZETA Тейлор, 140×70×75 см, светло-серый)</t>
  </si>
  <si>
    <t>Кабинеты: ГИД, заместитель ГИД, национальный координатор, финансовый директор, советник. Kaspi.kz, код товара 146093286 – 67 576 ₸ с НДС, в бюджете без НДС (÷1,16)</t>
  </si>
  <si>
    <t>Шкаф для документов в кабинет руководителя (ZETA СТЖ 11 / Кул-123, 80×38,5×201 см)</t>
  </si>
  <si>
    <t>Kaspi.kz, код товара 130663491 – 41 990 ₸ с НДС, в бюджете без НДС (÷1,16)</t>
  </si>
  <si>
    <t>Тумба подкатная в кабинет руководителя, 3 ящика</t>
  </si>
  <si>
    <t>ОЦЕНКА: подкатной тумбы ZETA на Kaspi.kz нет, цену запросить у ZETA (zeta.kz, Астана) вместе с остальной мебелью</t>
  </si>
  <si>
    <t>Шкаф-гардероб в кабинет руководителя</t>
  </si>
  <si>
    <t>ОЦЕНКА: офисного шкафа-гардероба ZETA на Kaspi.kz нет, цену запросить у ZETA (zeta.kz, Астана)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</si>
  <si>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</si>
  <si>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</si>
  <si>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</si>
  <si>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Решение 23.10.2026: вариант 2 подборки. Kaspi.kz, код товара 119304315, продавец ZETA – 102 898 ₸ с НДС, в бюджете без НДС (÷1,16). Верхние 200×71,6×29,6, нижние 200×84,6×44,2, столешница 200×60. Мойка и смеситель – отдельной строкой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</si>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</sst>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9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8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tabSelected="1" zoomScaleNormal="100" workbookViewId="0">
      <selection activeCell="D23" sqref="D23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370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339</v>
      </c>
      <c r="B4" s="37">
        <f>SUMIF(Штат!E5:E36,"штат",Штат!G5:G36)</f>
        <v>22</v>
      </c>
    </row>
    <row r="5" spans="1:2" x14ac:dyDescent="0.25">
      <c r="A5" s="36" t="s">
        <v>340</v>
      </c>
      <c r="B5" s="37">
        <f>Штат!G38</f>
        <v>15</v>
      </c>
    </row>
    <row r="6" spans="1:2" x14ac:dyDescent="0.25">
      <c r="A6" s="36" t="s">
        <v>341</v>
      </c>
      <c r="B6" s="38">
        <f>SUMIFS(Штат!M5:M36,Штат!E5:E36,"штат")</f>
        <v>59188510</v>
      </c>
    </row>
    <row r="7" spans="1:2" ht="30" x14ac:dyDescent="0.25">
      <c r="A7" s="36" t="s">
        <v>399</v>
      </c>
      <c r="B7" s="38">
        <f>Аутсорс!J11</f>
        <v>12098200</v>
      </c>
    </row>
    <row r="8" spans="1:2" x14ac:dyDescent="0.25">
      <c r="A8" s="36" t="s">
        <v>368</v>
      </c>
      <c r="B8" s="38">
        <f>Штат!N37</f>
        <v>611142.85714285716</v>
      </c>
    </row>
    <row r="9" spans="1:2" x14ac:dyDescent="0.25">
      <c r="A9" s="36" t="s">
        <v>342</v>
      </c>
      <c r="B9" s="38">
        <f>Командировки!G12</f>
        <v>3799012.5</v>
      </c>
    </row>
    <row r="10" spans="1:2" ht="30" x14ac:dyDescent="0.25">
      <c r="A10" s="36" t="s">
        <v>343</v>
      </c>
      <c r="B10" s="38">
        <f>SUMIFS('Оснащение и офис'!I5:I70,'Оснащение и офис'!A5:A70,"Оснащение")</f>
        <v>14358335.6</v>
      </c>
    </row>
    <row r="11" spans="1:2" ht="30" x14ac:dyDescent="0.25">
      <c r="A11" s="36" t="s">
        <v>358</v>
      </c>
      <c r="B11" s="38">
        <f>SUMIFS('Оснащение и офис'!I5:I70,'Оснащение и офис'!A5:A70,"Офис")</f>
        <v>17053163.496774193</v>
      </c>
    </row>
    <row r="12" spans="1:2" x14ac:dyDescent="0.25">
      <c r="A12" s="36" t="s">
        <v>344</v>
      </c>
      <c r="B12" s="38">
        <f>SUMIFS('Оснащение и офис'!I5:I70,'Оснащение и офис'!A5:A70,"Цифровые")</f>
        <v>463000</v>
      </c>
    </row>
    <row r="13" spans="1:2" x14ac:dyDescent="0.25">
      <c r="A13" s="36" t="s">
        <v>345</v>
      </c>
      <c r="B13" s="38">
        <f>SUMIFS('Оснащение и офис'!I5:I70,'Оснащение и офис'!A5:A70,"Медиа")</f>
        <v>2350000</v>
      </c>
    </row>
    <row r="14" spans="1:2" x14ac:dyDescent="0.25">
      <c r="A14" s="39" t="s">
        <v>346</v>
      </c>
      <c r="B14" s="40">
        <f>B6+B7+B8+B9+B10+B11+B12+B13</f>
        <v>109921364.45391704</v>
      </c>
    </row>
    <row r="15" spans="1:2" ht="30" x14ac:dyDescent="0.25">
      <c r="A15" s="36" t="s">
        <v>369</v>
      </c>
      <c r="B15" s="38">
        <f>B14*Резерв+SUMIFS('Оснащение и офис'!I5:I70,'Оснащение и офис'!A5:A70,"Прочие")</f>
        <v>11042136.445391705</v>
      </c>
    </row>
    <row r="16" spans="1:2" x14ac:dyDescent="0.25">
      <c r="A16" s="36" t="s">
        <v>283</v>
      </c>
      <c r="B16" s="38">
        <f>(B14+B15)*НДС</f>
        <v>19354160.143889397</v>
      </c>
    </row>
    <row r="17" spans="1:2" x14ac:dyDescent="0.25">
      <c r="A17" s="41" t="s">
        <v>347</v>
      </c>
      <c r="B17" s="42">
        <f>B14+B15+B16</f>
        <v>140317661.04319814</v>
      </c>
    </row>
    <row r="18" spans="1:2" x14ac:dyDescent="0.25">
      <c r="A18" s="39" t="s">
        <v>348</v>
      </c>
      <c r="B18" s="40">
        <f>Проекты!G13</f>
        <v>87234320</v>
      </c>
    </row>
    <row r="19" spans="1:2" x14ac:dyDescent="0.25">
      <c r="A19" s="43" t="s">
        <v>349</v>
      </c>
      <c r="B19" s="44">
        <f>B17+B18</f>
        <v>227551981.04319814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366</v>
      </c>
      <c r="B15" s="8">
        <f>ROUND(0.29%*12*SUMIFS(Штат!$H$5:$H$36,Штат!$E$5:$E$36,"штат",Штат!$F$5:$F$36,"новая"),-3)</f>
        <v>713000</v>
      </c>
      <c r="C15" t="s">
        <v>398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311</v>
      </c>
    </row>
    <row r="33" spans="1:3" ht="15" customHeight="1" x14ac:dyDescent="0.25">
      <c r="A33" t="s">
        <v>61</v>
      </c>
      <c r="B33" s="8">
        <v>1</v>
      </c>
      <c r="C33" t="s">
        <v>226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337</v>
      </c>
    </row>
    <row r="38" spans="1:3" ht="15" customHeight="1" x14ac:dyDescent="0.25">
      <c r="A38" t="s">
        <v>338</v>
      </c>
    </row>
    <row r="41" spans="1:3" s="7" customFormat="1" x14ac:dyDescent="0.25">
      <c r="A41" s="7" t="s">
        <v>308</v>
      </c>
    </row>
    <row r="42" spans="1:3" x14ac:dyDescent="0.25">
      <c r="A42" t="s">
        <v>163</v>
      </c>
      <c r="B42" s="13">
        <f>ROUND((52.2+21.4+12.4+33.7+190)*1.1,2)</f>
        <v>340.67</v>
      </c>
      <c r="C42" t="s">
        <v>309</v>
      </c>
    </row>
    <row r="43" spans="1:3" x14ac:dyDescent="0.25">
      <c r="A43" t="s">
        <v>164</v>
      </c>
      <c r="B43" s="5">
        <v>13500</v>
      </c>
      <c r="C43" t="s">
        <v>306</v>
      </c>
    </row>
    <row r="44" spans="1:3" x14ac:dyDescent="0.25">
      <c r="A44" t="s">
        <v>215</v>
      </c>
      <c r="B44" s="5">
        <f>743*309.7</f>
        <v>230107.1</v>
      </c>
      <c r="C44" t="s">
        <v>310</v>
      </c>
    </row>
    <row r="45" spans="1:3" x14ac:dyDescent="0.25">
      <c r="A45" t="s">
        <v>165</v>
      </c>
      <c r="B45" s="5">
        <v>2</v>
      </c>
      <c r="C45" t="s">
        <v>268</v>
      </c>
    </row>
    <row r="46" spans="1:3" x14ac:dyDescent="0.25">
      <c r="A46" t="s">
        <v>166</v>
      </c>
      <c r="B46" s="5">
        <v>40000</v>
      </c>
      <c r="C46" t="s">
        <v>307</v>
      </c>
    </row>
    <row r="47" spans="1:3" x14ac:dyDescent="0.25">
      <c r="A47" t="s">
        <v>167</v>
      </c>
      <c r="B47" s="5">
        <f>Аренда_мес*(1+НДС)</f>
        <v>5694616.4359999988</v>
      </c>
      <c r="C47" t="s">
        <v>168</v>
      </c>
    </row>
    <row r="48" spans="1:3" x14ac:dyDescent="0.25">
      <c r="A48" t="s">
        <v>169</v>
      </c>
      <c r="B48" s="5">
        <f>Аренда_мес*Депозит_мес</f>
        <v>4909152.0999999996</v>
      </c>
      <c r="C48" t="s">
        <v>170</v>
      </c>
    </row>
    <row r="49" spans="1:3" x14ac:dyDescent="0.25">
      <c r="A49" t="s">
        <v>223</v>
      </c>
      <c r="B49" s="15">
        <f>11/31+2</f>
        <v>2.3548387096774195</v>
      </c>
      <c r="C49" t="s">
        <v>224</v>
      </c>
    </row>
    <row r="50" spans="1:3" x14ac:dyDescent="0.25">
      <c r="A50" s="7" t="s">
        <v>216</v>
      </c>
    </row>
    <row r="51" spans="1:3" x14ac:dyDescent="0.25">
      <c r="A51" t="s">
        <v>217</v>
      </c>
      <c r="B51" s="14">
        <v>0.1</v>
      </c>
      <c r="C51" t="s">
        <v>218</v>
      </c>
    </row>
    <row r="52" spans="1:3" x14ac:dyDescent="0.25">
      <c r="A52" t="s">
        <v>225</v>
      </c>
      <c r="B52" s="15">
        <v>2</v>
      </c>
      <c r="C52" t="s">
        <v>401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9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278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324</v>
      </c>
      <c r="J4" s="3" t="s">
        <v>74</v>
      </c>
      <c r="K4" s="3" t="s">
        <v>75</v>
      </c>
      <c r="L4" s="3" t="s">
        <v>402</v>
      </c>
      <c r="M4" s="3" t="s">
        <v>77</v>
      </c>
      <c r="N4" s="3" t="s">
        <v>367</v>
      </c>
      <c r="O4" s="3" t="s">
        <v>78</v>
      </c>
      <c r="P4" s="3" t="s">
        <v>325</v>
      </c>
      <c r="Q4" s="4"/>
    </row>
    <row r="5" spans="1:17" ht="90" x14ac:dyDescent="0.25">
      <c r="A5" s="16">
        <v>1</v>
      </c>
      <c r="B5" s="16" t="s">
        <v>269</v>
      </c>
      <c r="C5" s="17" t="s">
        <v>270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3</v>
      </c>
      <c r="M5" s="18">
        <f t="shared" ref="M5:M36" si="3">K5*L5</f>
        <v>5454690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5454690</v>
      </c>
      <c r="P5" s="17" t="s">
        <v>472</v>
      </c>
    </row>
    <row r="6" spans="1:17" ht="60" x14ac:dyDescent="0.25">
      <c r="A6" s="16">
        <v>2</v>
      </c>
      <c r="B6" s="16" t="s">
        <v>269</v>
      </c>
      <c r="C6" s="17" t="s">
        <v>467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468</v>
      </c>
    </row>
    <row r="7" spans="1:17" ht="90" x14ac:dyDescent="0.25">
      <c r="A7" s="16">
        <v>3</v>
      </c>
      <c r="B7" s="16" t="s">
        <v>269</v>
      </c>
      <c r="C7" s="17" t="s">
        <v>260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372</v>
      </c>
    </row>
    <row r="8" spans="1:17" ht="90" x14ac:dyDescent="0.25">
      <c r="A8" s="16">
        <v>4</v>
      </c>
      <c r="B8" s="16" t="s">
        <v>212</v>
      </c>
      <c r="C8" s="17" t="s">
        <v>374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375</v>
      </c>
    </row>
    <row r="9" spans="1:17" ht="30" x14ac:dyDescent="0.25">
      <c r="A9" s="16">
        <v>6</v>
      </c>
      <c r="B9" s="16" t="s">
        <v>241</v>
      </c>
      <c r="C9" s="17" t="s">
        <v>242</v>
      </c>
      <c r="D9" s="17" t="s">
        <v>271</v>
      </c>
      <c r="E9" s="16" t="s">
        <v>80</v>
      </c>
      <c r="F9" s="16" t="s">
        <v>83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386</v>
      </c>
    </row>
    <row r="10" spans="1:17" ht="60" x14ac:dyDescent="0.25">
      <c r="A10" s="16">
        <v>6</v>
      </c>
      <c r="B10" s="16" t="s">
        <v>241</v>
      </c>
      <c r="C10" s="17" t="s">
        <v>387</v>
      </c>
      <c r="D10" s="17" t="s">
        <v>244</v>
      </c>
      <c r="E10" s="16" t="s">
        <v>80</v>
      </c>
      <c r="F10" s="16" t="s">
        <v>83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388</v>
      </c>
    </row>
    <row r="11" spans="1:17" ht="30" x14ac:dyDescent="0.25">
      <c r="A11" s="20">
        <v>6</v>
      </c>
      <c r="B11" s="20" t="s">
        <v>241</v>
      </c>
      <c r="C11" s="21" t="s">
        <v>389</v>
      </c>
      <c r="D11" s="21" t="s">
        <v>244</v>
      </c>
      <c r="E11" s="20" t="s">
        <v>250</v>
      </c>
      <c r="F11" s="20" t="s">
        <v>83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390</v>
      </c>
    </row>
    <row r="12" spans="1:17" ht="30" x14ac:dyDescent="0.25">
      <c r="A12" s="16">
        <v>6</v>
      </c>
      <c r="B12" s="16" t="s">
        <v>241</v>
      </c>
      <c r="C12" s="17" t="s">
        <v>243</v>
      </c>
      <c r="D12" s="17" t="s">
        <v>244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329</v>
      </c>
    </row>
    <row r="13" spans="1:17" ht="30" x14ac:dyDescent="0.25">
      <c r="A13" s="16">
        <v>14</v>
      </c>
      <c r="B13" s="16" t="s">
        <v>245</v>
      </c>
      <c r="C13" s="17" t="s">
        <v>272</v>
      </c>
      <c r="D13" s="17" t="s">
        <v>247</v>
      </c>
      <c r="E13" s="16" t="s">
        <v>80</v>
      </c>
      <c r="F13" s="16" t="s">
        <v>83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273</v>
      </c>
    </row>
    <row r="14" spans="1:17" ht="60" x14ac:dyDescent="0.25">
      <c r="A14" s="16">
        <v>15</v>
      </c>
      <c r="B14" s="16" t="s">
        <v>245</v>
      </c>
      <c r="C14" s="17" t="s">
        <v>246</v>
      </c>
      <c r="D14" s="17" t="s">
        <v>247</v>
      </c>
      <c r="E14" s="16" t="s">
        <v>80</v>
      </c>
      <c r="F14" s="16" t="s">
        <v>83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376</v>
      </c>
    </row>
    <row r="15" spans="1:17" ht="75" x14ac:dyDescent="0.25">
      <c r="A15" s="16">
        <v>17</v>
      </c>
      <c r="B15" s="16" t="s">
        <v>245</v>
      </c>
      <c r="C15" s="17" t="s">
        <v>246</v>
      </c>
      <c r="D15" s="17" t="s">
        <v>247</v>
      </c>
      <c r="E15" s="16" t="s">
        <v>80</v>
      </c>
      <c r="F15" s="16" t="s">
        <v>83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377</v>
      </c>
    </row>
    <row r="16" spans="1:17" ht="60" x14ac:dyDescent="0.25">
      <c r="A16" s="16">
        <v>18</v>
      </c>
      <c r="B16" s="16" t="s">
        <v>245</v>
      </c>
      <c r="C16" s="17" t="s">
        <v>248</v>
      </c>
      <c r="D16" s="17" t="s">
        <v>247</v>
      </c>
      <c r="E16" s="16" t="s">
        <v>80</v>
      </c>
      <c r="F16" s="16" t="s">
        <v>83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378</v>
      </c>
    </row>
    <row r="17" spans="1:16" ht="30" x14ac:dyDescent="0.25">
      <c r="A17" s="16">
        <v>19</v>
      </c>
      <c r="B17" s="16" t="s">
        <v>245</v>
      </c>
      <c r="C17" s="17" t="s">
        <v>246</v>
      </c>
      <c r="D17" s="17" t="s">
        <v>247</v>
      </c>
      <c r="E17" s="16" t="s">
        <v>80</v>
      </c>
      <c r="F17" s="16" t="s">
        <v>83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477</v>
      </c>
    </row>
    <row r="18" spans="1:16" ht="30" x14ac:dyDescent="0.25">
      <c r="A18" s="16">
        <v>19</v>
      </c>
      <c r="B18" s="16" t="s">
        <v>245</v>
      </c>
      <c r="C18" s="17" t="s">
        <v>248</v>
      </c>
      <c r="D18" s="17" t="s">
        <v>247</v>
      </c>
      <c r="E18" s="16" t="s">
        <v>80</v>
      </c>
      <c r="F18" s="16" t="s">
        <v>83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478</v>
      </c>
    </row>
    <row r="19" spans="1:16" ht="30" x14ac:dyDescent="0.25">
      <c r="A19" s="16">
        <v>19</v>
      </c>
      <c r="B19" s="16" t="s">
        <v>245</v>
      </c>
      <c r="C19" s="17" t="s">
        <v>248</v>
      </c>
      <c r="D19" s="17" t="s">
        <v>247</v>
      </c>
      <c r="E19" s="16" t="s">
        <v>80</v>
      </c>
      <c r="F19" s="16" t="s">
        <v>83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385</v>
      </c>
    </row>
    <row r="20" spans="1:16" ht="75" x14ac:dyDescent="0.25">
      <c r="A20" s="16">
        <v>23</v>
      </c>
      <c r="B20" s="16" t="s">
        <v>249</v>
      </c>
      <c r="C20" s="17" t="s">
        <v>242</v>
      </c>
      <c r="D20" s="17" t="s">
        <v>271</v>
      </c>
      <c r="E20" s="16" t="s">
        <v>80</v>
      </c>
      <c r="F20" s="16" t="s">
        <v>83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379</v>
      </c>
    </row>
    <row r="21" spans="1:16" ht="30" x14ac:dyDescent="0.25">
      <c r="A21" s="20">
        <v>24</v>
      </c>
      <c r="B21" s="20" t="s">
        <v>249</v>
      </c>
      <c r="C21" s="21" t="s">
        <v>274</v>
      </c>
      <c r="D21" s="21" t="s">
        <v>244</v>
      </c>
      <c r="E21" s="20" t="s">
        <v>250</v>
      </c>
      <c r="F21" s="20" t="s">
        <v>83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298</v>
      </c>
    </row>
    <row r="22" spans="1:16" ht="30" x14ac:dyDescent="0.25">
      <c r="A22" s="16">
        <v>25</v>
      </c>
      <c r="B22" s="16" t="s">
        <v>251</v>
      </c>
      <c r="C22" s="17" t="s">
        <v>252</v>
      </c>
      <c r="D22" s="17" t="s">
        <v>271</v>
      </c>
      <c r="E22" s="16" t="s">
        <v>80</v>
      </c>
      <c r="F22" s="16" t="s">
        <v>83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381</v>
      </c>
    </row>
    <row r="23" spans="1:16" ht="45" x14ac:dyDescent="0.25">
      <c r="A23" s="16">
        <v>26</v>
      </c>
      <c r="B23" s="16" t="s">
        <v>251</v>
      </c>
      <c r="C23" s="17" t="s">
        <v>253</v>
      </c>
      <c r="D23" s="17" t="s">
        <v>213</v>
      </c>
      <c r="E23" s="16" t="s">
        <v>80</v>
      </c>
      <c r="F23" s="16" t="s">
        <v>83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380</v>
      </c>
    </row>
    <row r="24" spans="1:16" x14ac:dyDescent="0.25">
      <c r="A24" s="20">
        <v>27</v>
      </c>
      <c r="B24" s="20" t="s">
        <v>251</v>
      </c>
      <c r="C24" s="21" t="s">
        <v>257</v>
      </c>
      <c r="D24" s="21" t="s">
        <v>213</v>
      </c>
      <c r="E24" s="20" t="s">
        <v>250</v>
      </c>
      <c r="F24" s="20" t="s">
        <v>83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299</v>
      </c>
    </row>
    <row r="25" spans="1:16" x14ac:dyDescent="0.25">
      <c r="A25" s="20">
        <v>28</v>
      </c>
      <c r="B25" s="20" t="s">
        <v>251</v>
      </c>
      <c r="C25" s="21" t="s">
        <v>258</v>
      </c>
      <c r="D25" s="21" t="s">
        <v>213</v>
      </c>
      <c r="E25" s="20" t="s">
        <v>250</v>
      </c>
      <c r="F25" s="20" t="s">
        <v>83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300</v>
      </c>
    </row>
    <row r="26" spans="1:16" x14ac:dyDescent="0.25">
      <c r="A26" s="16">
        <v>29</v>
      </c>
      <c r="B26" s="16" t="s">
        <v>251</v>
      </c>
      <c r="C26" s="17" t="s">
        <v>383</v>
      </c>
      <c r="D26" s="17" t="s">
        <v>213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384</v>
      </c>
    </row>
    <row r="27" spans="1:16" x14ac:dyDescent="0.25">
      <c r="A27" s="16">
        <v>30</v>
      </c>
      <c r="B27" s="16" t="s">
        <v>251</v>
      </c>
      <c r="C27" s="17" t="s">
        <v>254</v>
      </c>
      <c r="D27" s="17" t="s">
        <v>213</v>
      </c>
      <c r="E27" s="16" t="s">
        <v>80</v>
      </c>
      <c r="F27" s="16" t="s">
        <v>83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382</v>
      </c>
    </row>
    <row r="28" spans="1:16" x14ac:dyDescent="0.25">
      <c r="A28" s="16">
        <v>31</v>
      </c>
      <c r="B28" s="16" t="s">
        <v>251</v>
      </c>
      <c r="C28" s="17" t="s">
        <v>255</v>
      </c>
      <c r="D28" s="17" t="s">
        <v>213</v>
      </c>
      <c r="E28" s="16" t="s">
        <v>80</v>
      </c>
      <c r="F28" s="16" t="s">
        <v>83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256</v>
      </c>
    </row>
    <row r="29" spans="1:16" ht="30" x14ac:dyDescent="0.25">
      <c r="A29" s="20">
        <v>32</v>
      </c>
      <c r="B29" s="20" t="s">
        <v>251</v>
      </c>
      <c r="C29" s="21" t="s">
        <v>259</v>
      </c>
      <c r="D29" s="21" t="s">
        <v>213</v>
      </c>
      <c r="E29" s="20" t="s">
        <v>250</v>
      </c>
      <c r="F29" s="20" t="s">
        <v>83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301</v>
      </c>
    </row>
    <row r="30" spans="1:16" ht="75" x14ac:dyDescent="0.25">
      <c r="A30" s="16">
        <v>33</v>
      </c>
      <c r="B30" s="16" t="s">
        <v>275</v>
      </c>
      <c r="C30" s="17" t="s">
        <v>84</v>
      </c>
      <c r="D30" s="17" t="s">
        <v>82</v>
      </c>
      <c r="E30" s="16" t="s">
        <v>80</v>
      </c>
      <c r="F30" s="16" t="s">
        <v>81</v>
      </c>
      <c r="G30" s="16">
        <v>1</v>
      </c>
      <c r="H30" s="18">
        <v>1400000</v>
      </c>
      <c r="I30" s="16">
        <v>1</v>
      </c>
      <c r="J30" s="18">
        <f t="shared" si="25"/>
        <v>194670</v>
      </c>
      <c r="K30" s="18">
        <f t="shared" si="26"/>
        <v>1594670</v>
      </c>
      <c r="L30" s="19">
        <f t="shared" si="2"/>
        <v>3</v>
      </c>
      <c r="M30" s="18">
        <f t="shared" si="3"/>
        <v>4784010</v>
      </c>
      <c r="N30" s="18">
        <f t="shared" si="4"/>
        <v>0</v>
      </c>
      <c r="O30" s="18">
        <f t="shared" si="5"/>
        <v>4784010</v>
      </c>
      <c r="P30" s="17" t="s">
        <v>330</v>
      </c>
    </row>
    <row r="31" spans="1:16" ht="30" x14ac:dyDescent="0.25">
      <c r="A31" s="16">
        <v>34</v>
      </c>
      <c r="B31" s="16" t="s">
        <v>275</v>
      </c>
      <c r="C31" s="17" t="s">
        <v>85</v>
      </c>
      <c r="D31" s="17" t="s">
        <v>209</v>
      </c>
      <c r="E31" s="16" t="s">
        <v>80</v>
      </c>
      <c r="F31" s="16" t="s">
        <v>83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210</v>
      </c>
    </row>
    <row r="32" spans="1:16" ht="45" x14ac:dyDescent="0.25">
      <c r="A32" s="16">
        <v>35</v>
      </c>
      <c r="B32" s="16" t="s">
        <v>373</v>
      </c>
      <c r="C32" s="17" t="s">
        <v>475</v>
      </c>
      <c r="D32" s="17" t="s">
        <v>471</v>
      </c>
      <c r="E32" s="16" t="s">
        <v>80</v>
      </c>
      <c r="F32" s="16" t="s">
        <v>83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371</v>
      </c>
    </row>
    <row r="33" spans="1:16" s="79" customFormat="1" ht="45" x14ac:dyDescent="0.25">
      <c r="A33" s="16">
        <v>35</v>
      </c>
      <c r="B33" s="16" t="s">
        <v>373</v>
      </c>
      <c r="C33" s="17" t="s">
        <v>476</v>
      </c>
      <c r="D33" s="17" t="s">
        <v>471</v>
      </c>
      <c r="E33" s="16" t="s">
        <v>80</v>
      </c>
      <c r="F33" s="16" t="s">
        <v>83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473</v>
      </c>
    </row>
    <row r="34" spans="1:16" s="79" customFormat="1" ht="45" x14ac:dyDescent="0.25">
      <c r="A34" s="16">
        <v>35</v>
      </c>
      <c r="B34" s="16" t="s">
        <v>373</v>
      </c>
      <c r="C34" s="17" t="s">
        <v>476</v>
      </c>
      <c r="D34" s="17" t="s">
        <v>471</v>
      </c>
      <c r="E34" s="16" t="s">
        <v>80</v>
      </c>
      <c r="F34" s="16" t="s">
        <v>83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474</v>
      </c>
    </row>
    <row r="35" spans="1:16" ht="30" x14ac:dyDescent="0.25">
      <c r="A35" s="20">
        <v>36</v>
      </c>
      <c r="B35" s="20" t="s">
        <v>275</v>
      </c>
      <c r="C35" s="21" t="s">
        <v>276</v>
      </c>
      <c r="D35" s="21" t="s">
        <v>211</v>
      </c>
      <c r="E35" s="20" t="s">
        <v>250</v>
      </c>
      <c r="F35" s="20" t="s">
        <v>83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302</v>
      </c>
    </row>
    <row r="36" spans="1:16" ht="30" x14ac:dyDescent="0.25">
      <c r="A36" s="20">
        <v>37</v>
      </c>
      <c r="B36" s="20" t="s">
        <v>275</v>
      </c>
      <c r="C36" s="21" t="s">
        <v>277</v>
      </c>
      <c r="D36" s="21" t="s">
        <v>211</v>
      </c>
      <c r="E36" s="20" t="s">
        <v>250</v>
      </c>
      <c r="F36" s="20" t="s">
        <v>83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303</v>
      </c>
    </row>
    <row r="37" spans="1:16" x14ac:dyDescent="0.25">
      <c r="A37" s="7"/>
      <c r="B37" s="7"/>
      <c r="C37" s="7" t="s">
        <v>326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59188510</v>
      </c>
      <c r="N37" s="6">
        <f t="shared" ref="N37:O37" si="37">SUM(N5:N36)</f>
        <v>611142.85714285716</v>
      </c>
      <c r="O37" s="6">
        <f t="shared" si="37"/>
        <v>59799652.857142851</v>
      </c>
      <c r="P37" s="7"/>
    </row>
    <row r="38" spans="1:16" x14ac:dyDescent="0.25">
      <c r="C38" t="s">
        <v>327</v>
      </c>
      <c r="G38">
        <f>SUM(G8:G12)+SUM(G13:G29)</f>
        <v>15</v>
      </c>
      <c r="H38" s="5">
        <f>SUMPRODUCT(G8:G12,H8:H12)+SUMPRODUCT(G13:G29,H13:H29)</f>
        <v>15500000</v>
      </c>
    </row>
    <row r="39" spans="1:16" x14ac:dyDescent="0.25">
      <c r="C39" t="s">
        <v>328</v>
      </c>
      <c r="G39">
        <f>G37-G38</f>
        <v>7</v>
      </c>
      <c r="H39" s="5">
        <f>H37-H38</f>
        <v>8100000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331</v>
      </c>
    </row>
    <row r="3" spans="1:10" ht="42" customHeight="1" x14ac:dyDescent="0.25">
      <c r="A3" s="25" t="s">
        <v>66</v>
      </c>
      <c r="B3" s="25" t="s">
        <v>180</v>
      </c>
      <c r="C3" s="25" t="s">
        <v>69</v>
      </c>
      <c r="D3" s="25" t="s">
        <v>281</v>
      </c>
      <c r="E3" s="25" t="s">
        <v>282</v>
      </c>
      <c r="F3" s="25" t="s">
        <v>283</v>
      </c>
      <c r="G3" s="25" t="s">
        <v>284</v>
      </c>
      <c r="H3" s="25" t="s">
        <v>324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469</v>
      </c>
      <c r="C4" s="27" t="s">
        <v>211</v>
      </c>
      <c r="D4" s="27" t="s">
        <v>285</v>
      </c>
      <c r="E4" s="28">
        <v>867500</v>
      </c>
      <c r="F4" s="28">
        <v>0</v>
      </c>
      <c r="G4" s="28">
        <f t="shared" ref="G4:G10" si="0">E4+F4</f>
        <v>867500</v>
      </c>
      <c r="H4" s="26">
        <v>2</v>
      </c>
      <c r="I4" s="29">
        <f t="shared" ref="I4:I10" si="1">IF(H4=1,Мес_2026_новые,MAX(0,4-H4))</f>
        <v>2</v>
      </c>
      <c r="J4" s="28">
        <f t="shared" ref="J4:J10" si="2">G4*I4</f>
        <v>1735000</v>
      </c>
    </row>
    <row r="5" spans="1:10" ht="45" x14ac:dyDescent="0.25">
      <c r="A5" s="26">
        <v>2</v>
      </c>
      <c r="B5" s="27" t="s">
        <v>470</v>
      </c>
      <c r="C5" s="27" t="s">
        <v>211</v>
      </c>
      <c r="D5" s="27" t="s">
        <v>286</v>
      </c>
      <c r="E5" s="28">
        <v>425600</v>
      </c>
      <c r="F5" s="28">
        <v>0</v>
      </c>
      <c r="G5" s="28">
        <f t="shared" si="0"/>
        <v>425600</v>
      </c>
      <c r="H5" s="26">
        <v>2</v>
      </c>
      <c r="I5" s="29">
        <f t="shared" si="1"/>
        <v>2</v>
      </c>
      <c r="J5" s="28">
        <f t="shared" si="2"/>
        <v>851200</v>
      </c>
    </row>
    <row r="6" spans="1:10" ht="30" x14ac:dyDescent="0.25">
      <c r="A6" s="26">
        <v>3</v>
      </c>
      <c r="B6" s="27" t="s">
        <v>287</v>
      </c>
      <c r="C6" s="27" t="s">
        <v>288</v>
      </c>
      <c r="D6" s="27" t="s">
        <v>289</v>
      </c>
      <c r="E6" s="28">
        <v>1000000</v>
      </c>
      <c r="F6" s="28">
        <f t="shared" ref="F6:F10" si="3">E6*НДС</f>
        <v>160000</v>
      </c>
      <c r="G6" s="28">
        <f t="shared" si="0"/>
        <v>1160000</v>
      </c>
      <c r="H6" s="26">
        <v>2</v>
      </c>
      <c r="I6" s="29">
        <f t="shared" si="1"/>
        <v>2</v>
      </c>
      <c r="J6" s="28">
        <f t="shared" si="2"/>
        <v>2320000</v>
      </c>
    </row>
    <row r="7" spans="1:10" ht="45" x14ac:dyDescent="0.25">
      <c r="A7" s="26">
        <v>4</v>
      </c>
      <c r="B7" s="27" t="s">
        <v>290</v>
      </c>
      <c r="C7" s="27" t="s">
        <v>291</v>
      </c>
      <c r="D7" s="27" t="s">
        <v>292</v>
      </c>
      <c r="E7" s="28">
        <v>1000000</v>
      </c>
      <c r="F7" s="28">
        <f t="shared" si="3"/>
        <v>160000</v>
      </c>
      <c r="G7" s="28">
        <f t="shared" si="0"/>
        <v>1160000</v>
      </c>
      <c r="H7" s="26">
        <v>2</v>
      </c>
      <c r="I7" s="29">
        <f t="shared" si="1"/>
        <v>2</v>
      </c>
      <c r="J7" s="28">
        <f t="shared" si="2"/>
        <v>2320000</v>
      </c>
    </row>
    <row r="8" spans="1:10" ht="45" x14ac:dyDescent="0.25">
      <c r="A8" s="26">
        <v>5</v>
      </c>
      <c r="B8" s="27" t="s">
        <v>293</v>
      </c>
      <c r="C8" s="27" t="s">
        <v>291</v>
      </c>
      <c r="D8" s="27" t="s">
        <v>294</v>
      </c>
      <c r="E8" s="28">
        <v>700000</v>
      </c>
      <c r="F8" s="28">
        <f t="shared" si="3"/>
        <v>112000</v>
      </c>
      <c r="G8" s="28">
        <f t="shared" si="0"/>
        <v>812000</v>
      </c>
      <c r="H8" s="26">
        <v>2</v>
      </c>
      <c r="I8" s="29">
        <f t="shared" si="1"/>
        <v>2</v>
      </c>
      <c r="J8" s="28">
        <f t="shared" si="2"/>
        <v>1624000</v>
      </c>
    </row>
    <row r="9" spans="1:10" ht="30" x14ac:dyDescent="0.25">
      <c r="A9" s="26">
        <v>6</v>
      </c>
      <c r="B9" s="27" t="s">
        <v>391</v>
      </c>
      <c r="C9" s="27" t="s">
        <v>392</v>
      </c>
      <c r="D9" s="27" t="s">
        <v>393</v>
      </c>
      <c r="E9" s="28">
        <v>700000</v>
      </c>
      <c r="F9" s="28">
        <f t="shared" si="3"/>
        <v>112000</v>
      </c>
      <c r="G9" s="28">
        <f t="shared" si="0"/>
        <v>812000</v>
      </c>
      <c r="H9" s="26">
        <v>2</v>
      </c>
      <c r="I9" s="29">
        <f t="shared" si="1"/>
        <v>2</v>
      </c>
      <c r="J9" s="28">
        <f t="shared" si="2"/>
        <v>1624000</v>
      </c>
    </row>
    <row r="10" spans="1:10" ht="45" x14ac:dyDescent="0.25">
      <c r="A10" s="26">
        <v>7</v>
      </c>
      <c r="B10" s="27" t="s">
        <v>295</v>
      </c>
      <c r="C10" s="27" t="s">
        <v>291</v>
      </c>
      <c r="D10" s="27" t="s">
        <v>296</v>
      </c>
      <c r="E10" s="28">
        <v>700000</v>
      </c>
      <c r="F10" s="28">
        <f t="shared" si="3"/>
        <v>112000</v>
      </c>
      <c r="G10" s="28">
        <f t="shared" si="0"/>
        <v>812000</v>
      </c>
      <c r="H10" s="26">
        <v>2</v>
      </c>
      <c r="I10" s="29">
        <f t="shared" si="1"/>
        <v>2</v>
      </c>
      <c r="J10" s="28">
        <f t="shared" si="2"/>
        <v>1624000</v>
      </c>
    </row>
    <row r="11" spans="1:10" x14ac:dyDescent="0.25">
      <c r="A11" s="30"/>
      <c r="B11" s="30" t="s">
        <v>297</v>
      </c>
      <c r="C11" s="30"/>
      <c r="D11" s="30"/>
      <c r="E11" s="31">
        <f>SUM(E4:E10)</f>
        <v>5393100</v>
      </c>
      <c r="F11" s="31">
        <f>SUM(F4:F10)</f>
        <v>656000</v>
      </c>
      <c r="G11" s="31">
        <f>SUM(G4:G10)</f>
        <v>6049100</v>
      </c>
      <c r="H11" s="30"/>
      <c r="I11" s="30"/>
      <c r="J11" s="31">
        <f>SUM(J4:J10)</f>
        <v>12098200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323</v>
      </c>
    </row>
    <row r="2" spans="1:7" ht="15" customHeight="1" x14ac:dyDescent="0.25">
      <c r="A2" s="2" t="s">
        <v>214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407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394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479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279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395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70"/>
  <sheetViews>
    <sheetView zoomScaleNormal="100" workbookViewId="0">
      <selection activeCell="A13" sqref="A13:I14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332</v>
      </c>
    </row>
    <row r="2" spans="1:9" ht="15" customHeight="1" x14ac:dyDescent="0.25">
      <c r="A2" s="2" t="s">
        <v>333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334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4</v>
      </c>
      <c r="E5" s="10">
        <v>450000</v>
      </c>
      <c r="F5" s="9" t="s">
        <v>101</v>
      </c>
      <c r="G5" s="9">
        <v>1</v>
      </c>
      <c r="H5" s="4" t="s">
        <v>396</v>
      </c>
      <c r="I5" s="5">
        <f t="shared" ref="I5:I52" si="0">IF(F5="разово",IF(G5&lt;=3,D5*E5,0),IF(F5="мес",D5*E5*MAX(0,4-G5),D5*E5*MAX(0,4-G5)/12))</f>
        <v>1800000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1</v>
      </c>
      <c r="E6" s="10">
        <v>900000</v>
      </c>
      <c r="F6" s="9" t="s">
        <v>101</v>
      </c>
      <c r="G6" s="9">
        <v>1</v>
      </c>
      <c r="H6" s="4" t="s">
        <v>315</v>
      </c>
      <c r="I6" s="5">
        <f t="shared" si="0"/>
        <v>900000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482</v>
      </c>
      <c r="C8" t="s">
        <v>100</v>
      </c>
      <c r="D8" s="9">
        <v>20</v>
      </c>
      <c r="E8" s="10">
        <f>ROUND(80861/(1+НДС),0)</f>
        <v>69708</v>
      </c>
      <c r="F8" s="9" t="s">
        <v>101</v>
      </c>
      <c r="G8" s="9">
        <v>1</v>
      </c>
      <c r="H8" s="4" t="s">
        <v>483</v>
      </c>
      <c r="I8" s="5">
        <f t="shared" si="0"/>
        <v>1394160</v>
      </c>
    </row>
    <row r="9" spans="1:9" s="80" customFormat="1" ht="27.75" customHeight="1" x14ac:dyDescent="0.25">
      <c r="A9" s="80" t="s">
        <v>98</v>
      </c>
      <c r="B9" s="4" t="s">
        <v>484</v>
      </c>
      <c r="C9" s="80" t="s">
        <v>100</v>
      </c>
      <c r="D9" s="9">
        <v>26</v>
      </c>
      <c r="E9" s="10">
        <f>ROUND(17110/(1+НДС),0)</f>
        <v>14750</v>
      </c>
      <c r="F9" s="9" t="s">
        <v>101</v>
      </c>
      <c r="G9" s="9">
        <v>1</v>
      </c>
      <c r="H9" s="4" t="s">
        <v>485</v>
      </c>
      <c r="I9" s="5">
        <f t="shared" ref="I9" si="1">IF(F9="разово",IF(G9&lt;=3,D9*E9,0),IF(F9="мес",D9*E9*MAX(0,4-G9),D9*E9*MAX(0,4-G9)/12))</f>
        <v>383500</v>
      </c>
    </row>
    <row r="10" spans="1:9" s="81" customFormat="1" ht="27.75" customHeight="1" x14ac:dyDescent="0.25">
      <c r="A10" s="81" t="s">
        <v>98</v>
      </c>
      <c r="B10" s="4" t="s">
        <v>488</v>
      </c>
      <c r="C10" s="81" t="s">
        <v>100</v>
      </c>
      <c r="D10" s="9">
        <v>4</v>
      </c>
      <c r="E10" s="10">
        <f>ROUND(70900/(1+НДС),0)</f>
        <v>61121</v>
      </c>
      <c r="F10" s="9" t="s">
        <v>101</v>
      </c>
      <c r="G10" s="9">
        <v>1</v>
      </c>
      <c r="H10" s="4" t="s">
        <v>489</v>
      </c>
      <c r="I10" s="5">
        <f t="shared" ref="I10" si="2">IF(F10="разово",IF(G10&lt;=3,D10*E10,0),IF(F10="мес",D10*E10*MAX(0,4-G10),D10*E10*MAX(0,4-G10)/12))</f>
        <v>244484</v>
      </c>
    </row>
    <row r="11" spans="1:9" s="82" customFormat="1" ht="27.75" customHeight="1" x14ac:dyDescent="0.25">
      <c r="A11" s="82" t="s">
        <v>98</v>
      </c>
      <c r="B11" s="4" t="s">
        <v>490</v>
      </c>
      <c r="C11" s="82" t="s">
        <v>100</v>
      </c>
      <c r="D11" s="9">
        <v>1</v>
      </c>
      <c r="E11" s="10">
        <f>ROUND(114460/(1+НДС),0)</f>
        <v>98672</v>
      </c>
      <c r="F11" s="9" t="s">
        <v>101</v>
      </c>
      <c r="G11" s="9">
        <v>1</v>
      </c>
      <c r="H11" s="4" t="s">
        <v>491</v>
      </c>
      <c r="I11" s="5">
        <f t="shared" ref="I11" si="3">IF(F11="разово",IF(G11&lt;=3,D11*E11,0),IF(F11="мес",D11*E11*MAX(0,4-G11),D11*E11*MAX(0,4-G11)/12))</f>
        <v>98672</v>
      </c>
    </row>
    <row r="12" spans="1:9" ht="15" customHeight="1" x14ac:dyDescent="0.25">
      <c r="A12" t="s">
        <v>98</v>
      </c>
      <c r="B12" s="4" t="s">
        <v>492</v>
      </c>
      <c r="C12" t="s">
        <v>100</v>
      </c>
      <c r="D12" s="9">
        <v>5</v>
      </c>
      <c r="E12" s="10">
        <f>ROUND(67576/(1+НДС),0)</f>
        <v>58255</v>
      </c>
      <c r="F12" s="9" t="s">
        <v>101</v>
      </c>
      <c r="G12" s="9">
        <v>1</v>
      </c>
      <c r="H12" s="4" t="s">
        <v>493</v>
      </c>
      <c r="I12" s="5">
        <f t="shared" si="0"/>
        <v>291275</v>
      </c>
    </row>
    <row r="13" spans="1:9" s="83" customFormat="1" ht="15" customHeight="1" x14ac:dyDescent="0.25">
      <c r="A13" s="84" t="s">
        <v>98</v>
      </c>
      <c r="B13" s="4" t="s">
        <v>494</v>
      </c>
      <c r="C13" s="84" t="s">
        <v>100</v>
      </c>
      <c r="D13" s="9">
        <v>5</v>
      </c>
      <c r="E13" s="10">
        <f>ROUND(41990/(1+НДС),0)</f>
        <v>36198</v>
      </c>
      <c r="F13" s="9" t="s">
        <v>101</v>
      </c>
      <c r="G13" s="9">
        <v>1</v>
      </c>
      <c r="H13" s="4" t="s">
        <v>495</v>
      </c>
      <c r="I13" s="5">
        <f>IF(F13="разово",IF(G13&lt;=3,D13*E13,0),IF(F13="мес",D13*E13*MAX(0,4-G13),D13*E13*MAX(0,4-G13)/12))</f>
        <v>180990</v>
      </c>
    </row>
    <row r="14" spans="1:9" s="83" customFormat="1" ht="15" customHeight="1" x14ac:dyDescent="0.25">
      <c r="A14" s="84" t="s">
        <v>98</v>
      </c>
      <c r="B14" s="4" t="s">
        <v>496</v>
      </c>
      <c r="C14" s="84" t="s">
        <v>100</v>
      </c>
      <c r="D14" s="9">
        <v>5</v>
      </c>
      <c r="E14" s="10">
        <f>ROUND(35000/(1+НДС),0)</f>
        <v>30172</v>
      </c>
      <c r="F14" s="9" t="s">
        <v>101</v>
      </c>
      <c r="G14" s="9">
        <v>1</v>
      </c>
      <c r="H14" s="4" t="s">
        <v>497</v>
      </c>
      <c r="I14" s="5">
        <f>IF(F14="разово",IF(G14&lt;=3,D14*E14,0),IF(F14="мес",D14*E14*MAX(0,4-G14),D14*E14*MAX(0,4-G14)/12))</f>
        <v>150860</v>
      </c>
    </row>
    <row r="15" spans="1:9" s="83" customFormat="1" ht="15" customHeight="1" x14ac:dyDescent="0.25">
      <c r="A15" s="83" t="s">
        <v>98</v>
      </c>
      <c r="B15" s="4" t="s">
        <v>498</v>
      </c>
      <c r="C15" s="83" t="s">
        <v>100</v>
      </c>
      <c r="D15" s="9">
        <v>5</v>
      </c>
      <c r="E15" s="10">
        <f>ROUND(60000/(1+НДС),0)</f>
        <v>51724</v>
      </c>
      <c r="F15" s="9" t="s">
        <v>101</v>
      </c>
      <c r="G15" s="9">
        <v>1</v>
      </c>
      <c r="H15" s="4" t="s">
        <v>499</v>
      </c>
      <c r="I15" s="5">
        <f t="shared" ref="I15" si="4">IF(F15="разово",IF(G15&lt;=3,D15*E15,0),IF(F15="мес",D15*E15*MAX(0,4-G15),D15*E15*MAX(0,4-G15)/12))</f>
        <v>258620</v>
      </c>
    </row>
    <row r="16" spans="1:9" s="85" customFormat="1" ht="15" customHeight="1" x14ac:dyDescent="0.25">
      <c r="A16" s="85" t="s">
        <v>98</v>
      </c>
      <c r="B16" s="4" t="s">
        <v>500</v>
      </c>
      <c r="C16" s="85" t="s">
        <v>100</v>
      </c>
      <c r="D16" s="9">
        <v>3</v>
      </c>
      <c r="E16" s="10">
        <f>ROUND(26905/(1+НДС),0)</f>
        <v>23194</v>
      </c>
      <c r="F16" s="9" t="s">
        <v>101</v>
      </c>
      <c r="G16" s="9">
        <v>1</v>
      </c>
      <c r="H16" s="4" t="s">
        <v>501</v>
      </c>
      <c r="I16" s="5">
        <f>IF(F16="разово",IF(G16&lt;=3,D16*E16,0),IF(F16="мес",D16*E16*MAX(0,4-G16),D16*E16*MAX(0,4-G16)/12))</f>
        <v>69582</v>
      </c>
    </row>
    <row r="17" spans="1:9" s="86" customFormat="1" ht="15" customHeight="1" x14ac:dyDescent="0.25">
      <c r="A17" s="86" t="s">
        <v>98</v>
      </c>
      <c r="B17" s="4" t="s">
        <v>502</v>
      </c>
      <c r="C17" s="86" t="s">
        <v>104</v>
      </c>
      <c r="D17" s="9">
        <v>1</v>
      </c>
      <c r="E17" s="10">
        <f>ROUND(102898/(1+НДС),0)</f>
        <v>88705</v>
      </c>
      <c r="F17" s="9" t="s">
        <v>101</v>
      </c>
      <c r="G17" s="9">
        <v>1</v>
      </c>
      <c r="H17" s="4" t="s">
        <v>503</v>
      </c>
      <c r="I17" s="5">
        <f>IF(F17="разово",IF(G17&lt;=3,D17*E17,0),IF(F17="мес",D17*E17*MAX(0,4-G17),D17*E17*MAX(0,4-G17)/12))</f>
        <v>88705</v>
      </c>
    </row>
    <row r="18" spans="1:9" s="86" customFormat="1" ht="15" customHeight="1" x14ac:dyDescent="0.25">
      <c r="A18" s="86" t="s">
        <v>98</v>
      </c>
      <c r="B18" s="4" t="s">
        <v>504</v>
      </c>
      <c r="C18" s="86" t="s">
        <v>104</v>
      </c>
      <c r="D18" s="9">
        <v>1</v>
      </c>
      <c r="E18" s="10">
        <f>ROUND(36990/(1+НДС),0)</f>
        <v>31888</v>
      </c>
      <c r="F18" s="9" t="s">
        <v>101</v>
      </c>
      <c r="G18" s="9">
        <v>1</v>
      </c>
      <c r="H18" s="4" t="s">
        <v>505</v>
      </c>
      <c r="I18" s="5">
        <f>IF(F18="разово",IF(G18&lt;=3,D18*E18,0),IF(F18="мес",D18*E18*MAX(0,4-G18),D18*E18*MAX(0,4-G18)/12))</f>
        <v>31888</v>
      </c>
    </row>
    <row r="19" spans="1:9" ht="15" customHeight="1" x14ac:dyDescent="0.25">
      <c r="A19" t="s">
        <v>98</v>
      </c>
      <c r="B19" s="4" t="s">
        <v>107</v>
      </c>
      <c r="C19" t="s">
        <v>104</v>
      </c>
      <c r="D19" s="9">
        <v>0</v>
      </c>
      <c r="E19" s="10">
        <v>800000</v>
      </c>
      <c r="F19" s="9" t="s">
        <v>101</v>
      </c>
      <c r="G19" s="9">
        <v>1</v>
      </c>
      <c r="H19" s="4"/>
      <c r="I19" s="5">
        <f t="shared" si="0"/>
        <v>0</v>
      </c>
    </row>
    <row r="20" spans="1:9" ht="15" customHeight="1" x14ac:dyDescent="0.25">
      <c r="A20" t="s">
        <v>98</v>
      </c>
      <c r="B20" s="4" t="s">
        <v>351</v>
      </c>
      <c r="C20" t="s">
        <v>104</v>
      </c>
      <c r="D20" s="9">
        <v>0</v>
      </c>
      <c r="E20" s="10">
        <v>250000</v>
      </c>
      <c r="F20" s="9" t="s">
        <v>101</v>
      </c>
      <c r="G20" s="9">
        <v>1</v>
      </c>
      <c r="H20" s="4"/>
      <c r="I20" s="5">
        <f t="shared" si="0"/>
        <v>0</v>
      </c>
    </row>
    <row r="21" spans="1:9" ht="15" customHeight="1" x14ac:dyDescent="0.25">
      <c r="A21" t="s">
        <v>98</v>
      </c>
      <c r="B21" s="4" t="s">
        <v>480</v>
      </c>
      <c r="C21" t="s">
        <v>104</v>
      </c>
      <c r="D21" s="9">
        <v>1</v>
      </c>
      <c r="E21" s="10">
        <v>100000</v>
      </c>
      <c r="F21" s="9" t="s">
        <v>101</v>
      </c>
      <c r="G21" s="9">
        <v>1</v>
      </c>
      <c r="H21" s="4" t="s">
        <v>481</v>
      </c>
      <c r="I21" s="5">
        <f t="shared" si="0"/>
        <v>100000</v>
      </c>
    </row>
    <row r="22" spans="1:9" ht="15" customHeight="1" x14ac:dyDescent="0.25">
      <c r="A22" t="s">
        <v>98</v>
      </c>
      <c r="B22" s="4" t="s">
        <v>221</v>
      </c>
      <c r="C22" t="s">
        <v>100</v>
      </c>
      <c r="D22" s="9">
        <v>0</v>
      </c>
      <c r="E22" s="10">
        <v>60000</v>
      </c>
      <c r="F22" s="9" t="s">
        <v>101</v>
      </c>
      <c r="G22" s="9">
        <v>1</v>
      </c>
      <c r="H22" s="4" t="s">
        <v>227</v>
      </c>
      <c r="I22" s="5">
        <f t="shared" si="0"/>
        <v>0</v>
      </c>
    </row>
    <row r="23" spans="1:9" ht="15" customHeight="1" x14ac:dyDescent="0.25">
      <c r="A23" t="s">
        <v>98</v>
      </c>
      <c r="B23" s="4" t="s">
        <v>219</v>
      </c>
      <c r="C23" t="s">
        <v>104</v>
      </c>
      <c r="D23" s="9">
        <v>1</v>
      </c>
      <c r="E23" s="10">
        <f>SUMPRODUCT(D8:D22,E8:E22)*Сборка_мебели_проц</f>
        <v>329273.60000000003</v>
      </c>
      <c r="F23" s="9" t="s">
        <v>101</v>
      </c>
      <c r="G23" s="9">
        <v>1</v>
      </c>
      <c r="H23" s="4" t="s">
        <v>222</v>
      </c>
      <c r="I23" s="5">
        <f t="shared" si="0"/>
        <v>329273.60000000003</v>
      </c>
    </row>
    <row r="24" spans="1:9" s="86" customFormat="1" ht="15" customHeight="1" x14ac:dyDescent="0.25">
      <c r="A24" s="86" t="s">
        <v>98</v>
      </c>
      <c r="B24" s="4" t="s">
        <v>506</v>
      </c>
      <c r="C24" s="86" t="s">
        <v>104</v>
      </c>
      <c r="D24" s="9">
        <v>1</v>
      </c>
      <c r="E24" s="10">
        <f>ROUND(25000/(1+НДС),0)</f>
        <v>21552</v>
      </c>
      <c r="F24" s="9" t="s">
        <v>101</v>
      </c>
      <c r="G24" s="9">
        <v>1</v>
      </c>
      <c r="H24" s="4" t="s">
        <v>507</v>
      </c>
      <c r="I24" s="5">
        <f>IF(F24="разово",IF(G24&lt;=3,D24*E24,0),IF(F24="мес",D24*E24*MAX(0,4-G24),D24*E24*MAX(0,4-G24)/12))</f>
        <v>21552</v>
      </c>
    </row>
    <row r="25" spans="1:9" ht="27.75" customHeight="1" x14ac:dyDescent="0.25">
      <c r="A25" t="s">
        <v>98</v>
      </c>
      <c r="B25" s="4" t="s">
        <v>171</v>
      </c>
      <c r="C25" t="s">
        <v>100</v>
      </c>
      <c r="D25" s="9">
        <v>1</v>
      </c>
      <c r="E25" s="10">
        <v>2500000</v>
      </c>
      <c r="F25" s="9" t="s">
        <v>101</v>
      </c>
      <c r="G25" s="9">
        <v>1</v>
      </c>
      <c r="H25" s="4" t="s">
        <v>172</v>
      </c>
      <c r="I25" s="5">
        <f t="shared" si="0"/>
        <v>2500000</v>
      </c>
    </row>
    <row r="26" spans="1:9" ht="15" customHeight="1" x14ac:dyDescent="0.25">
      <c r="A26" t="s">
        <v>98</v>
      </c>
      <c r="B26" s="4" t="s">
        <v>173</v>
      </c>
      <c r="C26" t="s">
        <v>104</v>
      </c>
      <c r="D26" s="9">
        <v>1</v>
      </c>
      <c r="E26" s="10">
        <v>300000</v>
      </c>
      <c r="F26" s="9" t="s">
        <v>101</v>
      </c>
      <c r="G26" s="9">
        <v>1</v>
      </c>
      <c r="H26" s="4"/>
      <c r="I26" s="5">
        <f t="shared" si="0"/>
        <v>300000</v>
      </c>
    </row>
    <row r="27" spans="1:9" ht="15" customHeight="1" x14ac:dyDescent="0.25">
      <c r="A27" t="s">
        <v>98</v>
      </c>
      <c r="B27" s="4" t="s">
        <v>174</v>
      </c>
      <c r="C27" t="s">
        <v>100</v>
      </c>
      <c r="D27" s="9">
        <v>2</v>
      </c>
      <c r="E27" s="10">
        <v>280000</v>
      </c>
      <c r="F27" s="9" t="s">
        <v>101</v>
      </c>
      <c r="G27" s="9">
        <v>1</v>
      </c>
      <c r="H27" s="4" t="s">
        <v>228</v>
      </c>
      <c r="I27" s="5">
        <f t="shared" si="0"/>
        <v>560000</v>
      </c>
    </row>
    <row r="28" spans="1:9" ht="15" customHeight="1" x14ac:dyDescent="0.25">
      <c r="A28" t="s">
        <v>98</v>
      </c>
      <c r="B28" s="4" t="s">
        <v>175</v>
      </c>
      <c r="C28" t="s">
        <v>100</v>
      </c>
      <c r="D28" s="9">
        <v>4</v>
      </c>
      <c r="E28" s="10">
        <v>55000</v>
      </c>
      <c r="F28" s="9" t="s">
        <v>101</v>
      </c>
      <c r="G28" s="9">
        <v>1</v>
      </c>
      <c r="H28" s="4" t="s">
        <v>176</v>
      </c>
      <c r="I28" s="5">
        <f t="shared" si="0"/>
        <v>220000</v>
      </c>
    </row>
    <row r="29" spans="1:9" ht="15" customHeight="1" x14ac:dyDescent="0.25">
      <c r="A29" t="s">
        <v>98</v>
      </c>
      <c r="B29" s="4" t="s">
        <v>177</v>
      </c>
      <c r="C29" t="s">
        <v>104</v>
      </c>
      <c r="D29" s="9">
        <v>1</v>
      </c>
      <c r="E29" s="10">
        <v>300000</v>
      </c>
      <c r="F29" s="9" t="s">
        <v>101</v>
      </c>
      <c r="G29" s="9">
        <v>1</v>
      </c>
      <c r="H29" s="4" t="s">
        <v>178</v>
      </c>
      <c r="I29" s="5">
        <f t="shared" si="0"/>
        <v>300000</v>
      </c>
    </row>
    <row r="30" spans="1:9" ht="15" customHeight="1" x14ac:dyDescent="0.25">
      <c r="A30" t="s">
        <v>98</v>
      </c>
      <c r="B30" s="4" t="s">
        <v>229</v>
      </c>
      <c r="C30" t="s">
        <v>100</v>
      </c>
      <c r="D30" s="9"/>
      <c r="E30" s="10">
        <f>ROUND(42340/(1+НДС),0)</f>
        <v>36500</v>
      </c>
      <c r="F30" s="9" t="s">
        <v>101</v>
      </c>
      <c r="G30" s="9">
        <v>1</v>
      </c>
      <c r="H30" s="4" t="s">
        <v>230</v>
      </c>
      <c r="I30" s="5">
        <f t="shared" si="0"/>
        <v>0</v>
      </c>
    </row>
    <row r="31" spans="1:9" ht="15" customHeight="1" x14ac:dyDescent="0.25">
      <c r="A31" t="s">
        <v>98</v>
      </c>
      <c r="B31" s="4" t="s">
        <v>231</v>
      </c>
      <c r="C31" t="s">
        <v>232</v>
      </c>
      <c r="D31" s="9"/>
      <c r="E31" s="10">
        <f>ROUND(6000/(1+НДС),0)</f>
        <v>5172</v>
      </c>
      <c r="F31" s="9" t="s">
        <v>101</v>
      </c>
      <c r="G31" s="9">
        <v>1</v>
      </c>
      <c r="H31" s="4" t="s">
        <v>233</v>
      </c>
      <c r="I31" s="5">
        <f t="shared" si="0"/>
        <v>0</v>
      </c>
    </row>
    <row r="32" spans="1:9" ht="15" customHeight="1" x14ac:dyDescent="0.25">
      <c r="A32" t="s">
        <v>98</v>
      </c>
      <c r="B32" s="4" t="s">
        <v>234</v>
      </c>
      <c r="C32" t="s">
        <v>100</v>
      </c>
      <c r="D32" s="9"/>
      <c r="E32" s="10">
        <f>ROUND(114327/(1+НДС),0)</f>
        <v>98558</v>
      </c>
      <c r="F32" s="9" t="s">
        <v>101</v>
      </c>
      <c r="G32" s="9">
        <v>1</v>
      </c>
      <c r="H32" s="4" t="s">
        <v>235</v>
      </c>
      <c r="I32" s="5">
        <f t="shared" si="0"/>
        <v>0</v>
      </c>
    </row>
    <row r="33" spans="1:9" ht="15" customHeight="1" x14ac:dyDescent="0.25">
      <c r="A33" t="s">
        <v>98</v>
      </c>
      <c r="B33" s="4" t="s">
        <v>236</v>
      </c>
      <c r="C33" t="s">
        <v>104</v>
      </c>
      <c r="D33" s="9"/>
      <c r="E33" s="10">
        <f>ROUND((100*55+100*68+100*26+100*37+100*57+100*244)/(1+НДС),0)</f>
        <v>41983</v>
      </c>
      <c r="F33" s="9" t="s">
        <v>101</v>
      </c>
      <c r="G33" s="9">
        <v>1</v>
      </c>
      <c r="H33" s="4" t="s">
        <v>237</v>
      </c>
      <c r="I33" s="5">
        <f t="shared" si="0"/>
        <v>0</v>
      </c>
    </row>
    <row r="34" spans="1:9" ht="15" customHeight="1" x14ac:dyDescent="0.25">
      <c r="A34" t="s">
        <v>98</v>
      </c>
      <c r="B34" s="4" t="s">
        <v>263</v>
      </c>
      <c r="C34" t="s">
        <v>100</v>
      </c>
      <c r="D34" s="9">
        <v>21</v>
      </c>
      <c r="E34" s="10">
        <f>ROUND(4118/(1+НДС),0)</f>
        <v>3550</v>
      </c>
      <c r="F34" s="9" t="s">
        <v>101</v>
      </c>
      <c r="G34" s="9">
        <v>1</v>
      </c>
      <c r="H34" s="4" t="s">
        <v>397</v>
      </c>
      <c r="I34" s="5">
        <f t="shared" si="0"/>
        <v>74550</v>
      </c>
    </row>
    <row r="35" spans="1:9" ht="15" customHeight="1" x14ac:dyDescent="0.25">
      <c r="A35" t="s">
        <v>98</v>
      </c>
      <c r="B35" s="4" t="s">
        <v>262</v>
      </c>
      <c r="C35" t="s">
        <v>100</v>
      </c>
      <c r="D35" s="9">
        <v>3</v>
      </c>
      <c r="E35" s="10">
        <f>ROUND(6101/(1+НДС),0)</f>
        <v>5259</v>
      </c>
      <c r="F35" s="9" t="s">
        <v>101</v>
      </c>
      <c r="G35" s="9">
        <v>1</v>
      </c>
      <c r="H35" s="4" t="s">
        <v>352</v>
      </c>
      <c r="I35" s="5">
        <f t="shared" si="0"/>
        <v>15777</v>
      </c>
    </row>
    <row r="36" spans="1:9" ht="15" customHeight="1" x14ac:dyDescent="0.25">
      <c r="A36" t="s">
        <v>98</v>
      </c>
      <c r="B36" s="4" t="s">
        <v>264</v>
      </c>
      <c r="C36" t="s">
        <v>100</v>
      </c>
      <c r="D36" s="9">
        <v>4</v>
      </c>
      <c r="E36" s="10">
        <f>ROUND(7235/(1+НДС),0)</f>
        <v>6237</v>
      </c>
      <c r="F36" s="9" t="s">
        <v>101</v>
      </c>
      <c r="G36" s="9">
        <v>1</v>
      </c>
      <c r="H36" s="4" t="s">
        <v>265</v>
      </c>
      <c r="I36" s="5">
        <f t="shared" si="0"/>
        <v>24948</v>
      </c>
    </row>
    <row r="37" spans="1:9" ht="15" customHeight="1" x14ac:dyDescent="0.25">
      <c r="A37" t="s">
        <v>98</v>
      </c>
      <c r="B37" s="4" t="s">
        <v>266</v>
      </c>
      <c r="C37" t="s">
        <v>100</v>
      </c>
      <c r="D37" s="9">
        <v>5</v>
      </c>
      <c r="E37" s="10">
        <f>ROUND(9039/(1+НДС),0)</f>
        <v>7792</v>
      </c>
      <c r="F37" s="9" t="s">
        <v>101</v>
      </c>
      <c r="G37" s="9">
        <v>1</v>
      </c>
      <c r="H37" s="4" t="s">
        <v>267</v>
      </c>
      <c r="I37" s="5">
        <f t="shared" si="0"/>
        <v>38960</v>
      </c>
    </row>
    <row r="38" spans="1:9" ht="15" customHeight="1" x14ac:dyDescent="0.25">
      <c r="A38" t="s">
        <v>98</v>
      </c>
      <c r="B38" s="4" t="s">
        <v>313</v>
      </c>
      <c r="C38" t="s">
        <v>100</v>
      </c>
      <c r="D38" s="9">
        <v>10</v>
      </c>
      <c r="E38" s="10">
        <f>ROUND(89302/(1+НДС),0)</f>
        <v>76984</v>
      </c>
      <c r="F38" s="9" t="s">
        <v>101</v>
      </c>
      <c r="G38" s="9">
        <v>1</v>
      </c>
      <c r="H38" s="4" t="s">
        <v>314</v>
      </c>
      <c r="I38" s="5">
        <f t="shared" ref="I38" si="5">IF(F38="разово",IF(G38&lt;=3,D38*E38,0),IF(F38="мес",D38*E38*MAX(0,4-G38),D38*E38*MAX(0,4-G38)/12))</f>
        <v>769840</v>
      </c>
    </row>
    <row r="39" spans="1:9" ht="15" customHeight="1" x14ac:dyDescent="0.25">
      <c r="A39" t="s">
        <v>98</v>
      </c>
      <c r="B39" s="4" t="s">
        <v>316</v>
      </c>
      <c r="C39" t="s">
        <v>100</v>
      </c>
      <c r="D39" s="9">
        <v>0</v>
      </c>
      <c r="E39" s="10">
        <f>ROUND(989997/(1+НДС),0)</f>
        <v>853446</v>
      </c>
      <c r="F39" s="9" t="s">
        <v>101</v>
      </c>
      <c r="G39" s="9">
        <v>1</v>
      </c>
      <c r="H39" s="4" t="s">
        <v>317</v>
      </c>
      <c r="I39" s="5">
        <f t="shared" si="0"/>
        <v>0</v>
      </c>
    </row>
    <row r="40" spans="1:9" ht="15" customHeight="1" x14ac:dyDescent="0.25">
      <c r="A40" t="s">
        <v>98</v>
      </c>
      <c r="B40" s="4" t="s">
        <v>318</v>
      </c>
      <c r="C40" t="s">
        <v>100</v>
      </c>
      <c r="D40" s="9">
        <v>1</v>
      </c>
      <c r="E40" s="10">
        <f>ROUND(49990/(1+НДС),0)</f>
        <v>43095</v>
      </c>
      <c r="F40" s="9" t="s">
        <v>101</v>
      </c>
      <c r="G40" s="9">
        <v>1</v>
      </c>
      <c r="H40" s="4" t="s">
        <v>319</v>
      </c>
      <c r="I40" s="5">
        <f t="shared" si="0"/>
        <v>43095</v>
      </c>
    </row>
    <row r="41" spans="1:9" ht="15" customHeight="1" x14ac:dyDescent="0.25">
      <c r="A41" t="s">
        <v>98</v>
      </c>
      <c r="B41" s="4" t="s">
        <v>108</v>
      </c>
      <c r="C41" t="s">
        <v>104</v>
      </c>
      <c r="D41" s="9">
        <v>1</v>
      </c>
      <c r="E41" s="10">
        <v>300000</v>
      </c>
      <c r="F41" s="9" t="s">
        <v>101</v>
      </c>
      <c r="G41" s="9">
        <v>1</v>
      </c>
      <c r="H41" s="4" t="s">
        <v>109</v>
      </c>
      <c r="I41" s="5">
        <f t="shared" si="0"/>
        <v>300000</v>
      </c>
    </row>
    <row r="42" spans="1:9" ht="15" customHeight="1" x14ac:dyDescent="0.25">
      <c r="A42" t="s">
        <v>98</v>
      </c>
      <c r="B42" s="4" t="s">
        <v>110</v>
      </c>
      <c r="C42" t="s">
        <v>104</v>
      </c>
      <c r="D42" s="9">
        <v>0</v>
      </c>
      <c r="E42" s="10">
        <v>800000</v>
      </c>
      <c r="F42" s="9" t="s">
        <v>101</v>
      </c>
      <c r="G42" s="9">
        <v>1</v>
      </c>
      <c r="H42" s="4" t="s">
        <v>106</v>
      </c>
      <c r="I42" s="5">
        <f t="shared" si="0"/>
        <v>0</v>
      </c>
    </row>
    <row r="43" spans="1:9" ht="15" customHeight="1" x14ac:dyDescent="0.25">
      <c r="A43" t="s">
        <v>98</v>
      </c>
      <c r="B43" s="4" t="s">
        <v>111</v>
      </c>
      <c r="C43" t="s">
        <v>100</v>
      </c>
      <c r="D43" s="9">
        <v>0</v>
      </c>
      <c r="E43" s="10">
        <v>700000</v>
      </c>
      <c r="F43" s="9" t="s">
        <v>101</v>
      </c>
      <c r="G43" s="9">
        <v>1</v>
      </c>
      <c r="H43" s="4"/>
      <c r="I43" s="5">
        <f t="shared" si="0"/>
        <v>0</v>
      </c>
    </row>
    <row r="44" spans="1:9" ht="27.75" customHeight="1" x14ac:dyDescent="0.25">
      <c r="A44" t="s">
        <v>98</v>
      </c>
      <c r="B44" s="4" t="s">
        <v>353</v>
      </c>
      <c r="C44" t="s">
        <v>112</v>
      </c>
      <c r="D44" s="9">
        <v>1</v>
      </c>
      <c r="E44" s="10">
        <f>'Смета фото-видео'!G24</f>
        <v>300000</v>
      </c>
      <c r="F44" s="9" t="s">
        <v>101</v>
      </c>
      <c r="G44" s="9">
        <v>1</v>
      </c>
      <c r="H44" s="4" t="s">
        <v>400</v>
      </c>
      <c r="I44" s="5">
        <f t="shared" si="0"/>
        <v>300000</v>
      </c>
    </row>
    <row r="45" spans="1:9" ht="15" customHeight="1" x14ac:dyDescent="0.25">
      <c r="A45" t="s">
        <v>98</v>
      </c>
      <c r="B45" s="4" t="s">
        <v>320</v>
      </c>
      <c r="C45" t="s">
        <v>104</v>
      </c>
      <c r="D45" s="9">
        <v>1</v>
      </c>
      <c r="E45" s="10">
        <v>400000</v>
      </c>
      <c r="F45" s="9" t="s">
        <v>101</v>
      </c>
      <c r="G45" s="9">
        <v>1</v>
      </c>
      <c r="H45" s="4"/>
      <c r="I45" s="5">
        <f t="shared" si="0"/>
        <v>400000</v>
      </c>
    </row>
    <row r="46" spans="1:9" ht="15" customHeight="1" x14ac:dyDescent="0.25">
      <c r="A46" t="s">
        <v>98</v>
      </c>
      <c r="B46" s="4" t="s">
        <v>321</v>
      </c>
      <c r="C46" t="s">
        <v>100</v>
      </c>
      <c r="D46" s="9">
        <v>1</v>
      </c>
      <c r="E46" s="10">
        <f>ROUND(35990/(1+НДС),0)</f>
        <v>31026</v>
      </c>
      <c r="F46" s="9" t="s">
        <v>101</v>
      </c>
      <c r="G46" s="9">
        <v>1</v>
      </c>
      <c r="H46" s="4" t="s">
        <v>322</v>
      </c>
      <c r="I46" s="5">
        <f t="shared" ref="I46" si="6">IF(F46="разово",IF(G46&lt;=3,D46*E46,0),IF(F46="мес",D46*E46*MAX(0,4-G46),D46*E46*MAX(0,4-G46)/12))</f>
        <v>31026</v>
      </c>
    </row>
    <row r="47" spans="1:9" ht="15" customHeight="1" x14ac:dyDescent="0.25">
      <c r="A47" t="s">
        <v>98</v>
      </c>
      <c r="B47" s="4" t="s">
        <v>486</v>
      </c>
      <c r="C47" t="s">
        <v>100</v>
      </c>
      <c r="D47" s="9">
        <v>20</v>
      </c>
      <c r="E47" s="10">
        <f>ROUND(7400/(1+НДС),0)</f>
        <v>6379</v>
      </c>
      <c r="F47" s="9" t="s">
        <v>101</v>
      </c>
      <c r="G47" s="9">
        <v>1</v>
      </c>
      <c r="H47" s="4" t="s">
        <v>487</v>
      </c>
      <c r="I47" s="5">
        <f t="shared" ref="I47:I49" si="7">IF(F47="разово",IF(G47&lt;=3,D47*E47,0),IF(F47="мес",D47*E47*MAX(0,4-G47),D47*E47*MAX(0,4-G47)/12))</f>
        <v>127580</v>
      </c>
    </row>
    <row r="48" spans="1:9" ht="15" customHeight="1" x14ac:dyDescent="0.25">
      <c r="A48" t="s">
        <v>98</v>
      </c>
      <c r="B48" s="4" t="s">
        <v>403</v>
      </c>
      <c r="C48" t="s">
        <v>104</v>
      </c>
      <c r="D48" s="9">
        <v>1</v>
      </c>
      <c r="E48" s="10">
        <f>ROUND(428736/(1+НДС),0)</f>
        <v>369600</v>
      </c>
      <c r="F48" s="9" t="s">
        <v>101</v>
      </c>
      <c r="G48" s="9">
        <v>1</v>
      </c>
      <c r="H48" s="4" t="s">
        <v>404</v>
      </c>
      <c r="I48" s="5">
        <f t="shared" si="7"/>
        <v>369600</v>
      </c>
    </row>
    <row r="49" spans="1:9" ht="15" customHeight="1" x14ac:dyDescent="0.25">
      <c r="A49" t="s">
        <v>98</v>
      </c>
      <c r="B49" s="4" t="s">
        <v>405</v>
      </c>
      <c r="C49" t="s">
        <v>100</v>
      </c>
      <c r="D49" s="9">
        <v>3</v>
      </c>
      <c r="E49" s="10">
        <f>ROUND(30701/(1+НДС),0)</f>
        <v>26466</v>
      </c>
      <c r="F49" s="9" t="s">
        <v>101</v>
      </c>
      <c r="G49" s="9">
        <v>1</v>
      </c>
      <c r="H49" s="4" t="s">
        <v>406</v>
      </c>
      <c r="I49" s="5">
        <f t="shared" si="7"/>
        <v>79398</v>
      </c>
    </row>
    <row r="50" spans="1:9" ht="15" customHeight="1" x14ac:dyDescent="0.25">
      <c r="A50" t="s">
        <v>98</v>
      </c>
      <c r="B50" s="4" t="s">
        <v>113</v>
      </c>
      <c r="C50" t="s">
        <v>104</v>
      </c>
      <c r="D50" s="9">
        <v>1</v>
      </c>
      <c r="E50" s="10">
        <v>150000</v>
      </c>
      <c r="F50" s="9" t="s">
        <v>101</v>
      </c>
      <c r="G50" s="9">
        <v>1</v>
      </c>
      <c r="H50" s="4"/>
      <c r="I50" s="5">
        <f t="shared" si="0"/>
        <v>150000</v>
      </c>
    </row>
    <row r="51" spans="1:9" ht="15" customHeight="1" x14ac:dyDescent="0.25">
      <c r="A51" t="s">
        <v>98</v>
      </c>
      <c r="B51" s="4" t="s">
        <v>114</v>
      </c>
      <c r="C51" t="s">
        <v>104</v>
      </c>
      <c r="D51" s="9">
        <v>1</v>
      </c>
      <c r="E51" s="10">
        <v>400000</v>
      </c>
      <c r="F51" s="9" t="s">
        <v>101</v>
      </c>
      <c r="G51" s="9">
        <v>1</v>
      </c>
      <c r="H51" s="4"/>
      <c r="I51" s="5">
        <f t="shared" si="0"/>
        <v>400000</v>
      </c>
    </row>
    <row r="52" spans="1:9" ht="15" customHeight="1" x14ac:dyDescent="0.25">
      <c r="A52" t="s">
        <v>98</v>
      </c>
      <c r="B52" s="4" t="s">
        <v>354</v>
      </c>
      <c r="C52" t="s">
        <v>100</v>
      </c>
      <c r="D52" s="9">
        <v>1</v>
      </c>
      <c r="E52" s="10">
        <v>10000</v>
      </c>
      <c r="F52" s="9" t="s">
        <v>101</v>
      </c>
      <c r="G52" s="9">
        <v>1</v>
      </c>
      <c r="H52" s="4"/>
      <c r="I52" s="5">
        <f t="shared" si="0"/>
        <v>10000</v>
      </c>
    </row>
    <row r="53" spans="1:9" ht="27.75" customHeight="1" x14ac:dyDescent="0.25">
      <c r="A53" t="s">
        <v>115</v>
      </c>
      <c r="B53" s="4" t="s">
        <v>116</v>
      </c>
      <c r="C53" t="s">
        <v>117</v>
      </c>
      <c r="D53" s="9">
        <v>1</v>
      </c>
      <c r="E53" s="10">
        <f>Аренда_мес</f>
        <v>4909152.0999999996</v>
      </c>
      <c r="F53" s="9" t="s">
        <v>118</v>
      </c>
      <c r="G53" s="9">
        <v>1</v>
      </c>
      <c r="H53" s="4" t="s">
        <v>312</v>
      </c>
      <c r="I53" s="5">
        <f>D53*E53*Аренда_мес_2026</f>
        <v>11560261.396774193</v>
      </c>
    </row>
    <row r="54" spans="1:9" ht="15" customHeight="1" x14ac:dyDescent="0.25">
      <c r="A54" t="s">
        <v>115</v>
      </c>
      <c r="B54" s="4" t="s">
        <v>220</v>
      </c>
      <c r="C54" t="s">
        <v>119</v>
      </c>
      <c r="D54" s="9">
        <v>1</v>
      </c>
      <c r="E54" s="10">
        <f>Аренда_мес*Депозит_мес</f>
        <v>4909152.0999999996</v>
      </c>
      <c r="F54" s="9" t="s">
        <v>101</v>
      </c>
      <c r="G54" s="9">
        <v>1</v>
      </c>
      <c r="H54" s="4" t="s">
        <v>261</v>
      </c>
      <c r="I54" s="5">
        <f t="shared" ref="I54:I70" si="8">IF(F54="разово",IF(G54&lt;=3,D54*E54,0),IF(F54="мес",D54*E54*MAX(0,4-G54),D54*E54*MAX(0,4-G54)/12))</f>
        <v>4909152.0999999996</v>
      </c>
    </row>
    <row r="55" spans="1:9" ht="15" customHeight="1" x14ac:dyDescent="0.25">
      <c r="A55" t="s">
        <v>115</v>
      </c>
      <c r="B55" s="4" t="s">
        <v>120</v>
      </c>
      <c r="C55" t="s">
        <v>117</v>
      </c>
      <c r="D55" s="9">
        <v>1</v>
      </c>
      <c r="E55" s="10">
        <v>50000</v>
      </c>
      <c r="F55" s="9" t="s">
        <v>118</v>
      </c>
      <c r="G55" s="9">
        <v>2</v>
      </c>
      <c r="H55" s="4"/>
      <c r="I55" s="5">
        <f t="shared" si="8"/>
        <v>100000</v>
      </c>
    </row>
    <row r="56" spans="1:9" ht="15" customHeight="1" x14ac:dyDescent="0.25">
      <c r="A56" t="s">
        <v>115</v>
      </c>
      <c r="B56" s="4" t="s">
        <v>121</v>
      </c>
      <c r="C56" t="s">
        <v>117</v>
      </c>
      <c r="D56" s="9">
        <v>1</v>
      </c>
      <c r="E56" s="10">
        <v>30000</v>
      </c>
      <c r="F56" s="9" t="s">
        <v>118</v>
      </c>
      <c r="G56" s="9">
        <v>2</v>
      </c>
      <c r="H56" s="4"/>
      <c r="I56" s="5">
        <f t="shared" si="8"/>
        <v>60000</v>
      </c>
    </row>
    <row r="57" spans="1:9" ht="15" customHeight="1" x14ac:dyDescent="0.25">
      <c r="A57" t="s">
        <v>115</v>
      </c>
      <c r="B57" s="4" t="s">
        <v>122</v>
      </c>
      <c r="C57" t="s">
        <v>117</v>
      </c>
      <c r="D57" s="9">
        <v>1</v>
      </c>
      <c r="E57" s="10">
        <v>50000</v>
      </c>
      <c r="F57" s="9" t="s">
        <v>118</v>
      </c>
      <c r="G57" s="9">
        <v>2</v>
      </c>
      <c r="H57" s="4"/>
      <c r="I57" s="5">
        <f t="shared" si="8"/>
        <v>100000</v>
      </c>
    </row>
    <row r="58" spans="1:9" ht="15" customHeight="1" x14ac:dyDescent="0.25">
      <c r="A58" t="s">
        <v>115</v>
      </c>
      <c r="B58" s="4" t="s">
        <v>123</v>
      </c>
      <c r="C58" t="s">
        <v>117</v>
      </c>
      <c r="D58" s="9">
        <v>1</v>
      </c>
      <c r="E58" s="10">
        <v>30000</v>
      </c>
      <c r="F58" s="9" t="s">
        <v>118</v>
      </c>
      <c r="G58" s="9">
        <v>2</v>
      </c>
      <c r="H58" s="4"/>
      <c r="I58" s="5">
        <f t="shared" si="8"/>
        <v>60000</v>
      </c>
    </row>
    <row r="59" spans="1:9" ht="15" customHeight="1" x14ac:dyDescent="0.25">
      <c r="A59" t="s">
        <v>115</v>
      </c>
      <c r="B59" s="4" t="s">
        <v>362</v>
      </c>
      <c r="C59" t="s">
        <v>117</v>
      </c>
      <c r="D59" s="9">
        <v>1</v>
      </c>
      <c r="E59" s="10">
        <f>Канцелярия!F11</f>
        <v>24125</v>
      </c>
      <c r="F59" s="9" t="s">
        <v>118</v>
      </c>
      <c r="G59" s="9">
        <v>2</v>
      </c>
      <c r="H59" s="4" t="s">
        <v>363</v>
      </c>
      <c r="I59" s="5">
        <f t="shared" si="8"/>
        <v>48250</v>
      </c>
    </row>
    <row r="60" spans="1:9" ht="15" customHeight="1" x14ac:dyDescent="0.25">
      <c r="A60" t="s">
        <v>115</v>
      </c>
      <c r="B60" s="4" t="s">
        <v>364</v>
      </c>
      <c r="C60" t="s">
        <v>104</v>
      </c>
      <c r="D60" s="9">
        <v>1</v>
      </c>
      <c r="E60" s="10">
        <f>Канцелярия!F20</f>
        <v>15500</v>
      </c>
      <c r="F60" s="9" t="s">
        <v>101</v>
      </c>
      <c r="G60" s="9">
        <v>1</v>
      </c>
      <c r="H60" s="4" t="s">
        <v>365</v>
      </c>
      <c r="I60" s="5">
        <f t="shared" ref="I60" si="9">IF(F60="разово",IF(G60&lt;=3,D60*E60,0),IF(F60="мес",D60*E60*MAX(0,4-G60),D60*E60*MAX(0,4-G60)/12))</f>
        <v>15500</v>
      </c>
    </row>
    <row r="61" spans="1:9" ht="15" customHeight="1" x14ac:dyDescent="0.25">
      <c r="A61" t="s">
        <v>115</v>
      </c>
      <c r="B61" s="4" t="s">
        <v>124</v>
      </c>
      <c r="C61" t="s">
        <v>117</v>
      </c>
      <c r="D61" s="9">
        <v>1</v>
      </c>
      <c r="E61" s="10">
        <v>100000</v>
      </c>
      <c r="F61" s="9" t="s">
        <v>118</v>
      </c>
      <c r="G61" s="9">
        <v>2</v>
      </c>
      <c r="H61" s="4"/>
      <c r="I61" s="5">
        <f t="shared" si="8"/>
        <v>200000</v>
      </c>
    </row>
    <row r="62" spans="1:9" ht="15" customHeight="1" x14ac:dyDescent="0.25">
      <c r="A62" t="s">
        <v>125</v>
      </c>
      <c r="B62" s="4" t="s">
        <v>126</v>
      </c>
      <c r="C62" t="s">
        <v>127</v>
      </c>
      <c r="D62" s="9">
        <v>19</v>
      </c>
      <c r="E62" s="10">
        <v>7000</v>
      </c>
      <c r="F62" s="9" t="s">
        <v>118</v>
      </c>
      <c r="G62" s="9">
        <v>2</v>
      </c>
      <c r="H62" s="4" t="s">
        <v>355</v>
      </c>
      <c r="I62" s="5">
        <f t="shared" si="8"/>
        <v>266000</v>
      </c>
    </row>
    <row r="63" spans="1:9" ht="15" customHeight="1" x14ac:dyDescent="0.25">
      <c r="A63" t="s">
        <v>125</v>
      </c>
      <c r="B63" s="4" t="s">
        <v>128</v>
      </c>
      <c r="C63" t="s">
        <v>127</v>
      </c>
      <c r="D63" s="9">
        <v>3</v>
      </c>
      <c r="E63" s="10">
        <v>7500</v>
      </c>
      <c r="F63" s="9" t="s">
        <v>118</v>
      </c>
      <c r="G63" s="9">
        <v>2</v>
      </c>
      <c r="H63" s="4"/>
      <c r="I63" s="5">
        <f t="shared" si="8"/>
        <v>45000</v>
      </c>
    </row>
    <row r="64" spans="1:9" ht="15" customHeight="1" x14ac:dyDescent="0.25">
      <c r="A64" t="s">
        <v>125</v>
      </c>
      <c r="B64" s="4" t="s">
        <v>129</v>
      </c>
      <c r="C64" t="s">
        <v>130</v>
      </c>
      <c r="D64" s="9">
        <v>2</v>
      </c>
      <c r="E64" s="10">
        <v>30000</v>
      </c>
      <c r="F64" s="9" t="s">
        <v>118</v>
      </c>
      <c r="G64" s="9">
        <v>2</v>
      </c>
      <c r="H64" s="4" t="s">
        <v>131</v>
      </c>
      <c r="I64" s="5">
        <f t="shared" si="8"/>
        <v>120000</v>
      </c>
    </row>
    <row r="65" spans="1:9" ht="15" customHeight="1" x14ac:dyDescent="0.25">
      <c r="A65" t="s">
        <v>125</v>
      </c>
      <c r="B65" s="4" t="s">
        <v>132</v>
      </c>
      <c r="C65" t="s">
        <v>130</v>
      </c>
      <c r="D65" s="9">
        <v>2</v>
      </c>
      <c r="E65" s="10">
        <v>8000</v>
      </c>
      <c r="F65" s="9" t="s">
        <v>118</v>
      </c>
      <c r="G65" s="9">
        <v>2</v>
      </c>
      <c r="H65" s="4"/>
      <c r="I65" s="5">
        <f t="shared" si="8"/>
        <v>32000</v>
      </c>
    </row>
    <row r="66" spans="1:9" ht="15" customHeight="1" x14ac:dyDescent="0.25">
      <c r="A66" t="s">
        <v>133</v>
      </c>
      <c r="B66" s="4" t="s">
        <v>304</v>
      </c>
      <c r="C66" t="s">
        <v>239</v>
      </c>
      <c r="D66" s="9"/>
      <c r="E66" s="10"/>
      <c r="F66" s="9" t="s">
        <v>238</v>
      </c>
      <c r="G66" s="9"/>
      <c r="H66" s="4"/>
      <c r="I66" s="5">
        <v>2000000</v>
      </c>
    </row>
    <row r="67" spans="1:9" ht="15" customHeight="1" x14ac:dyDescent="0.25">
      <c r="A67" t="s">
        <v>133</v>
      </c>
      <c r="B67" s="4" t="s">
        <v>134</v>
      </c>
      <c r="C67" t="s">
        <v>117</v>
      </c>
      <c r="D67" s="9">
        <v>1</v>
      </c>
      <c r="E67" s="10">
        <v>150000</v>
      </c>
      <c r="F67" s="9" t="s">
        <v>118</v>
      </c>
      <c r="G67" s="9">
        <v>2</v>
      </c>
      <c r="H67" s="4"/>
      <c r="I67" s="5">
        <f t="shared" si="8"/>
        <v>300000</v>
      </c>
    </row>
    <row r="68" spans="1:9" ht="15" customHeight="1" x14ac:dyDescent="0.25">
      <c r="A68" t="s">
        <v>133</v>
      </c>
      <c r="B68" s="4" t="s">
        <v>136</v>
      </c>
      <c r="C68" t="s">
        <v>117</v>
      </c>
      <c r="D68" s="9">
        <v>1</v>
      </c>
      <c r="E68" s="10">
        <v>25000</v>
      </c>
      <c r="F68" s="9" t="s">
        <v>118</v>
      </c>
      <c r="G68" s="9">
        <v>2</v>
      </c>
      <c r="H68" s="4"/>
      <c r="I68" s="5">
        <f t="shared" si="8"/>
        <v>50000</v>
      </c>
    </row>
    <row r="69" spans="1:9" ht="15" customHeight="1" x14ac:dyDescent="0.25">
      <c r="A69" t="s">
        <v>137</v>
      </c>
      <c r="B69" s="4" t="s">
        <v>356</v>
      </c>
      <c r="C69" t="s">
        <v>104</v>
      </c>
      <c r="D69" s="9">
        <v>1</v>
      </c>
      <c r="E69" s="10">
        <v>50000</v>
      </c>
      <c r="F69" s="9" t="s">
        <v>101</v>
      </c>
      <c r="G69" s="9">
        <v>1</v>
      </c>
      <c r="H69" s="4"/>
      <c r="I69" s="5">
        <f t="shared" si="8"/>
        <v>50000</v>
      </c>
    </row>
    <row r="70" spans="1:9" ht="15" customHeight="1" x14ac:dyDescent="0.25">
      <c r="A70" t="s">
        <v>137</v>
      </c>
      <c r="B70" s="4" t="s">
        <v>357</v>
      </c>
      <c r="C70" t="s">
        <v>135</v>
      </c>
      <c r="D70" s="9"/>
      <c r="E70" s="10">
        <v>100000</v>
      </c>
      <c r="F70" s="9" t="s">
        <v>135</v>
      </c>
      <c r="G70" s="9">
        <v>2</v>
      </c>
      <c r="H70" s="4"/>
      <c r="I70" s="5">
        <f t="shared" si="8"/>
        <v>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A11" sqref="A11:G11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335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280</v>
      </c>
      <c r="B5" s="4" t="s">
        <v>463</v>
      </c>
      <c r="C5" t="s">
        <v>239</v>
      </c>
      <c r="D5" s="9"/>
      <c r="E5" s="10"/>
      <c r="F5" s="9" t="s">
        <v>238</v>
      </c>
      <c r="G5" s="5">
        <f>'Taza talqy'!F12</f>
        <v>10755520</v>
      </c>
    </row>
    <row r="6" spans="1:7" x14ac:dyDescent="0.25">
      <c r="A6" t="s">
        <v>280</v>
      </c>
      <c r="B6" s="4" t="s">
        <v>464</v>
      </c>
      <c r="C6" t="s">
        <v>239</v>
      </c>
      <c r="D6" s="9"/>
      <c r="E6" s="10"/>
      <c r="F6" s="9" t="s">
        <v>238</v>
      </c>
      <c r="G6" s="5">
        <f>'Презентация офисе'!F15</f>
        <v>6414800</v>
      </c>
    </row>
    <row r="7" spans="1:7" x14ac:dyDescent="0.25">
      <c r="A7" t="s">
        <v>280</v>
      </c>
      <c r="B7" s="4" t="s">
        <v>240</v>
      </c>
      <c r="C7" t="s">
        <v>239</v>
      </c>
      <c r="D7" s="9"/>
      <c r="E7" s="10"/>
      <c r="F7" s="9" t="s">
        <v>238</v>
      </c>
      <c r="G7" s="5">
        <f>'креативные проекты'!F9</f>
        <v>17284000</v>
      </c>
    </row>
    <row r="8" spans="1:7" x14ac:dyDescent="0.25">
      <c r="A8" t="s">
        <v>280</v>
      </c>
      <c r="B8" s="4" t="s">
        <v>465</v>
      </c>
      <c r="C8" t="s">
        <v>239</v>
      </c>
      <c r="D8" s="9"/>
      <c r="E8" s="10"/>
      <c r="F8" s="9" t="s">
        <v>238</v>
      </c>
      <c r="G8" s="5">
        <f>'Информ сопровождение'!F13</f>
        <v>23432000</v>
      </c>
    </row>
    <row r="9" spans="1:7" x14ac:dyDescent="0.25">
      <c r="A9" t="s">
        <v>280</v>
      </c>
      <c r="B9" s="4" t="s">
        <v>466</v>
      </c>
      <c r="C9" t="s">
        <v>239</v>
      </c>
      <c r="D9" s="9"/>
      <c r="E9" s="10"/>
      <c r="F9" s="9" t="s">
        <v>238</v>
      </c>
      <c r="G9" s="5">
        <f>'Соц исследования'!F8</f>
        <v>13108000</v>
      </c>
    </row>
    <row r="10" spans="1:7" x14ac:dyDescent="0.25">
      <c r="A10" t="s">
        <v>280</v>
      </c>
      <c r="B10" s="4" t="s">
        <v>462</v>
      </c>
      <c r="C10" t="s">
        <v>239</v>
      </c>
      <c r="D10" s="9"/>
      <c r="E10" s="10"/>
      <c r="F10" s="9" t="s">
        <v>238</v>
      </c>
      <c r="G10" s="5">
        <f>'Разработка платформы'!F7</f>
        <v>16239999.999999998</v>
      </c>
    </row>
    <row r="11" spans="1:7" x14ac:dyDescent="0.25">
      <c r="B11" s="4"/>
      <c r="D11" s="9"/>
      <c r="E11" s="10"/>
      <c r="F11" s="9"/>
      <c r="G11" s="5"/>
    </row>
    <row r="12" spans="1:7" x14ac:dyDescent="0.25">
      <c r="G12" s="5"/>
    </row>
    <row r="13" spans="1:7" x14ac:dyDescent="0.25">
      <c r="B13" s="7" t="s">
        <v>336</v>
      </c>
      <c r="C13" s="7"/>
      <c r="D13" s="7"/>
      <c r="E13" s="7"/>
      <c r="F13" s="7"/>
      <c r="G13" s="6">
        <f>SUM(G5:G11)</f>
        <v>87234320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7" t="s">
        <v>408</v>
      </c>
      <c r="B1" s="87"/>
      <c r="C1" s="87"/>
      <c r="D1" s="87"/>
      <c r="E1" s="87"/>
      <c r="F1" s="88"/>
      <c r="G1" s="88"/>
      <c r="H1" s="88"/>
      <c r="I1" s="88"/>
      <c r="J1" s="88"/>
      <c r="K1" s="88"/>
      <c r="L1" s="88"/>
    </row>
    <row r="3" spans="1:12" ht="38.25" x14ac:dyDescent="0.2">
      <c r="A3" s="47" t="s">
        <v>66</v>
      </c>
      <c r="B3" s="48" t="s">
        <v>409</v>
      </c>
      <c r="C3" s="49" t="s">
        <v>410</v>
      </c>
      <c r="D3" s="49" t="s">
        <v>411</v>
      </c>
      <c r="E3" s="50" t="s">
        <v>412</v>
      </c>
      <c r="F3" s="50" t="s">
        <v>413</v>
      </c>
    </row>
    <row r="4" spans="1:12" x14ac:dyDescent="0.2">
      <c r="A4" s="51"/>
      <c r="B4" s="48" t="s">
        <v>414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415</v>
      </c>
      <c r="B5" s="54" t="s">
        <v>416</v>
      </c>
      <c r="C5" s="55" t="s">
        <v>417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418</v>
      </c>
      <c r="B6" s="57" t="s">
        <v>419</v>
      </c>
      <c r="C6" s="55" t="s">
        <v>420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421</v>
      </c>
      <c r="B7" s="57" t="s">
        <v>422</v>
      </c>
      <c r="C7" s="55" t="s">
        <v>420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423</v>
      </c>
      <c r="B8" s="57" t="s">
        <v>424</v>
      </c>
      <c r="C8" s="55" t="s">
        <v>420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425</v>
      </c>
      <c r="B9" s="57" t="s">
        <v>426</v>
      </c>
      <c r="C9" s="55" t="s">
        <v>420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427</v>
      </c>
      <c r="B10" s="57" t="s">
        <v>428</v>
      </c>
      <c r="C10" s="55" t="s">
        <v>420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429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430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7" t="s">
        <v>431</v>
      </c>
      <c r="B1" s="87"/>
      <c r="C1" s="87"/>
      <c r="D1" s="87"/>
      <c r="E1" s="87"/>
      <c r="F1" s="88"/>
      <c r="G1" s="88"/>
      <c r="H1" s="88"/>
      <c r="I1" s="88"/>
      <c r="J1" s="88"/>
      <c r="K1" s="88"/>
      <c r="L1" s="88"/>
    </row>
    <row r="3" spans="1:12" ht="38.25" x14ac:dyDescent="0.2">
      <c r="A3" s="47" t="s">
        <v>66</v>
      </c>
      <c r="B3" s="48" t="s">
        <v>409</v>
      </c>
      <c r="C3" s="49" t="s">
        <v>410</v>
      </c>
      <c r="D3" s="49" t="s">
        <v>411</v>
      </c>
      <c r="E3" s="50" t="s">
        <v>412</v>
      </c>
      <c r="F3" s="50" t="s">
        <v>413</v>
      </c>
    </row>
    <row r="4" spans="1:12" x14ac:dyDescent="0.2">
      <c r="A4" s="51"/>
      <c r="B4" s="48" t="s">
        <v>414</v>
      </c>
      <c r="C4" s="49"/>
      <c r="D4" s="49"/>
      <c r="E4" s="52"/>
      <c r="F4" s="53">
        <f>F14</f>
        <v>5530000</v>
      </c>
    </row>
    <row r="5" spans="1:12" x14ac:dyDescent="0.2">
      <c r="A5" s="51" t="s">
        <v>415</v>
      </c>
      <c r="B5" s="57" t="s">
        <v>432</v>
      </c>
      <c r="C5" s="55" t="s">
        <v>433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418</v>
      </c>
      <c r="B6" s="57" t="s">
        <v>434</v>
      </c>
      <c r="C6" s="55" t="s">
        <v>433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421</v>
      </c>
      <c r="B7" s="57" t="s">
        <v>435</v>
      </c>
      <c r="C7" s="55" t="s">
        <v>433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423</v>
      </c>
      <c r="B8" s="57" t="s">
        <v>436</v>
      </c>
      <c r="C8" s="55" t="s">
        <v>437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425</v>
      </c>
      <c r="B9" s="57" t="s">
        <v>438</v>
      </c>
      <c r="C9" s="55" t="s">
        <v>439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427</v>
      </c>
      <c r="B10" s="57" t="s">
        <v>440</v>
      </c>
      <c r="C10" s="55" t="s">
        <v>439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441</v>
      </c>
      <c r="C11" s="55" t="s">
        <v>439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427</v>
      </c>
      <c r="B12" s="57" t="s">
        <v>424</v>
      </c>
      <c r="C12" s="55" t="s">
        <v>437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442</v>
      </c>
      <c r="B13" s="75" t="s">
        <v>443</v>
      </c>
      <c r="C13" s="76" t="s">
        <v>417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429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430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7" t="s">
        <v>444</v>
      </c>
      <c r="B1" s="87"/>
      <c r="C1" s="87"/>
      <c r="D1" s="87"/>
      <c r="E1" s="87"/>
      <c r="F1" s="88"/>
      <c r="G1" s="88"/>
      <c r="H1" s="88"/>
      <c r="I1" s="88"/>
      <c r="J1" s="88"/>
      <c r="K1" s="88"/>
      <c r="L1" s="88"/>
    </row>
    <row r="3" spans="1:12" ht="38.25" x14ac:dyDescent="0.2">
      <c r="A3" s="47" t="s">
        <v>66</v>
      </c>
      <c r="B3" s="48" t="s">
        <v>409</v>
      </c>
      <c r="C3" s="49" t="s">
        <v>410</v>
      </c>
      <c r="D3" s="49" t="s">
        <v>411</v>
      </c>
      <c r="E3" s="50" t="s">
        <v>412</v>
      </c>
      <c r="F3" s="50" t="s">
        <v>413</v>
      </c>
    </row>
    <row r="4" spans="1:12" x14ac:dyDescent="0.2">
      <c r="A4" s="51"/>
      <c r="B4" s="48" t="s">
        <v>414</v>
      </c>
      <c r="C4" s="49"/>
      <c r="D4" s="49"/>
      <c r="E4" s="52"/>
      <c r="F4" s="53">
        <f>F8</f>
        <v>14900000</v>
      </c>
    </row>
    <row r="5" spans="1:12" x14ac:dyDescent="0.2">
      <c r="A5" s="51" t="s">
        <v>415</v>
      </c>
      <c r="B5" s="57" t="s">
        <v>445</v>
      </c>
      <c r="C5" s="55" t="s">
        <v>446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418</v>
      </c>
      <c r="B6" s="57" t="s">
        <v>447</v>
      </c>
      <c r="C6" s="55" t="s">
        <v>448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421</v>
      </c>
      <c r="B7" s="57" t="s">
        <v>449</v>
      </c>
      <c r="C7" s="55" t="s">
        <v>448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429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430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7" t="s">
        <v>450</v>
      </c>
      <c r="B1" s="87"/>
      <c r="C1" s="87"/>
      <c r="D1" s="87"/>
      <c r="E1" s="87"/>
      <c r="F1" s="88"/>
      <c r="G1" s="88"/>
      <c r="H1" s="88"/>
      <c r="I1" s="88"/>
      <c r="J1" s="88"/>
      <c r="K1" s="88"/>
      <c r="L1" s="88"/>
    </row>
    <row r="3" spans="1:12" ht="38.25" x14ac:dyDescent="0.2">
      <c r="A3" s="47" t="s">
        <v>66</v>
      </c>
      <c r="B3" s="48" t="s">
        <v>409</v>
      </c>
      <c r="C3" s="49" t="s">
        <v>410</v>
      </c>
      <c r="D3" s="49" t="s">
        <v>411</v>
      </c>
      <c r="E3" s="50" t="s">
        <v>412</v>
      </c>
      <c r="F3" s="50" t="s">
        <v>413</v>
      </c>
    </row>
    <row r="4" spans="1:12" x14ac:dyDescent="0.2">
      <c r="A4" s="51"/>
      <c r="B4" s="48" t="s">
        <v>414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415</v>
      </c>
      <c r="B5" s="57" t="s">
        <v>451</v>
      </c>
      <c r="C5" s="55" t="s">
        <v>437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418</v>
      </c>
      <c r="B6" s="57" t="s">
        <v>452</v>
      </c>
      <c r="C6" s="55" t="s">
        <v>446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421</v>
      </c>
      <c r="B7" s="57" t="s">
        <v>453</v>
      </c>
      <c r="C7" s="55" t="s">
        <v>437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423</v>
      </c>
      <c r="B8" s="57" t="s">
        <v>454</v>
      </c>
      <c r="C8" s="55" t="s">
        <v>437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425</v>
      </c>
      <c r="B9" s="57" t="s">
        <v>455</v>
      </c>
      <c r="C9" s="55" t="s">
        <v>437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427</v>
      </c>
      <c r="B10" s="57" t="s">
        <v>456</v>
      </c>
      <c r="C10" s="55" t="s">
        <v>437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442</v>
      </c>
      <c r="B11" s="57" t="s">
        <v>457</v>
      </c>
      <c r="C11" s="55" t="s">
        <v>439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429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430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7" t="s">
        <v>458</v>
      </c>
      <c r="B1" s="87"/>
      <c r="C1" s="87"/>
      <c r="D1" s="87"/>
      <c r="E1" s="87"/>
      <c r="F1" s="88"/>
      <c r="G1" s="88"/>
      <c r="H1" s="88"/>
      <c r="I1" s="88"/>
      <c r="J1" s="88"/>
      <c r="K1" s="88"/>
      <c r="L1" s="88"/>
    </row>
    <row r="3" spans="1:12" ht="38.25" x14ac:dyDescent="0.2">
      <c r="A3" s="47" t="s">
        <v>66</v>
      </c>
      <c r="B3" s="48" t="s">
        <v>409</v>
      </c>
      <c r="C3" s="49" t="s">
        <v>410</v>
      </c>
      <c r="D3" s="49" t="s">
        <v>411</v>
      </c>
      <c r="E3" s="50" t="s">
        <v>412</v>
      </c>
      <c r="F3" s="50" t="s">
        <v>413</v>
      </c>
    </row>
    <row r="4" spans="1:12" x14ac:dyDescent="0.2">
      <c r="A4" s="51"/>
      <c r="B4" s="48" t="s">
        <v>414</v>
      </c>
      <c r="C4" s="49"/>
      <c r="D4" s="49"/>
      <c r="E4" s="52"/>
      <c r="F4" s="53">
        <f>F7</f>
        <v>11300000</v>
      </c>
    </row>
    <row r="5" spans="1:12" x14ac:dyDescent="0.2">
      <c r="A5" s="51" t="s">
        <v>415</v>
      </c>
      <c r="B5" s="57" t="s">
        <v>459</v>
      </c>
      <c r="C5" s="55" t="s">
        <v>437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418</v>
      </c>
      <c r="B6" s="57" t="s">
        <v>460</v>
      </c>
      <c r="C6" s="55" t="s">
        <v>446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429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430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87" t="s">
        <v>461</v>
      </c>
      <c r="B1" s="87"/>
      <c r="C1" s="87"/>
      <c r="D1" s="87"/>
      <c r="E1" s="87"/>
      <c r="F1" s="88"/>
      <c r="G1" s="88"/>
      <c r="H1" s="88"/>
      <c r="I1" s="88"/>
      <c r="J1" s="88"/>
      <c r="K1" s="88"/>
      <c r="L1" s="88"/>
    </row>
    <row r="3" spans="1:12" ht="38.25" x14ac:dyDescent="0.2">
      <c r="A3" s="47" t="s">
        <v>66</v>
      </c>
      <c r="B3" s="48" t="s">
        <v>409</v>
      </c>
      <c r="C3" s="49" t="s">
        <v>410</v>
      </c>
      <c r="D3" s="49" t="s">
        <v>411</v>
      </c>
      <c r="E3" s="50" t="s">
        <v>412</v>
      </c>
      <c r="F3" s="50" t="s">
        <v>413</v>
      </c>
    </row>
    <row r="4" spans="1:12" x14ac:dyDescent="0.2">
      <c r="A4" s="51"/>
      <c r="B4" s="48" t="s">
        <v>414</v>
      </c>
      <c r="C4" s="49"/>
      <c r="D4" s="49"/>
      <c r="E4" s="52"/>
      <c r="F4" s="53">
        <f>F6</f>
        <v>14000000</v>
      </c>
    </row>
    <row r="5" spans="1:12" x14ac:dyDescent="0.2">
      <c r="A5" s="51" t="s">
        <v>415</v>
      </c>
      <c r="B5" s="57" t="s">
        <v>462</v>
      </c>
      <c r="C5" s="55" t="s">
        <v>437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429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430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361</v>
      </c>
    </row>
    <row r="4" spans="1:7" s="7" customFormat="1" x14ac:dyDescent="0.25">
      <c r="A4" s="7" t="s">
        <v>179</v>
      </c>
      <c r="B4" s="7" t="s">
        <v>180</v>
      </c>
      <c r="C4" s="7" t="s">
        <v>94</v>
      </c>
      <c r="D4" s="7" t="s">
        <v>181</v>
      </c>
      <c r="E4" s="7" t="s">
        <v>95</v>
      </c>
      <c r="F4" s="7" t="s">
        <v>182</v>
      </c>
      <c r="G4" s="7" t="s">
        <v>97</v>
      </c>
    </row>
    <row r="5" spans="1:7" x14ac:dyDescent="0.25">
      <c r="A5" t="s">
        <v>183</v>
      </c>
      <c r="B5" t="s">
        <v>184</v>
      </c>
      <c r="C5" t="s">
        <v>185</v>
      </c>
      <c r="D5" s="13">
        <v>3.5</v>
      </c>
      <c r="E5" s="5">
        <v>3000</v>
      </c>
      <c r="F5" s="5">
        <f t="shared" ref="F5:F10" si="0">D5*E5</f>
        <v>10500</v>
      </c>
      <c r="G5" t="s">
        <v>305</v>
      </c>
    </row>
    <row r="6" spans="1:7" x14ac:dyDescent="0.25">
      <c r="A6" t="s">
        <v>183</v>
      </c>
      <c r="B6" t="s">
        <v>186</v>
      </c>
      <c r="C6" t="s">
        <v>185</v>
      </c>
      <c r="D6" s="13">
        <v>0.25</v>
      </c>
      <c r="E6" s="5">
        <v>6500</v>
      </c>
      <c r="F6" s="5">
        <f t="shared" si="0"/>
        <v>1625</v>
      </c>
      <c r="G6" t="s">
        <v>187</v>
      </c>
    </row>
    <row r="7" spans="1:7" x14ac:dyDescent="0.25">
      <c r="A7" t="s">
        <v>183</v>
      </c>
      <c r="B7" t="s">
        <v>188</v>
      </c>
      <c r="C7" t="s">
        <v>189</v>
      </c>
      <c r="D7" s="13">
        <v>0.5</v>
      </c>
      <c r="E7" s="5">
        <v>6000</v>
      </c>
      <c r="F7" s="5">
        <f t="shared" si="0"/>
        <v>3000</v>
      </c>
      <c r="G7" t="s">
        <v>190</v>
      </c>
    </row>
    <row r="8" spans="1:7" x14ac:dyDescent="0.25">
      <c r="A8" t="s">
        <v>183</v>
      </c>
      <c r="B8" t="s">
        <v>191</v>
      </c>
      <c r="C8" t="s">
        <v>104</v>
      </c>
      <c r="D8" s="13">
        <v>0</v>
      </c>
      <c r="E8" s="5">
        <v>5000</v>
      </c>
      <c r="F8" s="5">
        <f t="shared" si="0"/>
        <v>0</v>
      </c>
      <c r="G8" t="s">
        <v>192</v>
      </c>
    </row>
    <row r="9" spans="1:7" x14ac:dyDescent="0.25">
      <c r="A9" t="s">
        <v>193</v>
      </c>
      <c r="B9" t="s">
        <v>194</v>
      </c>
      <c r="C9" t="s">
        <v>104</v>
      </c>
      <c r="D9" s="13">
        <v>0</v>
      </c>
      <c r="E9" s="5">
        <v>1200</v>
      </c>
      <c r="F9" s="5">
        <f t="shared" si="0"/>
        <v>0</v>
      </c>
      <c r="G9" t="s">
        <v>195</v>
      </c>
    </row>
    <row r="10" spans="1:7" x14ac:dyDescent="0.25">
      <c r="A10" t="s">
        <v>193</v>
      </c>
      <c r="B10" t="s">
        <v>196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195</v>
      </c>
    </row>
    <row r="11" spans="1:7" s="7" customFormat="1" x14ac:dyDescent="0.25">
      <c r="B11" s="7" t="s">
        <v>208</v>
      </c>
      <c r="D11" s="32"/>
      <c r="E11" s="6"/>
      <c r="F11" s="6">
        <f>SUM(F5:F10)</f>
        <v>24125</v>
      </c>
    </row>
    <row r="13" spans="1:7" x14ac:dyDescent="0.25">
      <c r="A13" s="7" t="s">
        <v>359</v>
      </c>
      <c r="B13" s="7"/>
      <c r="C13" s="7"/>
      <c r="D13" s="32" t="s">
        <v>72</v>
      </c>
      <c r="E13" s="6"/>
      <c r="F13" s="6" t="s">
        <v>143</v>
      </c>
      <c r="G13" s="7"/>
    </row>
    <row r="14" spans="1:7" x14ac:dyDescent="0.25">
      <c r="A14" t="s">
        <v>193</v>
      </c>
      <c r="B14" t="s">
        <v>197</v>
      </c>
      <c r="C14" t="s">
        <v>104</v>
      </c>
      <c r="D14" s="45">
        <v>5</v>
      </c>
      <c r="E14" s="5">
        <v>1500</v>
      </c>
      <c r="F14" s="5">
        <f t="shared" ref="F14:F19" si="1">D14*E14</f>
        <v>7500</v>
      </c>
      <c r="G14" t="s">
        <v>198</v>
      </c>
    </row>
    <row r="15" spans="1:7" x14ac:dyDescent="0.25">
      <c r="A15" t="s">
        <v>193</v>
      </c>
      <c r="B15" t="s">
        <v>199</v>
      </c>
      <c r="C15" t="s">
        <v>104</v>
      </c>
      <c r="D15" s="45"/>
      <c r="E15" s="5">
        <v>8000</v>
      </c>
      <c r="F15" s="5">
        <f t="shared" si="1"/>
        <v>0</v>
      </c>
      <c r="G15" t="s">
        <v>200</v>
      </c>
    </row>
    <row r="16" spans="1:7" x14ac:dyDescent="0.25">
      <c r="A16" t="s">
        <v>193</v>
      </c>
      <c r="B16" t="s">
        <v>201</v>
      </c>
      <c r="C16" t="s">
        <v>104</v>
      </c>
      <c r="D16" s="45"/>
      <c r="E16" s="5">
        <v>10000</v>
      </c>
      <c r="F16" s="5">
        <f t="shared" si="1"/>
        <v>0</v>
      </c>
      <c r="G16" t="s">
        <v>202</v>
      </c>
    </row>
    <row r="17" spans="1:7" x14ac:dyDescent="0.25">
      <c r="A17" t="s">
        <v>193</v>
      </c>
      <c r="B17" t="s">
        <v>203</v>
      </c>
      <c r="C17" t="s">
        <v>104</v>
      </c>
      <c r="D17" s="45"/>
      <c r="E17" s="5">
        <v>6000</v>
      </c>
      <c r="F17" s="5">
        <f t="shared" si="1"/>
        <v>0</v>
      </c>
    </row>
    <row r="18" spans="1:7" x14ac:dyDescent="0.25">
      <c r="A18" t="s">
        <v>193</v>
      </c>
      <c r="B18" t="s">
        <v>204</v>
      </c>
      <c r="C18" t="s">
        <v>104</v>
      </c>
      <c r="D18" s="45"/>
      <c r="E18" s="5">
        <v>12000</v>
      </c>
      <c r="F18" s="5">
        <f t="shared" si="1"/>
        <v>0</v>
      </c>
      <c r="G18" t="s">
        <v>205</v>
      </c>
    </row>
    <row r="19" spans="1:7" x14ac:dyDescent="0.25">
      <c r="A19" t="s">
        <v>193</v>
      </c>
      <c r="B19" t="s">
        <v>206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207</v>
      </c>
    </row>
    <row r="20" spans="1:7" x14ac:dyDescent="0.25">
      <c r="A20" s="7"/>
      <c r="B20" s="7" t="s">
        <v>360</v>
      </c>
      <c r="C20" s="7"/>
      <c r="D20" s="32"/>
      <c r="E20" s="6"/>
      <c r="F20" s="6">
        <f>SUM(F14:F19)</f>
        <v>15500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138</v>
      </c>
    </row>
    <row r="2" spans="1:7" ht="15" customHeight="1" x14ac:dyDescent="0.25">
      <c r="A2" s="2" t="s">
        <v>139</v>
      </c>
    </row>
    <row r="4" spans="1:7" ht="27.75" customHeight="1" x14ac:dyDescent="0.25">
      <c r="A4" s="3" t="s">
        <v>66</v>
      </c>
      <c r="B4" s="3" t="s">
        <v>140</v>
      </c>
      <c r="C4" s="3" t="s">
        <v>141</v>
      </c>
      <c r="D4" s="3" t="s">
        <v>142</v>
      </c>
      <c r="E4" s="3" t="s">
        <v>72</v>
      </c>
      <c r="F4" s="3" t="s">
        <v>95</v>
      </c>
      <c r="G4" s="3" t="s">
        <v>143</v>
      </c>
    </row>
    <row r="5" spans="1:7" ht="15" customHeight="1" x14ac:dyDescent="0.25">
      <c r="A5" s="7" t="s">
        <v>144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145</v>
      </c>
      <c r="C6">
        <v>5659</v>
      </c>
      <c r="D6" t="s">
        <v>146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147</v>
      </c>
      <c r="C7">
        <v>2584</v>
      </c>
      <c r="D7" t="s">
        <v>148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149</v>
      </c>
      <c r="C8">
        <v>6218</v>
      </c>
      <c r="D8" t="s">
        <v>148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150</v>
      </c>
      <c r="C9">
        <v>4240</v>
      </c>
      <c r="D9" t="s">
        <v>148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151</v>
      </c>
      <c r="C10">
        <v>6976</v>
      </c>
      <c r="D10" t="s">
        <v>148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152</v>
      </c>
      <c r="C11">
        <v>3288</v>
      </c>
      <c r="D11" t="s">
        <v>148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153</v>
      </c>
      <c r="C12">
        <v>1756</v>
      </c>
      <c r="D12" t="s">
        <v>148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154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350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155</v>
      </c>
      <c r="D16" t="s">
        <v>156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157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158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159</v>
      </c>
      <c r="D20" t="s">
        <v>156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160</v>
      </c>
      <c r="D21" t="s">
        <v>156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161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162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15</vt:i4>
      </vt:variant>
      <vt:variant>
        <vt:lpstr>Именованные диапазоны</vt:lpstr>
      </vt:variant>
      <vt:variant>
        <vt:i4>42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2026-10-23T13:59:18Z</dcterms:modified>
  <dc:language>en-US</dc:language>
</cp:coreProperties>
</file>