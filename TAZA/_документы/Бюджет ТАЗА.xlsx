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Taza talqy" sheetId="10" r:id="rId8"/>
    <sheet name="Презентация офисе" sheetId="11" r:id="rId9"/>
    <sheet name="креативные проекты" sheetId="12" r:id="rId10"/>
    <sheet name="Информ сопровождение" sheetId="13" r:id="rId11"/>
    <sheet name="Соц исследования" sheetId="14" r:id="rId12"/>
    <sheet name="Разработка платформы" sheetId="15" r:id="rId13"/>
    <sheet name="Канцелярия" sheetId="7" r:id="rId14"/>
    <sheet name="Смета фото-видео" sheetId="6" r:id="rId15"/>
  </sheets>
  <externalReferences>
    <externalReference r:id="rId16"/>
  </externalReferences>
  <definedNames>
    <definedName name="Авиа_межд" localSheetId="7">#REF!</definedName>
    <definedName name="Авиа_межд" localSheetId="10">#REF!</definedName>
    <definedName name="Авиа_межд" localSheetId="9">#REF!</definedName>
    <definedName name="Авиа_межд" localSheetId="8">#REF!</definedName>
    <definedName name="Авиа_межд" localSheetId="12">#REF!</definedName>
    <definedName name="Авиа_межд" localSheetId="11">#REF!</definedName>
    <definedName name="Авиа_межд">Параметры!$B$25</definedName>
    <definedName name="Авиа_РК" localSheetId="7">#REF!</definedName>
    <definedName name="Авиа_РК" localSheetId="10">#REF!</definedName>
    <definedName name="Авиа_РК" localSheetId="9">#REF!</definedName>
    <definedName name="Авиа_РК" localSheetId="8">#REF!</definedName>
    <definedName name="Авиа_РК" localSheetId="12">#REF!</definedName>
    <definedName name="Авиа_РК" localSheetId="11">#REF!</definedName>
    <definedName name="Авиа_РК">Параметры!$B$18</definedName>
    <definedName name="Аренда_депозит" localSheetId="7">#REF!</definedName>
    <definedName name="Аренда_депозит" localSheetId="10">#REF!</definedName>
    <definedName name="Аренда_депозит" localSheetId="9">#REF!</definedName>
    <definedName name="Аренда_депозит" localSheetId="8">#REF!</definedName>
    <definedName name="Аренда_депозит" localSheetId="12">#REF!</definedName>
    <definedName name="Аренда_депозит" localSheetId="11">#REF!</definedName>
    <definedName name="Аренда_депозит">Параметры!$B$48</definedName>
    <definedName name="Аренда_мес" localSheetId="7">#REF!</definedName>
    <definedName name="Аренда_мес" localSheetId="10">#REF!</definedName>
    <definedName name="Аренда_мес" localSheetId="9">#REF!</definedName>
    <definedName name="Аренда_мес" localSheetId="8">#REF!</definedName>
    <definedName name="Аренда_мес" localSheetId="12">#REF!</definedName>
    <definedName name="Аренда_мес" localSheetId="11">#REF!</definedName>
    <definedName name="Аренда_мес">Параметры!$B$32</definedName>
    <definedName name="Аренда_мес_2026" localSheetId="7">#REF!</definedName>
    <definedName name="Аренда_мес_2026" localSheetId="10">#REF!</definedName>
    <definedName name="Аренда_мес_2026" localSheetId="9">#REF!</definedName>
    <definedName name="Аренда_мес_2026" localSheetId="8">#REF!</definedName>
    <definedName name="Аренда_мес_2026" localSheetId="12">#REF!</definedName>
    <definedName name="Аренда_мес_2026" localSheetId="11">#REF!</definedName>
    <definedName name="Аренда_мес_2026">Параметры!$B$49</definedName>
    <definedName name="Аренда_с_НДС" localSheetId="7">#REF!</definedName>
    <definedName name="Аренда_с_НДС" localSheetId="10">#REF!</definedName>
    <definedName name="Аренда_с_НДС" localSheetId="9">#REF!</definedName>
    <definedName name="Аренда_с_НДС" localSheetId="8">#REF!</definedName>
    <definedName name="Аренда_с_НДС" localSheetId="12">#REF!</definedName>
    <definedName name="Аренда_с_НДС" localSheetId="11">#REF!</definedName>
    <definedName name="Аренда_с_НДС">Параметры!$B$47</definedName>
    <definedName name="Депозит_мес" localSheetId="7">#REF!</definedName>
    <definedName name="Депозит_мес" localSheetId="10">#REF!</definedName>
    <definedName name="Депозит_мес" localSheetId="9">#REF!</definedName>
    <definedName name="Депозит_мес" localSheetId="8">#REF!</definedName>
    <definedName name="Депозит_мес" localSheetId="12">#REF!</definedName>
    <definedName name="Депозит_мес" localSheetId="11">#REF!</definedName>
    <definedName name="Депозит_мес">Параметры!$B$33</definedName>
    <definedName name="Дней_межд" localSheetId="7">#REF!</definedName>
    <definedName name="Дней_межд" localSheetId="10">#REF!</definedName>
    <definedName name="Дней_межд" localSheetId="9">#REF!</definedName>
    <definedName name="Дней_межд" localSheetId="8">#REF!</definedName>
    <definedName name="Дней_межд" localSheetId="12">#REF!</definedName>
    <definedName name="Дней_межд" localSheetId="11">#REF!</definedName>
    <definedName name="Дней_межд">Параметры!$B$28</definedName>
    <definedName name="Дней_РК" localSheetId="7">#REF!</definedName>
    <definedName name="Дней_РК" localSheetId="10">#REF!</definedName>
    <definedName name="Дней_РК" localSheetId="9">#REF!</definedName>
    <definedName name="Дней_РК" localSheetId="8">#REF!</definedName>
    <definedName name="Дней_РК" localSheetId="12">#REF!</definedName>
    <definedName name="Дней_РК" localSheetId="11">#REF!</definedName>
    <definedName name="Дней_РК">Параметры!$B$21</definedName>
    <definedName name="Кап_ООСМС" localSheetId="7">#REF!</definedName>
    <definedName name="Кап_ООСМС" localSheetId="10">#REF!</definedName>
    <definedName name="Кап_ООСМС" localSheetId="9">#REF!</definedName>
    <definedName name="Кап_ООСМС" localSheetId="8">#REF!</definedName>
    <definedName name="Кап_ООСМС" localSheetId="12">#REF!</definedName>
    <definedName name="Кап_ООСМС" localSheetId="11">#REF!</definedName>
    <definedName name="Кап_ООСМС">Параметры!$B$11</definedName>
    <definedName name="Кап_СО" localSheetId="7">#REF!</definedName>
    <definedName name="Кап_СО" localSheetId="10">#REF!</definedName>
    <definedName name="Кап_СО" localSheetId="9">#REF!</definedName>
    <definedName name="Кап_СО" localSheetId="8">#REF!</definedName>
    <definedName name="Кап_СО" localSheetId="12">#REF!</definedName>
    <definedName name="Кап_СО" localSheetId="11">#REF!</definedName>
    <definedName name="Кап_СО">Параметры!$B$9</definedName>
    <definedName name="Коммун_мес" localSheetId="7">#REF!</definedName>
    <definedName name="Коммун_мес" localSheetId="10">#REF!</definedName>
    <definedName name="Коммун_мес" localSheetId="9">#REF!</definedName>
    <definedName name="Коммун_мес" localSheetId="8">#REF!</definedName>
    <definedName name="Коммун_мес" localSheetId="12">#REF!</definedName>
    <definedName name="Коммун_мес" localSheetId="11">#REF!</definedName>
    <definedName name="Коммун_мес">Параметры!$B$44</definedName>
    <definedName name="Курс" localSheetId="7">#REF!</definedName>
    <definedName name="Курс" localSheetId="10">#REF!</definedName>
    <definedName name="Курс" localSheetId="9">#REF!</definedName>
    <definedName name="Курс" localSheetId="8">#REF!</definedName>
    <definedName name="Курс" localSheetId="12">#REF!</definedName>
    <definedName name="Курс" localSheetId="11">#REF!</definedName>
    <definedName name="Курс">Параметры!$B$16</definedName>
    <definedName name="Мес_2026_новые" localSheetId="7">#REF!</definedName>
    <definedName name="Мес_2026_новые" localSheetId="10">#REF!</definedName>
    <definedName name="Мес_2026_новые" localSheetId="9">#REF!</definedName>
    <definedName name="Мес_2026_новые" localSheetId="8">#REF!</definedName>
    <definedName name="Мес_2026_новые" localSheetId="12">#REF!</definedName>
    <definedName name="Мес_2026_новые" localSheetId="11">#REF!</definedName>
    <definedName name="Мес_2026_новые">Параметры!$B$52</definedName>
    <definedName name="МЗП" localSheetId="7">#REF!</definedName>
    <definedName name="МЗП" localSheetId="10">#REF!</definedName>
    <definedName name="МЗП" localSheetId="9">#REF!</definedName>
    <definedName name="МЗП" localSheetId="8">#REF!</definedName>
    <definedName name="МЗП" localSheetId="12">#REF!</definedName>
    <definedName name="МЗП" localSheetId="11">#REF!</definedName>
    <definedName name="МЗП">Параметры!$B$4</definedName>
    <definedName name="МРП" localSheetId="7">#REF!</definedName>
    <definedName name="МРП" localSheetId="10">#REF!</definedName>
    <definedName name="МРП" localSheetId="9">#REF!</definedName>
    <definedName name="МРП" localSheetId="8">#REF!</definedName>
    <definedName name="МРП" localSheetId="12">#REF!</definedName>
    <definedName name="МРП" localSheetId="11">#REF!</definedName>
    <definedName name="МРП">Параметры!$B$5</definedName>
    <definedName name="НДС" localSheetId="7">#REF!</definedName>
    <definedName name="НДС" localSheetId="10">#REF!</definedName>
    <definedName name="НДС" localSheetId="9">#REF!</definedName>
    <definedName name="НДС" localSheetId="8">#REF!</definedName>
    <definedName name="НДС" localSheetId="12">#REF!</definedName>
    <definedName name="НДС" localSheetId="11">#REF!</definedName>
    <definedName name="НДС">Параметры!$B$35</definedName>
    <definedName name="Ночей_межд" localSheetId="7">#REF!</definedName>
    <definedName name="Ночей_межд" localSheetId="10">#REF!</definedName>
    <definedName name="Ночей_межд" localSheetId="9">#REF!</definedName>
    <definedName name="Ночей_межд" localSheetId="8">#REF!</definedName>
    <definedName name="Ночей_межд" localSheetId="12">#REF!</definedName>
    <definedName name="Ночей_межд" localSheetId="11">#REF!</definedName>
    <definedName name="Ночей_межд">Параметры!$B$29</definedName>
    <definedName name="Ночей_РК" localSheetId="7">#REF!</definedName>
    <definedName name="Ночей_РК" localSheetId="10">#REF!</definedName>
    <definedName name="Ночей_РК" localSheetId="9">#REF!</definedName>
    <definedName name="Ночей_РК" localSheetId="8">#REF!</definedName>
    <definedName name="Ночей_РК" localSheetId="12">#REF!</definedName>
    <definedName name="Ночей_РК" localSheetId="11">#REF!</definedName>
    <definedName name="Ночей_РК">Параметры!$B$22</definedName>
    <definedName name="ОСНС" localSheetId="7">#REF!</definedName>
    <definedName name="ОСНС" localSheetId="10">#REF!</definedName>
    <definedName name="ОСНС" localSheetId="9">#REF!</definedName>
    <definedName name="ОСНС" localSheetId="8">#REF!</definedName>
    <definedName name="ОСНС" localSheetId="12">#REF!</definedName>
    <definedName name="ОСНС" localSheetId="11">#REF!</definedName>
    <definedName name="ОСНС">Параметры!$B$14</definedName>
    <definedName name="ОСНС_полис" localSheetId="7">#REF!</definedName>
    <definedName name="ОСНС_полис" localSheetId="10">#REF!</definedName>
    <definedName name="ОСНС_полис" localSheetId="9">#REF!</definedName>
    <definedName name="ОСНС_полис" localSheetId="8">#REF!</definedName>
    <definedName name="ОСНС_полис" localSheetId="12">#REF!</definedName>
    <definedName name="ОСНС_полис" localSheetId="11">#REF!</definedName>
    <definedName name="ОСНС_полис">Параметры!$B$15</definedName>
    <definedName name="Отель_межд" localSheetId="7">#REF!</definedName>
    <definedName name="Отель_межд" localSheetId="10">#REF!</definedName>
    <definedName name="Отель_межд" localSheetId="9">#REF!</definedName>
    <definedName name="Отель_межд" localSheetId="8">#REF!</definedName>
    <definedName name="Отель_межд" localSheetId="12">#REF!</definedName>
    <definedName name="Отель_межд" localSheetId="11">#REF!</definedName>
    <definedName name="Отель_межд">Параметры!$B$26</definedName>
    <definedName name="Отель_РК" localSheetId="7">#REF!</definedName>
    <definedName name="Отель_РК" localSheetId="10">#REF!</definedName>
    <definedName name="Отель_РК" localSheetId="9">#REF!</definedName>
    <definedName name="Отель_РК" localSheetId="8">#REF!</definedName>
    <definedName name="Отель_РК" localSheetId="12">#REF!</definedName>
    <definedName name="Отель_РК" localSheetId="11">#REF!</definedName>
    <definedName name="Отель_РК">Параметры!$B$19</definedName>
    <definedName name="Парковка_мест" localSheetId="7">#REF!</definedName>
    <definedName name="Парковка_мест" localSheetId="10">#REF!</definedName>
    <definedName name="Парковка_мест" localSheetId="9">#REF!</definedName>
    <definedName name="Парковка_мест" localSheetId="8">#REF!</definedName>
    <definedName name="Парковка_мест" localSheetId="12">#REF!</definedName>
    <definedName name="Парковка_мест" localSheetId="11">#REF!</definedName>
    <definedName name="Парковка_мест">Параметры!$B$45</definedName>
    <definedName name="Парковка_цена" localSheetId="7">#REF!</definedName>
    <definedName name="Парковка_цена" localSheetId="10">#REF!</definedName>
    <definedName name="Парковка_цена" localSheetId="9">#REF!</definedName>
    <definedName name="Парковка_цена" localSheetId="8">#REF!</definedName>
    <definedName name="Парковка_цена" localSheetId="12">#REF!</definedName>
    <definedName name="Парковка_цена" localSheetId="11">#REF!</definedName>
    <definedName name="Парковка_цена">Параметры!$B$46</definedName>
    <definedName name="Площадь_офиса" localSheetId="7">#REF!</definedName>
    <definedName name="Площадь_офиса" localSheetId="10">#REF!</definedName>
    <definedName name="Площадь_офиса" localSheetId="9">#REF!</definedName>
    <definedName name="Площадь_офиса" localSheetId="8">#REF!</definedName>
    <definedName name="Площадь_офиса" localSheetId="12">#REF!</definedName>
    <definedName name="Площадь_офиса" localSheetId="11">#REF!</definedName>
    <definedName name="Площадь_офиса">Параметры!$B$42</definedName>
    <definedName name="Поездка_межд" localSheetId="7">#REF!</definedName>
    <definedName name="Поездка_межд" localSheetId="10">#REF!</definedName>
    <definedName name="Поездка_межд" localSheetId="9">#REF!</definedName>
    <definedName name="Поездка_межд" localSheetId="8">#REF!</definedName>
    <definedName name="Поездка_межд" localSheetId="12">#REF!</definedName>
    <definedName name="Поездка_межд" localSheetId="11">#REF!</definedName>
    <definedName name="Поездка_межд">Параметры!$B$31</definedName>
    <definedName name="Поездка_местн" localSheetId="7">#REF!</definedName>
    <definedName name="Поездка_местн" localSheetId="10">#REF!</definedName>
    <definedName name="Поездка_местн" localSheetId="9">#REF!</definedName>
    <definedName name="Поездка_местн" localSheetId="8">#REF!</definedName>
    <definedName name="Поездка_местн" localSheetId="12">#REF!</definedName>
    <definedName name="Поездка_местн" localSheetId="11">#REF!</definedName>
    <definedName name="Поездка_местн">Параметры!$B$24</definedName>
    <definedName name="Поездка_РК" localSheetId="7">#REF!</definedName>
    <definedName name="Поездка_РК" localSheetId="10">#REF!</definedName>
    <definedName name="Поездка_РК" localSheetId="9">#REF!</definedName>
    <definedName name="Поездка_РК" localSheetId="8">#REF!</definedName>
    <definedName name="Поездка_РК" localSheetId="12">#REF!</definedName>
    <definedName name="Поездка_РК" localSheetId="11">#REF!</definedName>
    <definedName name="Поездка_РК">Параметры!$B$23</definedName>
    <definedName name="Резерв" localSheetId="7">#REF!</definedName>
    <definedName name="Резерв" localSheetId="10">#REF!</definedName>
    <definedName name="Резерв" localSheetId="9">#REF!</definedName>
    <definedName name="Резерв" localSheetId="8">#REF!</definedName>
    <definedName name="Резерв" localSheetId="12">#REF!</definedName>
    <definedName name="Резерв" localSheetId="11">#REF!</definedName>
    <definedName name="Резерв">Параметры!$B$34</definedName>
    <definedName name="Сборка_мебели_проц" localSheetId="7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8">#REF!</definedName>
    <definedName name="Сборка_мебели_проц" localSheetId="12">#REF!</definedName>
    <definedName name="Сборка_мебели_проц" localSheetId="11">#REF!</definedName>
    <definedName name="Сборка_мебели_проц">Параметры!$B$51</definedName>
    <definedName name="Ставка_аренды_м2" localSheetId="7">#REF!</definedName>
    <definedName name="Ставка_аренды_м2" localSheetId="10">#REF!</definedName>
    <definedName name="Ставка_аренды_м2" localSheetId="9">#REF!</definedName>
    <definedName name="Ставка_аренды_м2" localSheetId="8">#REF!</definedName>
    <definedName name="Ставка_аренды_м2" localSheetId="12">#REF!</definedName>
    <definedName name="Ставка_аренды_м2" localSheetId="11">#REF!</definedName>
    <definedName name="Ставка_аренды_м2">Параметры!$B$43</definedName>
    <definedName name="Ставка_ВОСМС" localSheetId="7">#REF!</definedName>
    <definedName name="Ставка_ВОСМС" localSheetId="10">#REF!</definedName>
    <definedName name="Ставка_ВОСМС" localSheetId="9">#REF!</definedName>
    <definedName name="Ставка_ВОСМС" localSheetId="8">#REF!</definedName>
    <definedName name="Ставка_ВОСМС" localSheetId="12">#REF!</definedName>
    <definedName name="Ставка_ВОСМС" localSheetId="11">#REF!</definedName>
    <definedName name="Ставка_ВОСМС">Параметры!$B$13</definedName>
    <definedName name="Ставка_ООСМС" localSheetId="7">#REF!</definedName>
    <definedName name="Ставка_ООСМС" localSheetId="10">#REF!</definedName>
    <definedName name="Ставка_ООСМС" localSheetId="9">#REF!</definedName>
    <definedName name="Ставка_ООСМС" localSheetId="8">#REF!</definedName>
    <definedName name="Ставка_ООСМС" localSheetId="12">#REF!</definedName>
    <definedName name="Ставка_ООСМС" localSheetId="11">#REF!</definedName>
    <definedName name="Ставка_ООСМС">Параметры!$B$10</definedName>
    <definedName name="Ставка_ОПВ" localSheetId="7">#REF!</definedName>
    <definedName name="Ставка_ОПВ" localSheetId="10">#REF!</definedName>
    <definedName name="Ставка_ОПВ" localSheetId="9">#REF!</definedName>
    <definedName name="Ставка_ОПВ" localSheetId="8">#REF!</definedName>
    <definedName name="Ставка_ОПВ" localSheetId="12">#REF!</definedName>
    <definedName name="Ставка_ОПВ" localSheetId="11">#REF!</definedName>
    <definedName name="Ставка_ОПВ">Параметры!$B$12</definedName>
    <definedName name="Ставка_ОПВР" localSheetId="7">#REF!</definedName>
    <definedName name="Ставка_ОПВР" localSheetId="10">#REF!</definedName>
    <definedName name="Ставка_ОПВР" localSheetId="9">#REF!</definedName>
    <definedName name="Ставка_ОПВР" localSheetId="8">#REF!</definedName>
    <definedName name="Ставка_ОПВР" localSheetId="12">#REF!</definedName>
    <definedName name="Ставка_ОПВР" localSheetId="11">#REF!</definedName>
    <definedName name="Ставка_ОПВР">Параметры!$B$7</definedName>
    <definedName name="Ставка_СН" localSheetId="7">#REF!</definedName>
    <definedName name="Ставка_СН" localSheetId="10">#REF!</definedName>
    <definedName name="Ставка_СН" localSheetId="9">#REF!</definedName>
    <definedName name="Ставка_СН" localSheetId="8">#REF!</definedName>
    <definedName name="Ставка_СН" localSheetId="12">#REF!</definedName>
    <definedName name="Ставка_СН" localSheetId="11">#REF!</definedName>
    <definedName name="Ставка_СН">Параметры!$B$6</definedName>
    <definedName name="Ставка_СО" localSheetId="7">#REF!</definedName>
    <definedName name="Ставка_СО" localSheetId="10">#REF!</definedName>
    <definedName name="Ставка_СО" localSheetId="9">#REF!</definedName>
    <definedName name="Ставка_СО" localSheetId="8">#REF!</definedName>
    <definedName name="Ставка_СО" localSheetId="12">#REF!</definedName>
    <definedName name="Ставка_СО" localSheetId="11">#REF!</definedName>
    <definedName name="Ставка_СО">Параметры!$B$8</definedName>
    <definedName name="Страх_межд" localSheetId="7">#REF!</definedName>
    <definedName name="Страх_межд" localSheetId="10">#REF!</definedName>
    <definedName name="Страх_межд" localSheetId="9">#REF!</definedName>
    <definedName name="Страх_межд" localSheetId="8">#REF!</definedName>
    <definedName name="Страх_межд" localSheetId="12">#REF!</definedName>
    <definedName name="Страх_межд" localSheetId="11">#REF!</definedName>
    <definedName name="Страх_межд">Параметры!$B$30</definedName>
    <definedName name="Сут_межд" localSheetId="7">#REF!</definedName>
    <definedName name="Сут_межд" localSheetId="10">#REF!</definedName>
    <definedName name="Сут_межд" localSheetId="9">#REF!</definedName>
    <definedName name="Сут_межд" localSheetId="8">#REF!</definedName>
    <definedName name="Сут_межд" localSheetId="12">#REF!</definedName>
    <definedName name="Сут_межд" localSheetId="11">#REF!</definedName>
    <definedName name="Сут_межд">Параметры!$B$27</definedName>
    <definedName name="Сут_РК" localSheetId="7">#REF!</definedName>
    <definedName name="Сут_РК" localSheetId="10">#REF!</definedName>
    <definedName name="Сут_РК" localSheetId="9">#REF!</definedName>
    <definedName name="Сут_РК" localSheetId="8">#REF!</definedName>
    <definedName name="Сут_РК" localSheetId="12">#REF!</definedName>
    <definedName name="Сут_РК" localSheetId="11">#REF!</definedName>
    <definedName name="Сут_РК">Параметры!$B$17</definedName>
    <definedName name="Трансп_РК" localSheetId="7">#REF!</definedName>
    <definedName name="Трансп_РК" localSheetId="10">#REF!</definedName>
    <definedName name="Трансп_РК" localSheetId="9">#REF!</definedName>
    <definedName name="Трансп_РК" localSheetId="8">#REF!</definedName>
    <definedName name="Трансп_РК" localSheetId="12">#REF!</definedName>
    <definedName name="Трансп_РК" localSheetId="11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15" l="1"/>
  <c r="F6" i="15" s="1"/>
  <c r="F6" i="14"/>
  <c r="F5" i="14"/>
  <c r="F11" i="13"/>
  <c r="F10" i="13"/>
  <c r="F9" i="13"/>
  <c r="F8" i="13"/>
  <c r="F12" i="13" s="1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1" i="10" l="1"/>
  <c r="F8" i="12"/>
  <c r="F14" i="11"/>
  <c r="F4" i="11" s="1"/>
  <c r="F7" i="14"/>
  <c r="F4" i="14" s="1"/>
  <c r="F7" i="15"/>
  <c r="G10" i="8" s="1"/>
  <c r="F4" i="15"/>
  <c r="F13" i="13"/>
  <c r="G8" i="8" s="1"/>
  <c r="F4" i="13"/>
  <c r="F9" i="12"/>
  <c r="G7" i="8" s="1"/>
  <c r="F4" i="12"/>
  <c r="F15" i="11"/>
  <c r="G6" i="8" s="1"/>
  <c r="F12" i="10"/>
  <c r="G5" i="8" s="1"/>
  <c r="F4" i="10"/>
  <c r="F8" i="14" l="1"/>
  <c r="G9" i="8" s="1"/>
  <c r="G13" i="8" s="1"/>
  <c r="E39" i="5"/>
  <c r="I39" i="5" s="1"/>
  <c r="E38" i="5"/>
  <c r="I38" i="5" s="1"/>
  <c r="E37" i="5"/>
  <c r="I37" i="5" s="1"/>
  <c r="B15" i="2" l="1"/>
  <c r="N9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17" i="3" l="1"/>
  <c r="N18" i="3"/>
  <c r="N10" i="3"/>
  <c r="M18" i="3"/>
  <c r="M17" i="3"/>
  <c r="O17" i="3" s="1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8" i="3" l="1"/>
  <c r="F19" i="7"/>
  <c r="F18" i="7"/>
  <c r="F17" i="7"/>
  <c r="F16" i="7"/>
  <c r="F15" i="7"/>
  <c r="F14" i="7"/>
  <c r="F20" i="7" l="1"/>
  <c r="E50" i="5" s="1"/>
  <c r="I50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B18" i="1"/>
  <c r="G11" i="9" l="1"/>
  <c r="C11" i="4"/>
  <c r="C10" i="4"/>
  <c r="C7" i="4"/>
  <c r="A7" i="4"/>
  <c r="C6" i="4"/>
  <c r="A6" i="4"/>
  <c r="C5" i="4"/>
  <c r="A5" i="4"/>
  <c r="H36" i="3" l="1"/>
  <c r="G36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L34" i="3"/>
  <c r="L30" i="3"/>
  <c r="L26" i="3"/>
  <c r="L21" i="3"/>
  <c r="L15" i="3"/>
  <c r="L14" i="3"/>
  <c r="L33" i="3"/>
  <c r="L29" i="3"/>
  <c r="L24" i="3"/>
  <c r="L32" i="3"/>
  <c r="L28" i="3"/>
  <c r="L23" i="3"/>
  <c r="L19" i="3"/>
  <c r="L12" i="3"/>
  <c r="L31" i="3"/>
  <c r="L27" i="3"/>
  <c r="L22" i="3"/>
  <c r="F11" i="4" s="1"/>
  <c r="L16" i="3"/>
  <c r="E23" i="5"/>
  <c r="I23" i="5" s="1"/>
  <c r="E22" i="5"/>
  <c r="I22" i="5" s="1"/>
  <c r="E21" i="5"/>
  <c r="I21" i="5" s="1"/>
  <c r="E20" i="5"/>
  <c r="I20" i="5" s="1"/>
  <c r="F9" i="4" l="1"/>
  <c r="F8" i="4"/>
  <c r="M9" i="3"/>
  <c r="O9" i="3" s="1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4" i="3" l="1"/>
  <c r="J33" i="3"/>
  <c r="J32" i="3"/>
  <c r="J31" i="3"/>
  <c r="J30" i="3"/>
  <c r="J29" i="3"/>
  <c r="J28" i="3"/>
  <c r="K28" i="3" l="1"/>
  <c r="K29" i="3"/>
  <c r="K30" i="3"/>
  <c r="K31" i="3"/>
  <c r="K32" i="3"/>
  <c r="K33" i="3"/>
  <c r="K34" i="3"/>
  <c r="F10" i="7"/>
  <c r="F9" i="7"/>
  <c r="F8" i="7"/>
  <c r="F7" i="7"/>
  <c r="F6" i="7"/>
  <c r="F5" i="7"/>
  <c r="I19" i="5"/>
  <c r="I18" i="5"/>
  <c r="I17" i="5"/>
  <c r="B48" i="2"/>
  <c r="F11" i="7" l="1"/>
  <c r="E49" i="5" s="1"/>
  <c r="M31" i="3"/>
  <c r="O31" i="3" s="1"/>
  <c r="M30" i="3"/>
  <c r="O30" i="3" s="1"/>
  <c r="M34" i="3"/>
  <c r="O34" i="3" s="1"/>
  <c r="M33" i="3"/>
  <c r="O33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60" i="5"/>
  <c r="I59" i="5"/>
  <c r="I58" i="5"/>
  <c r="I57" i="5"/>
  <c r="I55" i="5"/>
  <c r="I54" i="5"/>
  <c r="I53" i="5"/>
  <c r="I52" i="5"/>
  <c r="I51" i="5"/>
  <c r="I48" i="5"/>
  <c r="I47" i="5"/>
  <c r="I46" i="5"/>
  <c r="I45" i="5"/>
  <c r="E44" i="5"/>
  <c r="I44" i="5" s="1"/>
  <c r="E43" i="5"/>
  <c r="I42" i="5"/>
  <c r="I41" i="5"/>
  <c r="I40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5" i="3"/>
  <c r="H37" i="3" s="1"/>
  <c r="G35" i="3"/>
  <c r="G37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3" i="5"/>
  <c r="I4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5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5" i="3"/>
  <c r="M5" i="3"/>
  <c r="M19" i="3"/>
  <c r="O19" i="3" s="1"/>
  <c r="O5" i="3" l="1"/>
  <c r="B6" i="1"/>
  <c r="B14" i="1" s="1"/>
  <c r="B15" i="1" s="1"/>
  <c r="M35" i="3"/>
  <c r="B16" i="1" l="1"/>
  <c r="B17" i="1" s="1"/>
  <c r="B19" i="1" s="1"/>
  <c r="O35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<sst xmlns="http://schemas.openxmlformats.org/spreadsheetml/2006/main" count="901" uniqueCount="485">
  <si>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</si>
  <si>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</si>
  <si>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</si>
  <si>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</si>
  <si>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</si>
  <si>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</si>
  <si>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</si>
  <si>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</si>
  <si>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</si>
  <si>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</si>
  <si>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</si>
  <si>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</si>
  <si>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</si>
  <si>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</si>
  <si>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</si>
  <si>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</si>
  <si>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</si>
  <si>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</si>
  <si>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</si>
  <si>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</si>
  <si>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</si>
  <si>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</si>
  <si>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</si>
  <si>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</si>
  <si>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</si>
  <si>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</si>
  <si>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</si>
  <si>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</si>
  <si>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</si>
  <si>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</si>
  <si>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</si>
  <si>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</si>
  <si>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</si>
  <si>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</si>
  <si>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</si>
  <si>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</si>
  <si>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</si>
  <si>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</si>
  <si>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</si>
  <si>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</si>
  <si>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</si>
  <si>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</si>
  <si>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</si>
  <si>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</si>
  <si>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</si>
  <si>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</si>
  <si>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</si>
  <si>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</si>
  <si>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</si>
  <si>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</si>
  <si>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</si>
  <si>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</si>
  <si>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</si>
  <si>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</si>
  <si>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</si>
  <si>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</si>
  <si>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</si>
  <si>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</si>
  <si>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</si>
  <si>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</si>
  <si>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</si>
  <si>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</si>
  <si>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</si>
  <si>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</si>
  <si>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</si>
  <si>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</si>
  <si>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</si>
  <si>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</si>
  <si>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</si>
  <si>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</si>
  <si>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</si>
  <si>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</si>
  <si>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</si>
  <si>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</si>
  <si>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</si>
  <si>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</si>
  <si>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</si>
  <si>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</si>
  <si>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</si>
  <si>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</si>
  <si>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</si>
  <si>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</si>
  <si>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</si>
  <si>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</si>
  <si>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</si>
  <si>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</si>
  <si>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</si>
  <si>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</si>
  <si>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</si>
  <si>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</si>
  <si>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</si>
  <si>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</si>
  <si>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</si>
  <si>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</si>
  <si>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</si>
  <si>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</si>
  <si>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</si>
  <si>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</si>
  <si>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</si>
  <si>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</si>
  <si>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</si>
  <si>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</si>
  <si>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</si>
  <si>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</si>
  <si>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</si>
  <si>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</si>
  <si>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</si>
  <si>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</si>
  <si>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</si>
  <si>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</si>
  <si>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</si>
  <si>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</si>
  <si>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</si>
  <si>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</si>
  <si>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</si>
  <si>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</si>
  <si>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</si>
  <si>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</si>
  <si>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</si>
  <si>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</si>
  <si>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</si>
  <si>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</si>
  <si>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</si>
  <si>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</si>
  <si>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</si>
  <si>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</si>
  <si>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</si>
  <si>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</si>
  <si>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</si>
  <si>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</si>
  <si>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</si>
  <si>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</si>
  <si>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</si>
  <si>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</si>
  <si>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</si>
  <si>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</si>
  <si>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</si>
  <si>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</si>
  <si>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</si>
  <si>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</si>
  <si>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</si>
  <si>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</si>
  <si>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</si>
  <si>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</si>
  <si>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</si>
  <si>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</si>
  <si>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</si>
  <si>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</si>
  <si>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</si>
  <si>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</si>
  <si>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</si>
  <si>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</si>
  <si>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</si>
  <si>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</si>
  <si>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</si>
  <si>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</si>
  <si>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</si>
  <si>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</si>
  <si>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</si>
  <si>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</si>
  <si>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</si>
  <si>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</si>
  <si>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</si>
  <si>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</si>
  <si>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</si>
  <si>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</si>
  <si>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</si>
  <si>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</si>
  <si>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</si>
  <si>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</si>
  <si>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</si>
  <si>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</si>
  <si>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</si>
  <si>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</si>
  <si>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</si>
  <si>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</si>
  <si>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</si>
  <si>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</si>
  <si>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</si>
  <si>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</si>
  <si>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</si>
  <si>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</si>
  <si>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</si>
  <si>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</si>
  <si>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</si>
  <si>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</si>
  <si>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</si>
  <si>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</si>
  <si>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</si>
  <si>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</si>
  <si>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</si>
  <si>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</si>
  <si>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</si>
  <si>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</si>
  <si>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</si>
  <si>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</si>
  <si>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</si>
  <si>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</si>
  <si>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</si>
  <si>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</si>
  <si>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</si>
  <si>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</si>
  <si>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</si>
  <si>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</si>
  <si>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</si>
  <si>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</si>
  <si>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</si>
  <si>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</si>
  <si>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</si>
  <si>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</si>
  <si>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</si>
  <si>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</si>
  <si>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</si>
  <si>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</si>
  <si>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</si>
  <si>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</si>
  <si>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</si>
  <si>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</si>
  <si>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</si>
  <si>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</si>
  <si>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</si>
  <si>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</si>
  <si>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</si>
  <si>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</si>
  <si>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</si>
  <si>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</si>
  <si>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</si>
  <si>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</si>
  <si>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</si>
  <si>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</si>
  <si>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</si>
  <si>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</si>
  <si>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</si>
  <si>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</si>
  <si>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</si>
  <si>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</si>
  <si>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</si>
  <si>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</si>
  <si>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</si>
  <si>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</si>
  <si>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</si>
  <si>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</si>
  <si>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</si>
  <si>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</si>
  <si>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</si>
  <si>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</si>
  <si>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</si>
  <si>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</si>
  <si>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</si>
  <si>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</si>
  <si>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</si>
  <si>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</si>
  <si>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</si>
  <si>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</si>
  <si>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</si>
  <si>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</si>
  <si>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</si>
  <si>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</si>
  <si>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</si>
  <si>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</si>
  <si>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</si>
  <si>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</si>
  <si>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</si>
  <si>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</si>
  <si>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</si>
  <si>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</si>
  <si>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</si>
  <si>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</si>
  <si>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</si>
  <si>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</si>
  <si>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</si>
  <si>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</si>
  <si>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</si>
  <si>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</si>
  <si>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</si>
  <si>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</si>
  <si>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</si>
  <si>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</si>
  <si>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</si>
  <si>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</si>
  <si>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</si>
  <si>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</si>
  <si>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</si>
  <si>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</si>
  <si>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</si>
  <si>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</si>
  <si>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</si>
  <si>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</si>
  <si>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</si>
  <si>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</si>
  <si>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</si>
  <si>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</si>
  <si>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</si>
  <si>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</si>
  <si>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</si>
  <si>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</si>
  <si>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</si>
  <si>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</si>
  <si>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</si>
  <si>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</si>
  <si>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</si>
  <si>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</si>
  <si>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</si>
  <si>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</si>
  <si>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</si>
  <si>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</si>
  <si>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</si>
  <si>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</si>
  <si>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</si>
  <si>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</si>
  <si>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</si>
  <si>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</si>
  <si>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</si>
  <si>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</si>
  <si>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</si>
  <si>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</si>
  <si>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</si>
  <si>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</si>
  <si>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</si>
  <si>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</si>
  <si>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</si>
  <si>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</si>
  <si>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</si>
  <si>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</si>
  <si>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</si>
  <si>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</si>
  <si>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</si>
  <si>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</si>
  <si>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</si>
  <si>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</si>
  <si>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</si>
  <si>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</si>
  <si>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</si>
  <si>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</si>
  <si>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</si>
  <si>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</si>
  <si>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</si>
  <si>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</si>
  <si>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</si>
  <si>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</si>
  <si>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</si>
  <si>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</si>
  <si>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</si>
  <si>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</si>
  <si>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</si>
  <si>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</si>
  <si>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</si>
  <si>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</si>
  <si>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</si>
  <si>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</si>
  <si>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</si>
  <si>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</si>
  <si>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</si>
  <si>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</si>
  <si>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</si>
  <si>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</si>
  <si>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</si>
  <si>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</si>
  <si>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</si>
  <si>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</si>
  <si>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</si>
  <si>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</si>
  <si>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</si>
  <si>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</si>
  <si>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</si>
  <si>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</si>
  <si>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</si>
  <si>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</si>
  <si>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</si>
  <si>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</si>
  <si>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</si>
  <si>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</si>
  <si>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</si>
  <si>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</si>
  <si>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</si>
  <si>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</si>
  <si>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</si>
  <si>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</si>
  <si>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</si>
  <si>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</si>
  <si>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</si>
  <si>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</si>
  <si>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Заместитель ГИД по стратегии и проектам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</si>
  <si>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</si>
  <si>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</si>
  <si>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Руководителю Проектного офиса для Центральной Азии</t>
  </si>
  <si>
    <t>[Кононец А.В.] Стратегия и портфель проектов Фонда, партнёрства; Проектный офис для Центральной Азии;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</si>
  <si>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</si>
  <si>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</si>
  <si>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</si>
  <si>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</si>
  <si>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</si>
  <si>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</si>
  <si>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</si>
  <si>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</si>
  <si>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</si>
  <si>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</si>
  <si>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</si>
  <si>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</si>
  <si>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[Арманов Р.] Ведение проектов и закреплённых регионов, мониторинг мероприятий (с декабря 2026)</t>
  </si>
  <si>
    <t>[Мирам А.] Ведение проектов и закреплённых регионов, сбор данных (с декабря 2026)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</si>
  <si>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</si>
  <si>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</si>
  <si>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</si>
  <si>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</si>
  <si>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</si>
  <si>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</si>
  <si>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</si>
  <si>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</si>
  <si>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</si>
  <si>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Департамент проектного управления и региональной координации (7 чел., из них 2 – с декабря)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</si>
  <si>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</si>
  <si>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</si>
  <si>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</si>
  <si>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</si>
  <si>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</si>
  <si>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</si>
  <si>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</si>
  <si>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</si>
  <si>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Стул офисный для посетителей</t>
  </si>
  <si>
    <t>Дополнение № 1 в план закупок, поз. 81: цена zeta.kz (Астана) 11 425 ₸ с НДС за стул «Изо»; в бюджете без НДС (÷1,16)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</si>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</sst>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6" fillId="0" borderId="0" xfId="0" applyFont="1" applyAlignment="1">
      <alignment horizontal="center" vertical="center" wrapText="1" shrinkToFit="1"/>
    </xf>
    <xf numFmtId="0" fontId="0" fillId="0" borderId="0" xfId="0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5;&#1077;&#1088;&#1074;&#1086;&#1086;&#1095;&#1077;&#1088;&#1077;&#1076;&#1085;&#1099;&#1077;%20&#1087;&#1088;&#1086;&#1077;&#1082;&#1090;&#1099;%20&#1085;&#1072;%20&#1085;&#1086;&#1103;&#1073;&#1088;&#1100;&#8211;&#1103;&#1085;&#1074;&#1072;&#1088;&#1100;%202026-27-%20&#1086;&#1090;%20&#1040;&#1081;&#1075;&#1077;&#1088;&#1080;&#1084;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екты"/>
      <sheetName val="Taza talqy"/>
      <sheetName val="Презентация офисе"/>
      <sheetName val="креативные проекты"/>
      <sheetName val="Информ сопровождение"/>
      <sheetName val="Соц исследования"/>
      <sheetName val="Разработка платформы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379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348</v>
      </c>
      <c r="B4" s="37">
        <f>SUMIF(Штат!E5:E34,"штат",Штат!G5:G34)</f>
        <v>23</v>
      </c>
    </row>
    <row r="5" spans="1:2" x14ac:dyDescent="0.25">
      <c r="A5" s="36" t="s">
        <v>349</v>
      </c>
      <c r="B5" s="37">
        <f>Штат!G36</f>
        <v>17</v>
      </c>
    </row>
    <row r="6" spans="1:2" x14ac:dyDescent="0.25">
      <c r="A6" s="36" t="s">
        <v>350</v>
      </c>
      <c r="B6" s="38">
        <f>SUMIFS(Штат!M5:M34,Штат!E5:E34,"штат")</f>
        <v>61677420</v>
      </c>
    </row>
    <row r="7" spans="1:2" ht="30" x14ac:dyDescent="0.25">
      <c r="A7" s="36" t="s">
        <v>415</v>
      </c>
      <c r="B7" s="38">
        <f>Аутсорс!J11</f>
        <v>13456000</v>
      </c>
    </row>
    <row r="8" spans="1:2" x14ac:dyDescent="0.25">
      <c r="A8" s="36" t="s">
        <v>377</v>
      </c>
      <c r="B8" s="38">
        <f>Штат!N35</f>
        <v>665000</v>
      </c>
    </row>
    <row r="9" spans="1:2" x14ac:dyDescent="0.25">
      <c r="A9" s="36" t="s">
        <v>351</v>
      </c>
      <c r="B9" s="38">
        <f>Командировки!G12</f>
        <v>4108650</v>
      </c>
    </row>
    <row r="10" spans="1:2" ht="30" x14ac:dyDescent="0.25">
      <c r="A10" s="36" t="s">
        <v>352</v>
      </c>
      <c r="B10" s="38">
        <f>SUMIFS('Оснащение и офис'!I5:I60,'Оснащение и офис'!A5:A60,"Оснащение")</f>
        <v>28742588</v>
      </c>
    </row>
    <row r="11" spans="1:2" ht="30" x14ac:dyDescent="0.25">
      <c r="A11" s="36" t="s">
        <v>367</v>
      </c>
      <c r="B11" s="38">
        <f>SUMIFS('Оснащение и офис'!I5:I60,'Оснащение и офис'!A5:A60,"Офис")</f>
        <v>17202663.496774193</v>
      </c>
    </row>
    <row r="12" spans="1:2" x14ac:dyDescent="0.25">
      <c r="A12" s="36" t="s">
        <v>353</v>
      </c>
      <c r="B12" s="38">
        <f>SUMIFS('Оснащение и офис'!I5:I60,'Оснащение и офис'!A5:A60,"Цифровые")</f>
        <v>463000</v>
      </c>
    </row>
    <row r="13" spans="1:2" x14ac:dyDescent="0.25">
      <c r="A13" s="36" t="s">
        <v>354</v>
      </c>
      <c r="B13" s="38">
        <f>SUMIFS('Оснащение и офис'!I5:I60,'Оснащение и офис'!A5:A60,"Медиа")</f>
        <v>2350000</v>
      </c>
    </row>
    <row r="14" spans="1:2" x14ac:dyDescent="0.25">
      <c r="A14" s="39" t="s">
        <v>355</v>
      </c>
      <c r="B14" s="40">
        <f>B6+B7+B8+B9+B10+B11+B12+B13</f>
        <v>128665321.4967742</v>
      </c>
    </row>
    <row r="15" spans="1:2" ht="30" x14ac:dyDescent="0.25">
      <c r="A15" s="36" t="s">
        <v>378</v>
      </c>
      <c r="B15" s="38">
        <f>B14*Резерв+SUMIFS('Оснащение и офис'!I5:I60,'Оснащение и офис'!A5:A60,"Прочие")</f>
        <v>12933198.816344086</v>
      </c>
    </row>
    <row r="16" spans="1:2" x14ac:dyDescent="0.25">
      <c r="A16" s="36" t="s">
        <v>288</v>
      </c>
      <c r="B16" s="38">
        <f>(B14+B15)*НДС</f>
        <v>22655763.250098925</v>
      </c>
    </row>
    <row r="17" spans="1:2" x14ac:dyDescent="0.25">
      <c r="A17" s="41" t="s">
        <v>356</v>
      </c>
      <c r="B17" s="42">
        <f>B14+B15+B16</f>
        <v>164254283.56321719</v>
      </c>
    </row>
    <row r="18" spans="1:2" x14ac:dyDescent="0.25">
      <c r="A18" s="39" t="s">
        <v>357</v>
      </c>
      <c r="B18" s="40">
        <f>Проекты!G13</f>
        <v>87234320</v>
      </c>
    </row>
    <row r="19" spans="1:2" x14ac:dyDescent="0.25">
      <c r="A19" s="43" t="s">
        <v>358</v>
      </c>
      <c r="B19" s="44">
        <f>B17+B18</f>
        <v>251488603.56321719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375</v>
      </c>
      <c r="B15" s="8">
        <f>ROUND(0.29%*12*SUMIFS(Штат!$H$5:$H$34,Штат!$E$5:$E$34,"штат",Штат!$F$5:$F$34,"новая"),-3)</f>
        <v>665000</v>
      </c>
      <c r="C15" t="s">
        <v>414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319</v>
      </c>
    </row>
    <row r="33" spans="1:3" ht="15" customHeight="1" x14ac:dyDescent="0.25">
      <c r="A33" t="s">
        <v>61</v>
      </c>
      <c r="B33" s="8">
        <v>1</v>
      </c>
      <c r="C33" t="s">
        <v>231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346</v>
      </c>
    </row>
    <row r="38" spans="1:3" ht="15" customHeight="1" x14ac:dyDescent="0.25">
      <c r="A38" t="s">
        <v>347</v>
      </c>
    </row>
    <row r="41" spans="1:3" s="7" customFormat="1" x14ac:dyDescent="0.25">
      <c r="A41" s="7" t="s">
        <v>316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317</v>
      </c>
    </row>
    <row r="43" spans="1:3" x14ac:dyDescent="0.25">
      <c r="A43" t="s">
        <v>167</v>
      </c>
      <c r="B43" s="5">
        <v>13500</v>
      </c>
      <c r="C43" t="s">
        <v>314</v>
      </c>
    </row>
    <row r="44" spans="1:3" x14ac:dyDescent="0.25">
      <c r="A44" t="s">
        <v>218</v>
      </c>
      <c r="B44" s="5">
        <f>743*309.7</f>
        <v>230107.1</v>
      </c>
      <c r="C44" t="s">
        <v>318</v>
      </c>
    </row>
    <row r="45" spans="1:3" x14ac:dyDescent="0.25">
      <c r="A45" t="s">
        <v>168</v>
      </c>
      <c r="B45" s="5">
        <v>2</v>
      </c>
      <c r="C45" t="s">
        <v>273</v>
      </c>
    </row>
    <row r="46" spans="1:3" x14ac:dyDescent="0.25">
      <c r="A46" t="s">
        <v>169</v>
      </c>
      <c r="B46" s="5">
        <v>40000</v>
      </c>
      <c r="C46" t="s">
        <v>315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v>2</v>
      </c>
      <c r="C52" t="s">
        <v>417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7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283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332</v>
      </c>
      <c r="J4" s="3" t="s">
        <v>74</v>
      </c>
      <c r="K4" s="3" t="s">
        <v>75</v>
      </c>
      <c r="L4" s="3" t="s">
        <v>418</v>
      </c>
      <c r="M4" s="3" t="s">
        <v>77</v>
      </c>
      <c r="N4" s="3" t="s">
        <v>376</v>
      </c>
      <c r="O4" s="3" t="s">
        <v>78</v>
      </c>
      <c r="P4" s="3" t="s">
        <v>333</v>
      </c>
      <c r="Q4" s="4"/>
    </row>
    <row r="5" spans="1:17" ht="75" x14ac:dyDescent="0.25">
      <c r="A5" s="16">
        <v>1</v>
      </c>
      <c r="B5" s="16" t="s">
        <v>274</v>
      </c>
      <c r="C5" s="17" t="s">
        <v>275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4" si="2">IF(AND(F5="новая",I5=1),Мес_2026_новые,MAX(0,4-I5))</f>
        <v>3</v>
      </c>
      <c r="M5" s="18">
        <f t="shared" ref="M5:M34" si="3">K5*L5</f>
        <v>5454690</v>
      </c>
      <c r="N5" s="18">
        <f t="shared" ref="N5:N34" si="4">IF(AND(E5="штат",F5="новая"),ОСНС_полис*G5/COUNTIFS($E$5:$E$34,"штат",$F$5:$F$34,"новая"),0)</f>
        <v>0</v>
      </c>
      <c r="O5" s="18">
        <f t="shared" ref="O5:O34" si="5">M5+N5</f>
        <v>5454690</v>
      </c>
      <c r="P5" s="17" t="s">
        <v>337</v>
      </c>
    </row>
    <row r="6" spans="1:17" ht="60" x14ac:dyDescent="0.25">
      <c r="A6" s="16">
        <v>2</v>
      </c>
      <c r="B6" s="16" t="s">
        <v>274</v>
      </c>
      <c r="C6" s="17" t="s">
        <v>382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386</v>
      </c>
    </row>
    <row r="7" spans="1:17" ht="90" x14ac:dyDescent="0.25">
      <c r="A7" s="16">
        <v>3</v>
      </c>
      <c r="B7" s="16" t="s">
        <v>274</v>
      </c>
      <c r="C7" s="17" t="s">
        <v>265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381</v>
      </c>
    </row>
    <row r="8" spans="1:17" ht="90" x14ac:dyDescent="0.25">
      <c r="A8" s="16">
        <v>4</v>
      </c>
      <c r="B8" s="16" t="s">
        <v>215</v>
      </c>
      <c r="C8" s="17" t="s">
        <v>387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35000</v>
      </c>
      <c r="O8" s="18">
        <f t="shared" si="5"/>
        <v>3224340</v>
      </c>
      <c r="P8" s="17" t="s">
        <v>388</v>
      </c>
    </row>
    <row r="9" spans="1:17" ht="30" x14ac:dyDescent="0.25">
      <c r="A9" s="16">
        <v>6</v>
      </c>
      <c r="B9" s="16" t="s">
        <v>246</v>
      </c>
      <c r="C9" s="17" t="s">
        <v>247</v>
      </c>
      <c r="D9" s="17" t="s">
        <v>276</v>
      </c>
      <c r="E9" s="16" t="s">
        <v>80</v>
      </c>
      <c r="F9" s="16" t="s">
        <v>83</v>
      </c>
      <c r="G9" s="16">
        <v>1</v>
      </c>
      <c r="H9" s="18">
        <v>1300000</v>
      </c>
      <c r="I9" s="16">
        <v>2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2</v>
      </c>
      <c r="M9" s="18">
        <f t="shared" ref="M9:M11" si="9">K9*L9</f>
        <v>2965780</v>
      </c>
      <c r="N9" s="18">
        <f t="shared" si="4"/>
        <v>35000</v>
      </c>
      <c r="O9" s="18">
        <f t="shared" ref="O9:O11" si="10">M9+N9</f>
        <v>3000780</v>
      </c>
      <c r="P9" s="17" t="s">
        <v>401</v>
      </c>
    </row>
    <row r="10" spans="1:17" ht="60" x14ac:dyDescent="0.25">
      <c r="A10" s="16">
        <v>6</v>
      </c>
      <c r="B10" s="16" t="s">
        <v>246</v>
      </c>
      <c r="C10" s="17" t="s">
        <v>402</v>
      </c>
      <c r="D10" s="17" t="s">
        <v>249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35000</v>
      </c>
      <c r="O10" s="18">
        <f t="shared" si="10"/>
        <v>2330100</v>
      </c>
      <c r="P10" s="17" t="s">
        <v>403</v>
      </c>
    </row>
    <row r="11" spans="1:17" ht="30" x14ac:dyDescent="0.25">
      <c r="A11" s="20">
        <v>6</v>
      </c>
      <c r="B11" s="20" t="s">
        <v>246</v>
      </c>
      <c r="C11" s="21" t="s">
        <v>404</v>
      </c>
      <c r="D11" s="21" t="s">
        <v>249</v>
      </c>
      <c r="E11" s="20" t="s">
        <v>255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405</v>
      </c>
    </row>
    <row r="12" spans="1:17" ht="30" x14ac:dyDescent="0.25">
      <c r="A12" s="16">
        <v>6</v>
      </c>
      <c r="B12" s="16" t="s">
        <v>246</v>
      </c>
      <c r="C12" s="17" t="s">
        <v>248</v>
      </c>
      <c r="D12" s="17" t="s">
        <v>249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35000</v>
      </c>
      <c r="O12" s="18">
        <f t="shared" si="5"/>
        <v>2330100</v>
      </c>
      <c r="P12" s="17" t="s">
        <v>338</v>
      </c>
    </row>
    <row r="13" spans="1:17" ht="30" x14ac:dyDescent="0.25">
      <c r="A13" s="16">
        <v>14</v>
      </c>
      <c r="B13" s="16" t="s">
        <v>250</v>
      </c>
      <c r="C13" s="17" t="s">
        <v>277</v>
      </c>
      <c r="D13" s="17" t="s">
        <v>252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35000</v>
      </c>
      <c r="O13" s="18">
        <f t="shared" si="5"/>
        <v>2553660</v>
      </c>
      <c r="P13" s="17" t="s">
        <v>278</v>
      </c>
    </row>
    <row r="14" spans="1:17" ht="60" x14ac:dyDescent="0.25">
      <c r="A14" s="16">
        <v>15</v>
      </c>
      <c r="B14" s="16" t="s">
        <v>250</v>
      </c>
      <c r="C14" s="17" t="s">
        <v>251</v>
      </c>
      <c r="D14" s="17" t="s">
        <v>252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35000</v>
      </c>
      <c r="O14" s="18">
        <f t="shared" si="5"/>
        <v>2330100</v>
      </c>
      <c r="P14" s="17" t="s">
        <v>389</v>
      </c>
    </row>
    <row r="15" spans="1:17" ht="75" x14ac:dyDescent="0.25">
      <c r="A15" s="16">
        <v>17</v>
      </c>
      <c r="B15" s="16" t="s">
        <v>250</v>
      </c>
      <c r="C15" s="17" t="s">
        <v>251</v>
      </c>
      <c r="D15" s="17" t="s">
        <v>252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35000</v>
      </c>
      <c r="O15" s="18">
        <f t="shared" si="5"/>
        <v>2330100</v>
      </c>
      <c r="P15" s="17" t="s">
        <v>390</v>
      </c>
    </row>
    <row r="16" spans="1:17" ht="60" x14ac:dyDescent="0.25">
      <c r="A16" s="16">
        <v>18</v>
      </c>
      <c r="B16" s="16" t="s">
        <v>250</v>
      </c>
      <c r="C16" s="17" t="s">
        <v>253</v>
      </c>
      <c r="D16" s="17" t="s">
        <v>252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35000</v>
      </c>
      <c r="O16" s="18">
        <f t="shared" si="5"/>
        <v>2330100</v>
      </c>
      <c r="P16" s="17" t="s">
        <v>391</v>
      </c>
    </row>
    <row r="17" spans="1:16" ht="30" x14ac:dyDescent="0.25">
      <c r="A17" s="16">
        <v>19</v>
      </c>
      <c r="B17" s="16" t="s">
        <v>250</v>
      </c>
      <c r="C17" s="17" t="s">
        <v>251</v>
      </c>
      <c r="D17" s="17" t="s">
        <v>252</v>
      </c>
      <c r="E17" s="16" t="s">
        <v>80</v>
      </c>
      <c r="F17" s="16" t="s">
        <v>83</v>
      </c>
      <c r="G17" s="16">
        <v>1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1147550</v>
      </c>
      <c r="L17" s="19">
        <f t="shared" ref="L17:L18" si="16">IF(AND(F17="новая",I17=1),Мес_2026_новые,MAX(0,4-I17))</f>
        <v>1</v>
      </c>
      <c r="M17" s="18">
        <f t="shared" ref="M17:M18" si="17">K17*L17</f>
        <v>1147550</v>
      </c>
      <c r="N17" s="18">
        <f t="shared" si="4"/>
        <v>35000</v>
      </c>
      <c r="O17" s="18">
        <f t="shared" ref="O17:O18" si="18">M17+N17</f>
        <v>1182550</v>
      </c>
      <c r="P17" s="17" t="s">
        <v>399</v>
      </c>
    </row>
    <row r="18" spans="1:16" ht="30" x14ac:dyDescent="0.25">
      <c r="A18" s="16">
        <v>19</v>
      </c>
      <c r="B18" s="16" t="s">
        <v>250</v>
      </c>
      <c r="C18" s="17" t="s">
        <v>253</v>
      </c>
      <c r="D18" s="17" t="s">
        <v>252</v>
      </c>
      <c r="E18" s="16" t="s">
        <v>80</v>
      </c>
      <c r="F18" s="16" t="s">
        <v>83</v>
      </c>
      <c r="G18" s="16">
        <v>1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812210</v>
      </c>
      <c r="L18" s="19">
        <f t="shared" si="16"/>
        <v>1</v>
      </c>
      <c r="M18" s="18">
        <f t="shared" si="17"/>
        <v>812210</v>
      </c>
      <c r="N18" s="18">
        <f t="shared" si="4"/>
        <v>35000</v>
      </c>
      <c r="O18" s="18">
        <f t="shared" si="18"/>
        <v>847210</v>
      </c>
      <c r="P18" s="17" t="s">
        <v>400</v>
      </c>
    </row>
    <row r="19" spans="1:16" ht="30" x14ac:dyDescent="0.25">
      <c r="A19" s="16">
        <v>19</v>
      </c>
      <c r="B19" s="16" t="s">
        <v>250</v>
      </c>
      <c r="C19" s="17" t="s">
        <v>253</v>
      </c>
      <c r="D19" s="17" t="s">
        <v>252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35000</v>
      </c>
      <c r="O19" s="18">
        <f t="shared" si="5"/>
        <v>1659420</v>
      </c>
      <c r="P19" s="17" t="s">
        <v>398</v>
      </c>
    </row>
    <row r="20" spans="1:16" ht="75" x14ac:dyDescent="0.25">
      <c r="A20" s="16">
        <v>23</v>
      </c>
      <c r="B20" s="16" t="s">
        <v>254</v>
      </c>
      <c r="C20" s="17" t="s">
        <v>247</v>
      </c>
      <c r="D20" s="17" t="s">
        <v>276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35000</v>
      </c>
      <c r="O20" s="18">
        <f t="shared" si="5"/>
        <v>3000780</v>
      </c>
      <c r="P20" s="17" t="s">
        <v>392</v>
      </c>
    </row>
    <row r="21" spans="1:16" ht="30" x14ac:dyDescent="0.25">
      <c r="A21" s="20">
        <v>24</v>
      </c>
      <c r="B21" s="20" t="s">
        <v>254</v>
      </c>
      <c r="C21" s="21" t="s">
        <v>279</v>
      </c>
      <c r="D21" s="21" t="s">
        <v>249</v>
      </c>
      <c r="E21" s="20" t="s">
        <v>255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305</v>
      </c>
    </row>
    <row r="22" spans="1:16" ht="30" x14ac:dyDescent="0.25">
      <c r="A22" s="16">
        <v>25</v>
      </c>
      <c r="B22" s="16" t="s">
        <v>256</v>
      </c>
      <c r="C22" s="17" t="s">
        <v>257</v>
      </c>
      <c r="D22" s="17" t="s">
        <v>276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35000</v>
      </c>
      <c r="O22" s="18">
        <f t="shared" si="5"/>
        <v>3000780</v>
      </c>
      <c r="P22" s="17" t="s">
        <v>394</v>
      </c>
    </row>
    <row r="23" spans="1:16" ht="45" x14ac:dyDescent="0.25">
      <c r="A23" s="16">
        <v>26</v>
      </c>
      <c r="B23" s="16" t="s">
        <v>256</v>
      </c>
      <c r="C23" s="17" t="s">
        <v>258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35000</v>
      </c>
      <c r="O23" s="18">
        <f t="shared" si="5"/>
        <v>2330100</v>
      </c>
      <c r="P23" s="17" t="s">
        <v>393</v>
      </c>
    </row>
    <row r="24" spans="1:16" x14ac:dyDescent="0.25">
      <c r="A24" s="20">
        <v>27</v>
      </c>
      <c r="B24" s="20" t="s">
        <v>256</v>
      </c>
      <c r="C24" s="21" t="s">
        <v>262</v>
      </c>
      <c r="D24" s="21" t="s">
        <v>216</v>
      </c>
      <c r="E24" s="20" t="s">
        <v>255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306</v>
      </c>
    </row>
    <row r="25" spans="1:16" x14ac:dyDescent="0.25">
      <c r="A25" s="20">
        <v>28</v>
      </c>
      <c r="B25" s="20" t="s">
        <v>256</v>
      </c>
      <c r="C25" s="21" t="s">
        <v>263</v>
      </c>
      <c r="D25" s="21" t="s">
        <v>216</v>
      </c>
      <c r="E25" s="20" t="s">
        <v>255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307</v>
      </c>
    </row>
    <row r="26" spans="1:16" x14ac:dyDescent="0.25">
      <c r="A26" s="16">
        <v>29</v>
      </c>
      <c r="B26" s="16" t="s">
        <v>256</v>
      </c>
      <c r="C26" s="17" t="s">
        <v>396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35000</v>
      </c>
      <c r="O26" s="18">
        <f t="shared" si="5"/>
        <v>1659420</v>
      </c>
      <c r="P26" s="17" t="s">
        <v>397</v>
      </c>
    </row>
    <row r="27" spans="1:16" x14ac:dyDescent="0.25">
      <c r="A27" s="16">
        <v>30</v>
      </c>
      <c r="B27" s="16" t="s">
        <v>256</v>
      </c>
      <c r="C27" s="17" t="s">
        <v>259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35000</v>
      </c>
      <c r="O27" s="18">
        <f t="shared" si="5"/>
        <v>2330100</v>
      </c>
      <c r="P27" s="17" t="s">
        <v>395</v>
      </c>
    </row>
    <row r="28" spans="1:16" x14ac:dyDescent="0.25">
      <c r="A28" s="16">
        <v>31</v>
      </c>
      <c r="B28" s="16" t="s">
        <v>256</v>
      </c>
      <c r="C28" s="17" t="s">
        <v>260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4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4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35000</v>
      </c>
      <c r="O28" s="18">
        <f t="shared" si="5"/>
        <v>1659420</v>
      </c>
      <c r="P28" s="17" t="s">
        <v>261</v>
      </c>
    </row>
    <row r="29" spans="1:16" ht="30" x14ac:dyDescent="0.25">
      <c r="A29" s="20">
        <v>32</v>
      </c>
      <c r="B29" s="20" t="s">
        <v>256</v>
      </c>
      <c r="C29" s="21" t="s">
        <v>264</v>
      </c>
      <c r="D29" s="21" t="s">
        <v>216</v>
      </c>
      <c r="E29" s="20" t="s">
        <v>255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308</v>
      </c>
    </row>
    <row r="30" spans="1:16" ht="75" x14ac:dyDescent="0.25">
      <c r="A30" s="16">
        <v>33</v>
      </c>
      <c r="B30" s="16" t="s">
        <v>280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339</v>
      </c>
    </row>
    <row r="31" spans="1:16" ht="30" x14ac:dyDescent="0.25">
      <c r="A31" s="16">
        <v>34</v>
      </c>
      <c r="B31" s="16" t="s">
        <v>280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35000</v>
      </c>
      <c r="O31" s="18">
        <f t="shared" si="5"/>
        <v>1659420</v>
      </c>
      <c r="P31" s="17" t="s">
        <v>213</v>
      </c>
    </row>
    <row r="32" spans="1:16" ht="45" x14ac:dyDescent="0.25">
      <c r="A32" s="16">
        <v>35</v>
      </c>
      <c r="B32" s="16" t="s">
        <v>383</v>
      </c>
      <c r="C32" s="17" t="s">
        <v>384</v>
      </c>
      <c r="D32" s="17" t="s">
        <v>385</v>
      </c>
      <c r="E32" s="16" t="s">
        <v>80</v>
      </c>
      <c r="F32" s="16" t="s">
        <v>83</v>
      </c>
      <c r="G32" s="16">
        <v>1</v>
      </c>
      <c r="H32" s="18">
        <v>1200000</v>
      </c>
      <c r="I32" s="16">
        <v>2</v>
      </c>
      <c r="J32" s="18">
        <f t="shared" si="25"/>
        <v>171110</v>
      </c>
      <c r="K32" s="18">
        <f t="shared" si="26"/>
        <v>1371110</v>
      </c>
      <c r="L32" s="19">
        <f t="shared" si="2"/>
        <v>2</v>
      </c>
      <c r="M32" s="18">
        <f t="shared" si="3"/>
        <v>2742220</v>
      </c>
      <c r="N32" s="18">
        <f t="shared" si="4"/>
        <v>35000</v>
      </c>
      <c r="O32" s="18">
        <f t="shared" si="5"/>
        <v>2777220</v>
      </c>
      <c r="P32" s="17" t="s">
        <v>380</v>
      </c>
    </row>
    <row r="33" spans="1:16" ht="30" x14ac:dyDescent="0.25">
      <c r="A33" s="20">
        <v>36</v>
      </c>
      <c r="B33" s="20" t="s">
        <v>280</v>
      </c>
      <c r="C33" s="21" t="s">
        <v>281</v>
      </c>
      <c r="D33" s="21" t="s">
        <v>214</v>
      </c>
      <c r="E33" s="20" t="s">
        <v>255</v>
      </c>
      <c r="F33" s="20" t="s">
        <v>83</v>
      </c>
      <c r="G33" s="20">
        <v>0</v>
      </c>
      <c r="H33" s="22">
        <v>1000000</v>
      </c>
      <c r="I33" s="20">
        <v>2</v>
      </c>
      <c r="J33" s="22">
        <f t="shared" si="25"/>
        <v>160000</v>
      </c>
      <c r="K33" s="22">
        <f t="shared" si="26"/>
        <v>0</v>
      </c>
      <c r="L33" s="23">
        <f t="shared" si="2"/>
        <v>2</v>
      </c>
      <c r="M33" s="22">
        <f t="shared" si="3"/>
        <v>0</v>
      </c>
      <c r="N33" s="22">
        <f t="shared" si="4"/>
        <v>0</v>
      </c>
      <c r="O33" s="22">
        <f t="shared" si="5"/>
        <v>0</v>
      </c>
      <c r="P33" s="21" t="s">
        <v>309</v>
      </c>
    </row>
    <row r="34" spans="1:16" ht="30" x14ac:dyDescent="0.25">
      <c r="A34" s="20">
        <v>37</v>
      </c>
      <c r="B34" s="20" t="s">
        <v>280</v>
      </c>
      <c r="C34" s="21" t="s">
        <v>282</v>
      </c>
      <c r="D34" s="21" t="s">
        <v>214</v>
      </c>
      <c r="E34" s="20" t="s">
        <v>255</v>
      </c>
      <c r="F34" s="20" t="s">
        <v>83</v>
      </c>
      <c r="G34" s="20">
        <v>0</v>
      </c>
      <c r="H34" s="22">
        <v>700000</v>
      </c>
      <c r="I34" s="20">
        <v>2</v>
      </c>
      <c r="J34" s="22">
        <f t="shared" si="25"/>
        <v>112000</v>
      </c>
      <c r="K34" s="22">
        <f t="shared" si="26"/>
        <v>0</v>
      </c>
      <c r="L34" s="23">
        <f t="shared" si="2"/>
        <v>2</v>
      </c>
      <c r="M34" s="22">
        <f t="shared" si="3"/>
        <v>0</v>
      </c>
      <c r="N34" s="22">
        <f t="shared" si="4"/>
        <v>0</v>
      </c>
      <c r="O34" s="22">
        <f t="shared" si="5"/>
        <v>0</v>
      </c>
      <c r="P34" s="21" t="s">
        <v>310</v>
      </c>
    </row>
    <row r="35" spans="1:16" x14ac:dyDescent="0.25">
      <c r="A35" s="7"/>
      <c r="B35" s="7"/>
      <c r="C35" s="7" t="s">
        <v>334</v>
      </c>
      <c r="D35" s="7"/>
      <c r="E35" s="7"/>
      <c r="F35" s="7"/>
      <c r="G35" s="7">
        <f>SUM(G5:G34)</f>
        <v>23</v>
      </c>
      <c r="H35" s="6">
        <f>SUMPRODUCT(G5:G34,H5:H34)</f>
        <v>24900000</v>
      </c>
      <c r="I35" s="7"/>
      <c r="J35" s="6"/>
      <c r="K35" s="6">
        <f>SUM(K5:K34)</f>
        <v>28517470</v>
      </c>
      <c r="L35" s="7"/>
      <c r="M35" s="6">
        <f>SUM(M5:M34)</f>
        <v>61677420</v>
      </c>
      <c r="N35" s="6">
        <f t="shared" ref="N35:O35" si="27">SUM(N5:N34)</f>
        <v>665000</v>
      </c>
      <c r="O35" s="6">
        <f t="shared" si="27"/>
        <v>62342420</v>
      </c>
      <c r="P35" s="7"/>
    </row>
    <row r="36" spans="1:16" x14ac:dyDescent="0.25">
      <c r="C36" t="s">
        <v>335</v>
      </c>
      <c r="G36">
        <f>SUM(G8:G12)+SUM(G13:G29)</f>
        <v>17</v>
      </c>
      <c r="H36" s="5">
        <f>SUMPRODUCT(G8:G12,H8:H12)+SUMPRODUCT(G13:G29,H13:H29)</f>
        <v>17200000</v>
      </c>
    </row>
    <row r="37" spans="1:16" x14ac:dyDescent="0.25">
      <c r="C37" t="s">
        <v>336</v>
      </c>
      <c r="G37">
        <f>G35-G36</f>
        <v>6</v>
      </c>
      <c r="H37" s="5">
        <f>H35-H36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340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286</v>
      </c>
      <c r="E3" s="25" t="s">
        <v>287</v>
      </c>
      <c r="F3" s="25" t="s">
        <v>288</v>
      </c>
      <c r="G3" s="25" t="s">
        <v>289</v>
      </c>
      <c r="H3" s="25" t="s">
        <v>332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290</v>
      </c>
      <c r="C4" s="27" t="s">
        <v>214</v>
      </c>
      <c r="D4" s="27" t="s">
        <v>291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2</v>
      </c>
      <c r="I4" s="29">
        <f t="shared" ref="I4:I10" si="2">IF(H4=1,Мес_2026_новые,MAX(0,4-H4))</f>
        <v>2</v>
      </c>
      <c r="J4" s="28">
        <f t="shared" ref="J4:J10" si="3">G4*I4</f>
        <v>2320000</v>
      </c>
    </row>
    <row r="5" spans="1:10" ht="45" x14ac:dyDescent="0.25">
      <c r="A5" s="26">
        <v>2</v>
      </c>
      <c r="B5" s="27" t="s">
        <v>292</v>
      </c>
      <c r="C5" s="27" t="s">
        <v>214</v>
      </c>
      <c r="D5" s="27" t="s">
        <v>293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2</v>
      </c>
      <c r="I5" s="29">
        <f t="shared" si="2"/>
        <v>2</v>
      </c>
      <c r="J5" s="28">
        <f t="shared" si="3"/>
        <v>1624000</v>
      </c>
    </row>
    <row r="6" spans="1:10" ht="30" x14ac:dyDescent="0.25">
      <c r="A6" s="26">
        <v>3</v>
      </c>
      <c r="B6" s="27" t="s">
        <v>294</v>
      </c>
      <c r="C6" s="27" t="s">
        <v>295</v>
      </c>
      <c r="D6" s="27" t="s">
        <v>296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2</v>
      </c>
      <c r="I6" s="29">
        <f t="shared" si="2"/>
        <v>2</v>
      </c>
      <c r="J6" s="28">
        <f t="shared" si="3"/>
        <v>2320000</v>
      </c>
    </row>
    <row r="7" spans="1:10" ht="45" x14ac:dyDescent="0.25">
      <c r="A7" s="26">
        <v>4</v>
      </c>
      <c r="B7" s="27" t="s">
        <v>297</v>
      </c>
      <c r="C7" s="27" t="s">
        <v>298</v>
      </c>
      <c r="D7" s="27" t="s">
        <v>299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300</v>
      </c>
      <c r="C8" s="27" t="s">
        <v>298</v>
      </c>
      <c r="D8" s="27" t="s">
        <v>301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30" x14ac:dyDescent="0.25">
      <c r="A9" s="26">
        <v>6</v>
      </c>
      <c r="B9" s="27" t="s">
        <v>406</v>
      </c>
      <c r="C9" s="27" t="s">
        <v>407</v>
      </c>
      <c r="D9" s="27" t="s">
        <v>408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302</v>
      </c>
      <c r="C10" s="27" t="s">
        <v>298</v>
      </c>
      <c r="D10" s="27" t="s">
        <v>303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304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13456000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331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425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Заместитель ГИД по стратегии и проектам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409</v>
      </c>
      <c r="C8">
        <f>SUMIFS(Штат!$G$5:$G$34,Штат!$B$5:$B$34,"Департамент социологических*",Штат!$E$5:$E$34,"штат")</f>
        <v>3</v>
      </c>
      <c r="D8" s="9">
        <v>3</v>
      </c>
      <c r="E8" s="9">
        <v>3</v>
      </c>
      <c r="F8" s="15">
        <f>MIN(2,IF(C8&gt;0,SUMIFS(Штат!$L$5:$L$34,Штат!$B$5:$B$34,"Департамент социологических*",Штат!$E$5:$E$34,"штат")/C8,0))</f>
        <v>2</v>
      </c>
      <c r="G8" s="5">
        <f t="shared" si="0"/>
        <v>712125</v>
      </c>
    </row>
    <row r="9" spans="1:7" ht="27.75" customHeight="1" x14ac:dyDescent="0.25">
      <c r="A9" s="4" t="s">
        <v>410</v>
      </c>
      <c r="C9">
        <f>SUMIFS(Штат!$G$5:$G$34,Штат!$B$5:$B$34,"Департамент проектного управления*",Штат!$E$5:$E$34,"штат")</f>
        <v>7</v>
      </c>
      <c r="D9" s="9">
        <v>6</v>
      </c>
      <c r="E9" s="9">
        <v>0</v>
      </c>
      <c r="F9" s="15">
        <f>MIN(2,IF(C9&gt;0,SUMIFS(Штат!$L$5:$L$34,Штат!$B$5:$B$34,"Департамент проектного управления*",Штат!$E$5:$E$34,"штат")/C9,0))</f>
        <v>1.7142857142857142</v>
      </c>
      <c r="G9" s="5">
        <f t="shared" si="0"/>
        <v>1145699.9999999998</v>
      </c>
    </row>
    <row r="10" spans="1:7" ht="27.75" customHeight="1" x14ac:dyDescent="0.25">
      <c r="A10" s="4" t="s">
        <v>284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411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4108650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0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341</v>
      </c>
    </row>
    <row r="2" spans="1:9" ht="15" customHeight="1" x14ac:dyDescent="0.25">
      <c r="A2" s="2" t="s">
        <v>342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343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17</v>
      </c>
      <c r="E5" s="10">
        <v>450000</v>
      </c>
      <c r="F5" s="9" t="s">
        <v>101</v>
      </c>
      <c r="G5" s="9">
        <v>1</v>
      </c>
      <c r="H5" s="4" t="s">
        <v>412</v>
      </c>
      <c r="I5" s="5">
        <f t="shared" ref="I5:I42" si="0">IF(F5="разово",IF(G5&lt;=3,D5*E5,0),IF(F5="мес",D5*E5*MAX(0,4-G5),D5*E5*MAX(0,4-G5)/12))</f>
        <v>7650000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323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313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360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232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233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234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235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236</v>
      </c>
      <c r="C21" t="s">
        <v>237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238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239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240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241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242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268</v>
      </c>
      <c r="C24" t="s">
        <v>100</v>
      </c>
      <c r="D24" s="9">
        <v>21</v>
      </c>
      <c r="E24" s="10">
        <f>ROUND(4118/(1+НДС),0)</f>
        <v>3550</v>
      </c>
      <c r="F24" s="9" t="s">
        <v>101</v>
      </c>
      <c r="G24" s="9">
        <v>1</v>
      </c>
      <c r="H24" s="4" t="s">
        <v>413</v>
      </c>
      <c r="I24" s="5">
        <f t="shared" si="0"/>
        <v>74550</v>
      </c>
    </row>
    <row r="25" spans="1:9" ht="15" customHeight="1" x14ac:dyDescent="0.25">
      <c r="A25" t="s">
        <v>98</v>
      </c>
      <c r="B25" s="4" t="s">
        <v>267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361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269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270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271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272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321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322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324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325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326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327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362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416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328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329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330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419</v>
      </c>
      <c r="C37" t="s">
        <v>100</v>
      </c>
      <c r="D37" s="9">
        <v>15</v>
      </c>
      <c r="E37" s="10">
        <f>ROUND(11425/(1+НДС),0)</f>
        <v>9849</v>
      </c>
      <c r="F37" s="9" t="s">
        <v>101</v>
      </c>
      <c r="G37" s="9">
        <v>1</v>
      </c>
      <c r="H37" s="4" t="s">
        <v>420</v>
      </c>
      <c r="I37" s="5">
        <f t="shared" ref="I37:I39" si="3">IF(F37="разово",IF(G37&lt;=3,D37*E37,0),IF(F37="мес",D37*E37*MAX(0,4-G37),D37*E37*MAX(0,4-G37)/12))</f>
        <v>147735</v>
      </c>
    </row>
    <row r="38" spans="1:9" ht="15" customHeight="1" x14ac:dyDescent="0.25">
      <c r="A38" t="s">
        <v>98</v>
      </c>
      <c r="B38" s="4" t="s">
        <v>421</v>
      </c>
      <c r="C38" t="s">
        <v>104</v>
      </c>
      <c r="D38" s="9">
        <v>1</v>
      </c>
      <c r="E38" s="10">
        <f>ROUND(428736/(1+НДС),0)</f>
        <v>369600</v>
      </c>
      <c r="F38" s="9" t="s">
        <v>101</v>
      </c>
      <c r="G38" s="9">
        <v>1</v>
      </c>
      <c r="H38" s="4" t="s">
        <v>422</v>
      </c>
      <c r="I38" s="5">
        <f t="shared" si="3"/>
        <v>369600</v>
      </c>
    </row>
    <row r="39" spans="1:9" ht="15" customHeight="1" x14ac:dyDescent="0.25">
      <c r="A39" t="s">
        <v>98</v>
      </c>
      <c r="B39" s="4" t="s">
        <v>423</v>
      </c>
      <c r="C39" t="s">
        <v>100</v>
      </c>
      <c r="D39" s="9">
        <v>3</v>
      </c>
      <c r="E39" s="10">
        <f>ROUND(30701/(1+НДС),0)</f>
        <v>26466</v>
      </c>
      <c r="F39" s="9" t="s">
        <v>101</v>
      </c>
      <c r="G39" s="9">
        <v>1</v>
      </c>
      <c r="H39" s="4" t="s">
        <v>424</v>
      </c>
      <c r="I39" s="5">
        <f t="shared" si="3"/>
        <v>79398</v>
      </c>
    </row>
    <row r="40" spans="1:9" ht="15" customHeight="1" x14ac:dyDescent="0.25">
      <c r="A40" t="s">
        <v>98</v>
      </c>
      <c r="B40" s="4" t="s">
        <v>116</v>
      </c>
      <c r="C40" t="s">
        <v>104</v>
      </c>
      <c r="D40" s="9">
        <v>1</v>
      </c>
      <c r="E40" s="10">
        <v>150000</v>
      </c>
      <c r="F40" s="9" t="s">
        <v>101</v>
      </c>
      <c r="G40" s="9">
        <v>1</v>
      </c>
      <c r="H40" s="4"/>
      <c r="I40" s="5">
        <f t="shared" si="0"/>
        <v>150000</v>
      </c>
    </row>
    <row r="41" spans="1:9" ht="15" customHeight="1" x14ac:dyDescent="0.25">
      <c r="A41" t="s">
        <v>98</v>
      </c>
      <c r="B41" s="4" t="s">
        <v>117</v>
      </c>
      <c r="C41" t="s">
        <v>104</v>
      </c>
      <c r="D41" s="9">
        <v>1</v>
      </c>
      <c r="E41" s="10">
        <v>400000</v>
      </c>
      <c r="F41" s="9" t="s">
        <v>101</v>
      </c>
      <c r="G41" s="9">
        <v>1</v>
      </c>
      <c r="H41" s="4"/>
      <c r="I41" s="5">
        <f t="shared" si="0"/>
        <v>400000</v>
      </c>
    </row>
    <row r="42" spans="1:9" ht="15" customHeight="1" x14ac:dyDescent="0.25">
      <c r="A42" t="s">
        <v>98</v>
      </c>
      <c r="B42" s="4" t="s">
        <v>363</v>
      </c>
      <c r="C42" t="s">
        <v>100</v>
      </c>
      <c r="D42" s="9">
        <v>2</v>
      </c>
      <c r="E42" s="10">
        <v>10000</v>
      </c>
      <c r="F42" s="9" t="s">
        <v>101</v>
      </c>
      <c r="G42" s="9">
        <v>1</v>
      </c>
      <c r="H42" s="4"/>
      <c r="I42" s="5">
        <f t="shared" si="0"/>
        <v>20000</v>
      </c>
    </row>
    <row r="43" spans="1:9" ht="27.75" customHeight="1" x14ac:dyDescent="0.25">
      <c r="A43" t="s">
        <v>118</v>
      </c>
      <c r="B43" s="4" t="s">
        <v>119</v>
      </c>
      <c r="C43" t="s">
        <v>120</v>
      </c>
      <c r="D43" s="9">
        <v>1</v>
      </c>
      <c r="E43" s="10">
        <f>Аренда_мес</f>
        <v>4909152.0999999996</v>
      </c>
      <c r="F43" s="9" t="s">
        <v>121</v>
      </c>
      <c r="G43" s="9">
        <v>1</v>
      </c>
      <c r="H43" s="4" t="s">
        <v>320</v>
      </c>
      <c r="I43" s="5">
        <f>D43*E43*Аренда_мес_2026</f>
        <v>11560261.396774193</v>
      </c>
    </row>
    <row r="44" spans="1:9" ht="15" customHeight="1" x14ac:dyDescent="0.25">
      <c r="A44" t="s">
        <v>118</v>
      </c>
      <c r="B44" s="4" t="s">
        <v>223</v>
      </c>
      <c r="C44" t="s">
        <v>122</v>
      </c>
      <c r="D44" s="9">
        <v>1</v>
      </c>
      <c r="E44" s="10">
        <f>Аренда_мес*Депозит_мес</f>
        <v>4909152.0999999996</v>
      </c>
      <c r="F44" s="9" t="s">
        <v>101</v>
      </c>
      <c r="G44" s="9">
        <v>1</v>
      </c>
      <c r="H44" s="4" t="s">
        <v>266</v>
      </c>
      <c r="I44" s="5">
        <f t="shared" ref="I44:I60" si="4">IF(F44="разово",IF(G44&lt;=3,D44*E44,0),IF(F44="мес",D44*E44*MAX(0,4-G44),D44*E44*MAX(0,4-G44)/12))</f>
        <v>4909152.0999999996</v>
      </c>
    </row>
    <row r="45" spans="1:9" ht="15" customHeight="1" x14ac:dyDescent="0.25">
      <c r="A45" t="s">
        <v>118</v>
      </c>
      <c r="B45" s="4" t="s">
        <v>123</v>
      </c>
      <c r="C45" t="s">
        <v>120</v>
      </c>
      <c r="D45" s="9">
        <v>1</v>
      </c>
      <c r="E45" s="10">
        <v>50000</v>
      </c>
      <c r="F45" s="9" t="s">
        <v>121</v>
      </c>
      <c r="G45" s="9">
        <v>2</v>
      </c>
      <c r="H45" s="4"/>
      <c r="I45" s="5">
        <f t="shared" si="4"/>
        <v>100000</v>
      </c>
    </row>
    <row r="46" spans="1:9" ht="15" customHeight="1" x14ac:dyDescent="0.25">
      <c r="A46" t="s">
        <v>118</v>
      </c>
      <c r="B46" s="4" t="s">
        <v>124</v>
      </c>
      <c r="C46" t="s">
        <v>120</v>
      </c>
      <c r="D46" s="9">
        <v>1</v>
      </c>
      <c r="E46" s="10">
        <v>60000</v>
      </c>
      <c r="F46" s="9" t="s">
        <v>121</v>
      </c>
      <c r="G46" s="9">
        <v>2</v>
      </c>
      <c r="H46" s="4"/>
      <c r="I46" s="5">
        <f t="shared" si="4"/>
        <v>120000</v>
      </c>
    </row>
    <row r="47" spans="1:9" ht="15" customHeight="1" x14ac:dyDescent="0.25">
      <c r="A47" t="s">
        <v>118</v>
      </c>
      <c r="B47" s="4" t="s">
        <v>125</v>
      </c>
      <c r="C47" t="s">
        <v>120</v>
      </c>
      <c r="D47" s="9">
        <v>1</v>
      </c>
      <c r="E47" s="10">
        <v>50000</v>
      </c>
      <c r="F47" s="9" t="s">
        <v>121</v>
      </c>
      <c r="G47" s="9">
        <v>2</v>
      </c>
      <c r="H47" s="4"/>
      <c r="I47" s="5">
        <f t="shared" si="4"/>
        <v>100000</v>
      </c>
    </row>
    <row r="48" spans="1:9" ht="15" customHeight="1" x14ac:dyDescent="0.25">
      <c r="A48" t="s">
        <v>118</v>
      </c>
      <c r="B48" s="4" t="s">
        <v>126</v>
      </c>
      <c r="C48" t="s">
        <v>120</v>
      </c>
      <c r="D48" s="9">
        <v>1</v>
      </c>
      <c r="E48" s="10">
        <v>30000</v>
      </c>
      <c r="F48" s="9" t="s">
        <v>121</v>
      </c>
      <c r="G48" s="9">
        <v>2</v>
      </c>
      <c r="H48" s="4"/>
      <c r="I48" s="5">
        <f t="shared" si="4"/>
        <v>60000</v>
      </c>
    </row>
    <row r="49" spans="1:9" ht="15" customHeight="1" x14ac:dyDescent="0.25">
      <c r="A49" t="s">
        <v>118</v>
      </c>
      <c r="B49" s="4" t="s">
        <v>371</v>
      </c>
      <c r="C49" t="s">
        <v>120</v>
      </c>
      <c r="D49" s="9">
        <v>1</v>
      </c>
      <c r="E49" s="10">
        <f>Канцелярия!F11</f>
        <v>37375</v>
      </c>
      <c r="F49" s="9" t="s">
        <v>121</v>
      </c>
      <c r="G49" s="9">
        <v>2</v>
      </c>
      <c r="H49" s="4" t="s">
        <v>372</v>
      </c>
      <c r="I49" s="5">
        <f t="shared" si="4"/>
        <v>74750</v>
      </c>
    </row>
    <row r="50" spans="1:9" ht="15" customHeight="1" x14ac:dyDescent="0.25">
      <c r="A50" t="s">
        <v>118</v>
      </c>
      <c r="B50" s="4" t="s">
        <v>373</v>
      </c>
      <c r="C50" t="s">
        <v>104</v>
      </c>
      <c r="D50" s="9">
        <v>1</v>
      </c>
      <c r="E50" s="10">
        <f>Канцелярия!F20</f>
        <v>78500</v>
      </c>
      <c r="F50" s="9" t="s">
        <v>101</v>
      </c>
      <c r="G50" s="9">
        <v>1</v>
      </c>
      <c r="H50" s="4" t="s">
        <v>374</v>
      </c>
      <c r="I50" s="5">
        <f t="shared" ref="I50" si="5">IF(F50="разово",IF(G50&lt;=3,D50*E50,0),IF(F50="мес",D50*E50*MAX(0,4-G50),D50*E50*MAX(0,4-G50)/12))</f>
        <v>78500</v>
      </c>
    </row>
    <row r="51" spans="1:9" ht="15" customHeight="1" x14ac:dyDescent="0.25">
      <c r="A51" t="s">
        <v>118</v>
      </c>
      <c r="B51" s="4" t="s">
        <v>127</v>
      </c>
      <c r="C51" t="s">
        <v>120</v>
      </c>
      <c r="D51" s="9">
        <v>1</v>
      </c>
      <c r="E51" s="10">
        <v>100000</v>
      </c>
      <c r="F51" s="9" t="s">
        <v>121</v>
      </c>
      <c r="G51" s="9">
        <v>2</v>
      </c>
      <c r="H51" s="4"/>
      <c r="I51" s="5">
        <f t="shared" si="4"/>
        <v>200000</v>
      </c>
    </row>
    <row r="52" spans="1:9" ht="15" customHeight="1" x14ac:dyDescent="0.25">
      <c r="A52" t="s">
        <v>128</v>
      </c>
      <c r="B52" s="4" t="s">
        <v>129</v>
      </c>
      <c r="C52" t="s">
        <v>130</v>
      </c>
      <c r="D52" s="9">
        <v>19</v>
      </c>
      <c r="E52" s="10">
        <v>7000</v>
      </c>
      <c r="F52" s="9" t="s">
        <v>121</v>
      </c>
      <c r="G52" s="9">
        <v>2</v>
      </c>
      <c r="H52" s="4" t="s">
        <v>364</v>
      </c>
      <c r="I52" s="5">
        <f t="shared" si="4"/>
        <v>266000</v>
      </c>
    </row>
    <row r="53" spans="1:9" ht="15" customHeight="1" x14ac:dyDescent="0.25">
      <c r="A53" t="s">
        <v>128</v>
      </c>
      <c r="B53" s="4" t="s">
        <v>131</v>
      </c>
      <c r="C53" t="s">
        <v>130</v>
      </c>
      <c r="D53" s="9">
        <v>3</v>
      </c>
      <c r="E53" s="10">
        <v>7500</v>
      </c>
      <c r="F53" s="9" t="s">
        <v>121</v>
      </c>
      <c r="G53" s="9">
        <v>2</v>
      </c>
      <c r="H53" s="4"/>
      <c r="I53" s="5">
        <f t="shared" si="4"/>
        <v>45000</v>
      </c>
    </row>
    <row r="54" spans="1:9" ht="15" customHeight="1" x14ac:dyDescent="0.25">
      <c r="A54" t="s">
        <v>128</v>
      </c>
      <c r="B54" s="4" t="s">
        <v>132</v>
      </c>
      <c r="C54" t="s">
        <v>133</v>
      </c>
      <c r="D54" s="9">
        <v>2</v>
      </c>
      <c r="E54" s="10">
        <v>30000</v>
      </c>
      <c r="F54" s="9" t="s">
        <v>121</v>
      </c>
      <c r="G54" s="9">
        <v>2</v>
      </c>
      <c r="H54" s="4" t="s">
        <v>134</v>
      </c>
      <c r="I54" s="5">
        <f t="shared" si="4"/>
        <v>120000</v>
      </c>
    </row>
    <row r="55" spans="1:9" ht="15" customHeight="1" x14ac:dyDescent="0.25">
      <c r="A55" t="s">
        <v>128</v>
      </c>
      <c r="B55" s="4" t="s">
        <v>135</v>
      </c>
      <c r="C55" t="s">
        <v>133</v>
      </c>
      <c r="D55" s="9">
        <v>2</v>
      </c>
      <c r="E55" s="10">
        <v>8000</v>
      </c>
      <c r="F55" s="9" t="s">
        <v>121</v>
      </c>
      <c r="G55" s="9">
        <v>2</v>
      </c>
      <c r="H55" s="4"/>
      <c r="I55" s="5">
        <f t="shared" si="4"/>
        <v>32000</v>
      </c>
    </row>
    <row r="56" spans="1:9" ht="15" customHeight="1" x14ac:dyDescent="0.25">
      <c r="A56" t="s">
        <v>136</v>
      </c>
      <c r="B56" s="4" t="s">
        <v>311</v>
      </c>
      <c r="C56" t="s">
        <v>244</v>
      </c>
      <c r="D56" s="9"/>
      <c r="E56" s="10"/>
      <c r="F56" s="9" t="s">
        <v>243</v>
      </c>
      <c r="G56" s="9"/>
      <c r="H56" s="4"/>
      <c r="I56" s="5">
        <v>2000000</v>
      </c>
    </row>
    <row r="57" spans="1:9" ht="15" customHeight="1" x14ac:dyDescent="0.25">
      <c r="A57" t="s">
        <v>136</v>
      </c>
      <c r="B57" s="4" t="s">
        <v>137</v>
      </c>
      <c r="C57" t="s">
        <v>120</v>
      </c>
      <c r="D57" s="9">
        <v>1</v>
      </c>
      <c r="E57" s="10">
        <v>150000</v>
      </c>
      <c r="F57" s="9" t="s">
        <v>121</v>
      </c>
      <c r="G57" s="9">
        <v>2</v>
      </c>
      <c r="H57" s="4"/>
      <c r="I57" s="5">
        <f t="shared" si="4"/>
        <v>300000</v>
      </c>
    </row>
    <row r="58" spans="1:9" ht="15" customHeight="1" x14ac:dyDescent="0.25">
      <c r="A58" t="s">
        <v>136</v>
      </c>
      <c r="B58" s="4" t="s">
        <v>139</v>
      </c>
      <c r="C58" t="s">
        <v>120</v>
      </c>
      <c r="D58" s="9">
        <v>1</v>
      </c>
      <c r="E58" s="10">
        <v>25000</v>
      </c>
      <c r="F58" s="9" t="s">
        <v>121</v>
      </c>
      <c r="G58" s="9">
        <v>2</v>
      </c>
      <c r="H58" s="4"/>
      <c r="I58" s="5">
        <f t="shared" si="4"/>
        <v>50000</v>
      </c>
    </row>
    <row r="59" spans="1:9" ht="15" customHeight="1" x14ac:dyDescent="0.25">
      <c r="A59" t="s">
        <v>140</v>
      </c>
      <c r="B59" s="4" t="s">
        <v>365</v>
      </c>
      <c r="C59" t="s">
        <v>104</v>
      </c>
      <c r="D59" s="9">
        <v>1</v>
      </c>
      <c r="E59" s="10">
        <v>50000</v>
      </c>
      <c r="F59" s="9" t="s">
        <v>101</v>
      </c>
      <c r="G59" s="9">
        <v>1</v>
      </c>
      <c r="H59" s="4"/>
      <c r="I59" s="5">
        <f t="shared" si="4"/>
        <v>50000</v>
      </c>
    </row>
    <row r="60" spans="1:9" ht="15" customHeight="1" x14ac:dyDescent="0.25">
      <c r="A60" t="s">
        <v>140</v>
      </c>
      <c r="B60" s="4" t="s">
        <v>366</v>
      </c>
      <c r="C60" t="s">
        <v>138</v>
      </c>
      <c r="D60" s="9">
        <v>1</v>
      </c>
      <c r="E60" s="10">
        <v>100000</v>
      </c>
      <c r="F60" s="9" t="s">
        <v>138</v>
      </c>
      <c r="G60" s="9">
        <v>2</v>
      </c>
      <c r="H60" s="4"/>
      <c r="I60" s="5">
        <f t="shared" si="4"/>
        <v>16666.666666666668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A11" sqref="A11:G11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344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285</v>
      </c>
      <c r="B5" s="4" t="s">
        <v>481</v>
      </c>
      <c r="C5" t="s">
        <v>244</v>
      </c>
      <c r="D5" s="9"/>
      <c r="E5" s="10"/>
      <c r="F5" s="9" t="s">
        <v>243</v>
      </c>
      <c r="G5" s="5">
        <f>'Taza talqy'!F12</f>
        <v>10755520</v>
      </c>
    </row>
    <row r="6" spans="1:7" x14ac:dyDescent="0.25">
      <c r="A6" t="s">
        <v>285</v>
      </c>
      <c r="B6" s="4" t="s">
        <v>482</v>
      </c>
      <c r="C6" t="s">
        <v>244</v>
      </c>
      <c r="D6" s="9"/>
      <c r="E6" s="10"/>
      <c r="F6" s="9" t="s">
        <v>243</v>
      </c>
      <c r="G6" s="5">
        <f>'Презентация офисе'!F15</f>
        <v>6414800</v>
      </c>
    </row>
    <row r="7" spans="1:7" x14ac:dyDescent="0.25">
      <c r="A7" t="s">
        <v>285</v>
      </c>
      <c r="B7" s="4" t="s">
        <v>245</v>
      </c>
      <c r="C7" t="s">
        <v>244</v>
      </c>
      <c r="D7" s="9"/>
      <c r="E7" s="10"/>
      <c r="F7" s="9" t="s">
        <v>243</v>
      </c>
      <c r="G7" s="5">
        <f>'креативные проекты'!F9</f>
        <v>17284000</v>
      </c>
    </row>
    <row r="8" spans="1:7" x14ac:dyDescent="0.25">
      <c r="A8" t="s">
        <v>285</v>
      </c>
      <c r="B8" s="4" t="s">
        <v>483</v>
      </c>
      <c r="C8" t="s">
        <v>244</v>
      </c>
      <c r="D8" s="9"/>
      <c r="E8" s="10"/>
      <c r="F8" s="9" t="s">
        <v>243</v>
      </c>
      <c r="G8" s="5">
        <f>'Информ сопровождение'!F13</f>
        <v>23432000</v>
      </c>
    </row>
    <row r="9" spans="1:7" x14ac:dyDescent="0.25">
      <c r="A9" t="s">
        <v>285</v>
      </c>
      <c r="B9" s="4" t="s">
        <v>484</v>
      </c>
      <c r="C9" t="s">
        <v>244</v>
      </c>
      <c r="D9" s="9"/>
      <c r="E9" s="10"/>
      <c r="F9" s="9" t="s">
        <v>243</v>
      </c>
      <c r="G9" s="5">
        <f>'Соц исследования'!F8</f>
        <v>13108000</v>
      </c>
    </row>
    <row r="10" spans="1:7" x14ac:dyDescent="0.25">
      <c r="A10" t="s">
        <v>285</v>
      </c>
      <c r="B10" s="4" t="s">
        <v>480</v>
      </c>
      <c r="C10" t="s">
        <v>244</v>
      </c>
      <c r="D10" s="9"/>
      <c r="E10" s="10"/>
      <c r="F10" s="9" t="s">
        <v>243</v>
      </c>
      <c r="G10" s="5">
        <f>'Разработка платформы'!F7</f>
        <v>16239999.999999998</v>
      </c>
    </row>
    <row r="11" spans="1:7" x14ac:dyDescent="0.25">
      <c r="B11" s="4"/>
      <c r="D11" s="9"/>
      <c r="E11" s="10"/>
      <c r="F11" s="9"/>
      <c r="G11" s="5"/>
    </row>
    <row r="12" spans="1:7" x14ac:dyDescent="0.25">
      <c r="G12" s="5"/>
    </row>
    <row r="13" spans="1:7" x14ac:dyDescent="0.25">
      <c r="B13" s="7" t="s">
        <v>345</v>
      </c>
      <c r="C13" s="7"/>
      <c r="D13" s="7"/>
      <c r="E13" s="7"/>
      <c r="F13" s="7"/>
      <c r="G13" s="6">
        <f>SUM(G5:G11)</f>
        <v>87234320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60" customWidth="1"/>
    <col min="2" max="2" width="52.85546875" style="48" customWidth="1"/>
    <col min="3" max="3" width="10.28515625" style="48" customWidth="1"/>
    <col min="4" max="4" width="9.140625" style="48"/>
    <col min="5" max="5" width="12.42578125" style="48" customWidth="1"/>
    <col min="6" max="6" width="15.140625" style="48" customWidth="1"/>
    <col min="7" max="7" width="14.42578125" style="48" customWidth="1"/>
    <col min="8" max="8" width="10.85546875" style="48" bestFit="1" customWidth="1"/>
    <col min="9" max="16384" width="9.140625" style="48"/>
  </cols>
  <sheetData>
    <row r="1" spans="1:12" ht="28.7" customHeight="1" x14ac:dyDescent="0.25">
      <c r="A1" s="46" t="s">
        <v>426</v>
      </c>
      <c r="B1" s="46"/>
      <c r="C1" s="46"/>
      <c r="D1" s="46"/>
      <c r="E1" s="46"/>
      <c r="F1" s="47"/>
      <c r="G1" s="47"/>
      <c r="H1" s="47"/>
      <c r="I1" s="47"/>
      <c r="J1" s="47"/>
      <c r="K1" s="47"/>
      <c r="L1" s="47"/>
    </row>
    <row r="3" spans="1:12" ht="38.25" x14ac:dyDescent="0.2">
      <c r="A3" s="49" t="s">
        <v>66</v>
      </c>
      <c r="B3" s="50" t="s">
        <v>427</v>
      </c>
      <c r="C3" s="51" t="s">
        <v>428</v>
      </c>
      <c r="D3" s="51" t="s">
        <v>429</v>
      </c>
      <c r="E3" s="52" t="s">
        <v>430</v>
      </c>
      <c r="F3" s="52" t="s">
        <v>431</v>
      </c>
    </row>
    <row r="4" spans="1:12" x14ac:dyDescent="0.2">
      <c r="A4" s="53"/>
      <c r="B4" s="50" t="s">
        <v>432</v>
      </c>
      <c r="C4" s="51"/>
      <c r="D4" s="51"/>
      <c r="E4" s="54"/>
      <c r="F4" s="55">
        <f>F11</f>
        <v>9272000</v>
      </c>
    </row>
    <row r="5" spans="1:12" ht="25.5" x14ac:dyDescent="0.2">
      <c r="A5" s="53" t="s">
        <v>433</v>
      </c>
      <c r="B5" s="56" t="s">
        <v>434</v>
      </c>
      <c r="C5" s="57" t="s">
        <v>435</v>
      </c>
      <c r="D5" s="57">
        <v>56</v>
      </c>
      <c r="E5" s="58">
        <v>30000</v>
      </c>
      <c r="F5" s="58">
        <f t="shared" ref="F5:F10" si="0">E5*D5</f>
        <v>1680000</v>
      </c>
    </row>
    <row r="6" spans="1:12" ht="25.5" x14ac:dyDescent="0.2">
      <c r="A6" s="53" t="s">
        <v>436</v>
      </c>
      <c r="B6" s="59" t="s">
        <v>437</v>
      </c>
      <c r="C6" s="57" t="s">
        <v>438</v>
      </c>
      <c r="D6" s="57">
        <v>56</v>
      </c>
      <c r="E6" s="58">
        <v>25000</v>
      </c>
      <c r="F6" s="58">
        <f t="shared" si="0"/>
        <v>1400000</v>
      </c>
      <c r="G6" s="60"/>
    </row>
    <row r="7" spans="1:12" x14ac:dyDescent="0.2">
      <c r="A7" s="53" t="s">
        <v>439</v>
      </c>
      <c r="B7" s="59" t="s">
        <v>440</v>
      </c>
      <c r="C7" s="57" t="s">
        <v>438</v>
      </c>
      <c r="D7" s="57">
        <v>6</v>
      </c>
      <c r="E7" s="58">
        <v>100000</v>
      </c>
      <c r="F7" s="58">
        <f t="shared" si="0"/>
        <v>600000</v>
      </c>
    </row>
    <row r="8" spans="1:12" x14ac:dyDescent="0.2">
      <c r="A8" s="53" t="s">
        <v>441</v>
      </c>
      <c r="B8" s="59" t="s">
        <v>442</v>
      </c>
      <c r="C8" s="57" t="s">
        <v>438</v>
      </c>
      <c r="D8" s="57">
        <v>6</v>
      </c>
      <c r="E8" s="58">
        <v>400000</v>
      </c>
      <c r="F8" s="58">
        <f t="shared" si="0"/>
        <v>2400000</v>
      </c>
    </row>
    <row r="9" spans="1:12" x14ac:dyDescent="0.2">
      <c r="A9" s="53" t="s">
        <v>443</v>
      </c>
      <c r="B9" s="59" t="s">
        <v>444</v>
      </c>
      <c r="C9" s="57" t="s">
        <v>438</v>
      </c>
      <c r="D9" s="57">
        <v>6</v>
      </c>
      <c r="E9" s="58">
        <v>500000</v>
      </c>
      <c r="F9" s="58">
        <f t="shared" si="0"/>
        <v>3000000</v>
      </c>
    </row>
    <row r="10" spans="1:12" x14ac:dyDescent="0.2">
      <c r="A10" s="53" t="s">
        <v>445</v>
      </c>
      <c r="B10" s="59" t="s">
        <v>446</v>
      </c>
      <c r="C10" s="57" t="s">
        <v>438</v>
      </c>
      <c r="D10" s="57">
        <v>48</v>
      </c>
      <c r="E10" s="58">
        <v>4000</v>
      </c>
      <c r="F10" s="58">
        <f t="shared" si="0"/>
        <v>192000</v>
      </c>
    </row>
    <row r="11" spans="1:12" x14ac:dyDescent="0.2">
      <c r="A11" s="53"/>
      <c r="B11" s="61" t="s">
        <v>447</v>
      </c>
      <c r="C11" s="51"/>
      <c r="D11" s="57"/>
      <c r="E11" s="58"/>
      <c r="F11" s="55">
        <f>SUM(F5:F10)</f>
        <v>9272000</v>
      </c>
    </row>
    <row r="12" spans="1:12" x14ac:dyDescent="0.2">
      <c r="A12" s="53"/>
      <c r="B12" s="62" t="s">
        <v>448</v>
      </c>
      <c r="C12" s="63"/>
      <c r="D12" s="63"/>
      <c r="E12" s="64"/>
      <c r="F12" s="65">
        <f>F11*1.16</f>
        <v>10755520</v>
      </c>
    </row>
    <row r="14" spans="1:12" x14ac:dyDescent="0.2">
      <c r="A14" s="66"/>
      <c r="B14" s="67"/>
      <c r="C14" s="67"/>
      <c r="D14" s="67"/>
      <c r="E14" s="67"/>
      <c r="F14" s="67"/>
    </row>
    <row r="15" spans="1:12" x14ac:dyDescent="0.2">
      <c r="A15" s="68"/>
      <c r="B15" s="69"/>
      <c r="F15" s="70"/>
    </row>
    <row r="16" spans="1:12" x14ac:dyDescent="0.2">
      <c r="A16" s="71"/>
    </row>
    <row r="17" spans="1:8" x14ac:dyDescent="0.2">
      <c r="B17" s="69"/>
      <c r="F17" s="70"/>
    </row>
    <row r="18" spans="1:8" x14ac:dyDescent="0.2">
      <c r="H18" s="72"/>
    </row>
    <row r="19" spans="1:8" s="67" customFormat="1" x14ac:dyDescent="0.2">
      <c r="A19" s="60"/>
      <c r="B19" s="48"/>
      <c r="C19" s="48"/>
      <c r="D19" s="48"/>
      <c r="E19" s="48"/>
      <c r="F19" s="48"/>
      <c r="H19" s="73"/>
    </row>
    <row r="22" spans="1:8" x14ac:dyDescent="0.2">
      <c r="F22" s="74"/>
    </row>
    <row r="23" spans="1:8" x14ac:dyDescent="0.2">
      <c r="E23" s="75"/>
      <c r="F23" s="74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60" customWidth="1"/>
    <col min="2" max="2" width="52.85546875" style="48" customWidth="1"/>
    <col min="3" max="3" width="10.28515625" style="48" customWidth="1"/>
    <col min="4" max="4" width="9.140625" style="48"/>
    <col min="5" max="5" width="12.42578125" style="48" customWidth="1"/>
    <col min="6" max="6" width="15.140625" style="48" customWidth="1"/>
    <col min="7" max="7" width="14.42578125" style="48" customWidth="1"/>
    <col min="8" max="8" width="10.85546875" style="48" bestFit="1" customWidth="1"/>
    <col min="9" max="16384" width="9.140625" style="48"/>
  </cols>
  <sheetData>
    <row r="1" spans="1:12" ht="28.7" customHeight="1" x14ac:dyDescent="0.25">
      <c r="A1" s="46" t="s">
        <v>449</v>
      </c>
      <c r="B1" s="46"/>
      <c r="C1" s="46"/>
      <c r="D1" s="46"/>
      <c r="E1" s="46"/>
      <c r="F1" s="47"/>
      <c r="G1" s="47"/>
      <c r="H1" s="47"/>
      <c r="I1" s="47"/>
      <c r="J1" s="47"/>
      <c r="K1" s="47"/>
      <c r="L1" s="47"/>
    </row>
    <row r="3" spans="1:12" ht="38.25" x14ac:dyDescent="0.2">
      <c r="A3" s="49" t="s">
        <v>66</v>
      </c>
      <c r="B3" s="50" t="s">
        <v>427</v>
      </c>
      <c r="C3" s="51" t="s">
        <v>428</v>
      </c>
      <c r="D3" s="51" t="s">
        <v>429</v>
      </c>
      <c r="E3" s="52" t="s">
        <v>430</v>
      </c>
      <c r="F3" s="52" t="s">
        <v>431</v>
      </c>
    </row>
    <row r="4" spans="1:12" x14ac:dyDescent="0.2">
      <c r="A4" s="53"/>
      <c r="B4" s="50" t="s">
        <v>432</v>
      </c>
      <c r="C4" s="51"/>
      <c r="D4" s="51"/>
      <c r="E4" s="54"/>
      <c r="F4" s="55">
        <f>F14</f>
        <v>5530000</v>
      </c>
    </row>
    <row r="5" spans="1:12" x14ac:dyDescent="0.2">
      <c r="A5" s="53" t="s">
        <v>433</v>
      </c>
      <c r="B5" s="59" t="s">
        <v>450</v>
      </c>
      <c r="C5" s="57" t="s">
        <v>451</v>
      </c>
      <c r="D5" s="57">
        <v>1</v>
      </c>
      <c r="E5" s="58">
        <v>500000</v>
      </c>
      <c r="F5" s="58">
        <f>E5*D5</f>
        <v>500000</v>
      </c>
    </row>
    <row r="6" spans="1:12" ht="38.25" x14ac:dyDescent="0.2">
      <c r="A6" s="53" t="s">
        <v>436</v>
      </c>
      <c r="B6" s="59" t="s">
        <v>452</v>
      </c>
      <c r="C6" s="57" t="s">
        <v>451</v>
      </c>
      <c r="D6" s="57">
        <v>1</v>
      </c>
      <c r="E6" s="58">
        <v>1500000</v>
      </c>
      <c r="F6" s="58">
        <f>E6*D6</f>
        <v>1500000</v>
      </c>
      <c r="G6" s="60"/>
    </row>
    <row r="7" spans="1:12" x14ac:dyDescent="0.2">
      <c r="A7" s="53" t="s">
        <v>439</v>
      </c>
      <c r="B7" s="59" t="s">
        <v>453</v>
      </c>
      <c r="C7" s="57" t="s">
        <v>451</v>
      </c>
      <c r="D7" s="57">
        <v>1</v>
      </c>
      <c r="E7" s="58">
        <v>100000</v>
      </c>
      <c r="F7" s="58">
        <f>E7*D7</f>
        <v>100000</v>
      </c>
    </row>
    <row r="8" spans="1:12" ht="25.5" x14ac:dyDescent="0.2">
      <c r="A8" s="53" t="s">
        <v>441</v>
      </c>
      <c r="B8" s="59" t="s">
        <v>454</v>
      </c>
      <c r="C8" s="57" t="s">
        <v>455</v>
      </c>
      <c r="D8" s="57">
        <v>1</v>
      </c>
      <c r="E8" s="58">
        <v>500000</v>
      </c>
      <c r="F8" s="58">
        <f>D8*E8</f>
        <v>500000</v>
      </c>
    </row>
    <row r="9" spans="1:12" ht="25.5" x14ac:dyDescent="0.2">
      <c r="A9" s="53" t="s">
        <v>443</v>
      </c>
      <c r="B9" s="59" t="s">
        <v>456</v>
      </c>
      <c r="C9" s="57" t="s">
        <v>457</v>
      </c>
      <c r="D9" s="76">
        <v>100</v>
      </c>
      <c r="E9" s="58">
        <v>3000</v>
      </c>
      <c r="F9" s="58">
        <f>D9*E9</f>
        <v>300000</v>
      </c>
    </row>
    <row r="10" spans="1:12" x14ac:dyDescent="0.2">
      <c r="A10" s="53" t="s">
        <v>445</v>
      </c>
      <c r="B10" s="59" t="s">
        <v>458</v>
      </c>
      <c r="C10" s="57" t="s">
        <v>457</v>
      </c>
      <c r="D10" s="76">
        <v>100</v>
      </c>
      <c r="E10" s="58">
        <v>7000</v>
      </c>
      <c r="F10" s="58">
        <f>D10*E10</f>
        <v>700000</v>
      </c>
    </row>
    <row r="11" spans="1:12" x14ac:dyDescent="0.2">
      <c r="A11" s="53"/>
      <c r="B11" s="59" t="s">
        <v>459</v>
      </c>
      <c r="C11" s="57" t="s">
        <v>457</v>
      </c>
      <c r="D11" s="76">
        <v>1</v>
      </c>
      <c r="E11" s="58">
        <v>130000</v>
      </c>
      <c r="F11" s="58">
        <f>D11*E11</f>
        <v>130000</v>
      </c>
    </row>
    <row r="12" spans="1:12" x14ac:dyDescent="0.2">
      <c r="A12" s="53" t="s">
        <v>445</v>
      </c>
      <c r="B12" s="59" t="s">
        <v>442</v>
      </c>
      <c r="C12" s="57" t="s">
        <v>455</v>
      </c>
      <c r="D12" s="57">
        <v>4</v>
      </c>
      <c r="E12" s="58">
        <v>400000</v>
      </c>
      <c r="F12" s="58">
        <f>D12*E12</f>
        <v>1600000</v>
      </c>
    </row>
    <row r="13" spans="1:12" x14ac:dyDescent="0.2">
      <c r="A13" s="53" t="s">
        <v>460</v>
      </c>
      <c r="B13" s="77" t="s">
        <v>461</v>
      </c>
      <c r="C13" s="78" t="s">
        <v>435</v>
      </c>
      <c r="D13" s="78">
        <v>1</v>
      </c>
      <c r="E13" s="79">
        <v>200000</v>
      </c>
      <c r="F13" s="80">
        <f>E13*D13</f>
        <v>200000</v>
      </c>
    </row>
    <row r="14" spans="1:12" x14ac:dyDescent="0.2">
      <c r="A14" s="53"/>
      <c r="B14" s="61" t="s">
        <v>447</v>
      </c>
      <c r="C14" s="51"/>
      <c r="D14" s="57"/>
      <c r="E14" s="58"/>
      <c r="F14" s="55">
        <f>SUM(F5:F13)</f>
        <v>5530000</v>
      </c>
    </row>
    <row r="15" spans="1:12" x14ac:dyDescent="0.2">
      <c r="A15" s="53"/>
      <c r="B15" s="62" t="s">
        <v>448</v>
      </c>
      <c r="C15" s="63"/>
      <c r="D15" s="63"/>
      <c r="E15" s="64"/>
      <c r="F15" s="65">
        <f>F14*1.16</f>
        <v>6414800</v>
      </c>
    </row>
    <row r="16" spans="1:12" x14ac:dyDescent="0.2">
      <c r="H16" s="72"/>
    </row>
    <row r="17" spans="1:8" s="67" customFormat="1" x14ac:dyDescent="0.2">
      <c r="A17" s="60"/>
      <c r="B17" s="48"/>
      <c r="C17" s="48"/>
      <c r="D17" s="48"/>
      <c r="E17" s="48"/>
      <c r="F17" s="48"/>
      <c r="H17" s="73"/>
    </row>
    <row r="20" spans="1:8" x14ac:dyDescent="0.2">
      <c r="F20" s="74"/>
    </row>
    <row r="21" spans="1:8" x14ac:dyDescent="0.2">
      <c r="E21" s="75"/>
      <c r="F21" s="74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60" customWidth="1"/>
    <col min="2" max="2" width="52.85546875" style="48" customWidth="1"/>
    <col min="3" max="3" width="10.28515625" style="48" customWidth="1"/>
    <col min="4" max="4" width="9.140625" style="48"/>
    <col min="5" max="5" width="12.42578125" style="48" customWidth="1"/>
    <col min="6" max="6" width="15.140625" style="48" customWidth="1"/>
    <col min="7" max="7" width="14.42578125" style="48" customWidth="1"/>
    <col min="8" max="8" width="10.85546875" style="48" bestFit="1" customWidth="1"/>
    <col min="9" max="16384" width="9.140625" style="48"/>
  </cols>
  <sheetData>
    <row r="1" spans="1:12" ht="28.7" customHeight="1" x14ac:dyDescent="0.25">
      <c r="A1" s="46" t="s">
        <v>462</v>
      </c>
      <c r="B1" s="46"/>
      <c r="C1" s="46"/>
      <c r="D1" s="46"/>
      <c r="E1" s="46"/>
      <c r="F1" s="47"/>
      <c r="G1" s="47"/>
      <c r="H1" s="47"/>
      <c r="I1" s="47"/>
      <c r="J1" s="47"/>
      <c r="K1" s="47"/>
      <c r="L1" s="47"/>
    </row>
    <row r="3" spans="1:12" ht="38.25" x14ac:dyDescent="0.2">
      <c r="A3" s="49" t="s">
        <v>66</v>
      </c>
      <c r="B3" s="50" t="s">
        <v>427</v>
      </c>
      <c r="C3" s="51" t="s">
        <v>428</v>
      </c>
      <c r="D3" s="51" t="s">
        <v>429</v>
      </c>
      <c r="E3" s="52" t="s">
        <v>430</v>
      </c>
      <c r="F3" s="52" t="s">
        <v>431</v>
      </c>
    </row>
    <row r="4" spans="1:12" x14ac:dyDescent="0.2">
      <c r="A4" s="53"/>
      <c r="B4" s="50" t="s">
        <v>432</v>
      </c>
      <c r="C4" s="51"/>
      <c r="D4" s="51"/>
      <c r="E4" s="54"/>
      <c r="F4" s="55">
        <f>F8</f>
        <v>14900000</v>
      </c>
    </row>
    <row r="5" spans="1:12" x14ac:dyDescent="0.2">
      <c r="A5" s="53" t="s">
        <v>433</v>
      </c>
      <c r="B5" s="59" t="s">
        <v>463</v>
      </c>
      <c r="C5" s="57" t="s">
        <v>464</v>
      </c>
      <c r="D5" s="57">
        <v>4</v>
      </c>
      <c r="E5" s="58">
        <v>1100000</v>
      </c>
      <c r="F5" s="58">
        <f>E5*D5</f>
        <v>4400000</v>
      </c>
    </row>
    <row r="6" spans="1:12" x14ac:dyDescent="0.2">
      <c r="A6" s="53" t="s">
        <v>436</v>
      </c>
      <c r="B6" s="59" t="s">
        <v>465</v>
      </c>
      <c r="C6" s="57" t="s">
        <v>466</v>
      </c>
      <c r="D6" s="57">
        <v>1</v>
      </c>
      <c r="E6" s="58">
        <v>6500000</v>
      </c>
      <c r="F6" s="58">
        <f>E6*D6</f>
        <v>6500000</v>
      </c>
      <c r="G6" s="60"/>
    </row>
    <row r="7" spans="1:12" x14ac:dyDescent="0.2">
      <c r="A7" s="53" t="s">
        <v>439</v>
      </c>
      <c r="B7" s="59" t="s">
        <v>467</v>
      </c>
      <c r="C7" s="57" t="s">
        <v>466</v>
      </c>
      <c r="D7" s="57">
        <v>1</v>
      </c>
      <c r="E7" s="58">
        <v>4000000</v>
      </c>
      <c r="F7" s="58">
        <f>E7*D7</f>
        <v>4000000</v>
      </c>
    </row>
    <row r="8" spans="1:12" x14ac:dyDescent="0.2">
      <c r="A8" s="53"/>
      <c r="B8" s="61" t="s">
        <v>447</v>
      </c>
      <c r="C8" s="51"/>
      <c r="D8" s="57"/>
      <c r="E8" s="58"/>
      <c r="F8" s="55">
        <f>SUM(F5:F7)</f>
        <v>14900000</v>
      </c>
    </row>
    <row r="9" spans="1:12" x14ac:dyDescent="0.2">
      <c r="A9" s="53"/>
      <c r="B9" s="62" t="s">
        <v>448</v>
      </c>
      <c r="C9" s="63"/>
      <c r="D9" s="63"/>
      <c r="E9" s="64"/>
      <c r="F9" s="65">
        <f>F8*1.16</f>
        <v>17284000</v>
      </c>
    </row>
    <row r="14" spans="1:12" x14ac:dyDescent="0.2">
      <c r="F14" s="74"/>
    </row>
    <row r="15" spans="1:12" x14ac:dyDescent="0.2">
      <c r="E15" s="75"/>
      <c r="F15" s="74"/>
    </row>
    <row r="16" spans="1:12" x14ac:dyDescent="0.2">
      <c r="H16" s="72"/>
    </row>
    <row r="17" spans="1:8" s="67" customFormat="1" x14ac:dyDescent="0.2">
      <c r="A17" s="60"/>
      <c r="B17" s="48"/>
      <c r="C17" s="48"/>
      <c r="D17" s="48"/>
      <c r="E17" s="48"/>
      <c r="F17" s="48"/>
      <c r="H17" s="73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60" customWidth="1"/>
    <col min="2" max="2" width="52.85546875" style="48" customWidth="1"/>
    <col min="3" max="3" width="10.28515625" style="48" customWidth="1"/>
    <col min="4" max="4" width="9.140625" style="48"/>
    <col min="5" max="5" width="12.42578125" style="48" customWidth="1"/>
    <col min="6" max="6" width="15.140625" style="48" customWidth="1"/>
    <col min="7" max="7" width="17.28515625" style="48" customWidth="1"/>
    <col min="8" max="8" width="10.85546875" style="48" bestFit="1" customWidth="1"/>
    <col min="9" max="16384" width="9.140625" style="48"/>
  </cols>
  <sheetData>
    <row r="1" spans="1:12" ht="28.7" customHeight="1" x14ac:dyDescent="0.25">
      <c r="A1" s="46" t="s">
        <v>468</v>
      </c>
      <c r="B1" s="46"/>
      <c r="C1" s="46"/>
      <c r="D1" s="46"/>
      <c r="E1" s="46"/>
      <c r="F1" s="47"/>
      <c r="G1" s="47"/>
      <c r="H1" s="47"/>
      <c r="I1" s="47"/>
      <c r="J1" s="47"/>
      <c r="K1" s="47"/>
      <c r="L1" s="47"/>
    </row>
    <row r="3" spans="1:12" ht="38.25" x14ac:dyDescent="0.2">
      <c r="A3" s="49" t="s">
        <v>66</v>
      </c>
      <c r="B3" s="50" t="s">
        <v>427</v>
      </c>
      <c r="C3" s="51" t="s">
        <v>428</v>
      </c>
      <c r="D3" s="51" t="s">
        <v>429</v>
      </c>
      <c r="E3" s="52" t="s">
        <v>430</v>
      </c>
      <c r="F3" s="52" t="s">
        <v>431</v>
      </c>
    </row>
    <row r="4" spans="1:12" x14ac:dyDescent="0.2">
      <c r="A4" s="53"/>
      <c r="B4" s="50" t="s">
        <v>432</v>
      </c>
      <c r="C4" s="51"/>
      <c r="D4" s="51"/>
      <c r="E4" s="54"/>
      <c r="F4" s="55">
        <f>F12</f>
        <v>20200000</v>
      </c>
    </row>
    <row r="5" spans="1:12" ht="25.5" x14ac:dyDescent="0.2">
      <c r="A5" s="53" t="s">
        <v>433</v>
      </c>
      <c r="B5" s="59" t="s">
        <v>469</v>
      </c>
      <c r="C5" s="57" t="s">
        <v>455</v>
      </c>
      <c r="D5" s="57">
        <v>6</v>
      </c>
      <c r="E5" s="58">
        <v>400000</v>
      </c>
      <c r="F5" s="58">
        <f>E5*D5</f>
        <v>2400000</v>
      </c>
    </row>
    <row r="6" spans="1:12" ht="25.5" x14ac:dyDescent="0.2">
      <c r="A6" s="53" t="s">
        <v>436</v>
      </c>
      <c r="B6" s="59" t="s">
        <v>470</v>
      </c>
      <c r="C6" s="57" t="s">
        <v>464</v>
      </c>
      <c r="D6" s="57">
        <v>1</v>
      </c>
      <c r="E6" s="58">
        <v>3500000</v>
      </c>
      <c r="F6" s="58">
        <f>E6*D6</f>
        <v>3500000</v>
      </c>
      <c r="G6" s="60"/>
    </row>
    <row r="7" spans="1:12" ht="25.5" x14ac:dyDescent="0.2">
      <c r="A7" s="53" t="s">
        <v>439</v>
      </c>
      <c r="B7" s="59" t="s">
        <v>471</v>
      </c>
      <c r="C7" s="57" t="s">
        <v>455</v>
      </c>
      <c r="D7" s="57">
        <v>1</v>
      </c>
      <c r="E7" s="58">
        <v>1500000</v>
      </c>
      <c r="F7" s="58">
        <f>E7*D7</f>
        <v>1500000</v>
      </c>
    </row>
    <row r="8" spans="1:12" ht="25.5" x14ac:dyDescent="0.2">
      <c r="A8" s="53" t="s">
        <v>441</v>
      </c>
      <c r="B8" s="59" t="s">
        <v>472</v>
      </c>
      <c r="C8" s="57" t="s">
        <v>455</v>
      </c>
      <c r="D8" s="57">
        <v>9</v>
      </c>
      <c r="E8" s="58">
        <v>800000</v>
      </c>
      <c r="F8" s="58">
        <f>D8*E8</f>
        <v>7200000</v>
      </c>
    </row>
    <row r="9" spans="1:12" ht="25.5" x14ac:dyDescent="0.2">
      <c r="A9" s="53" t="s">
        <v>443</v>
      </c>
      <c r="B9" s="59" t="s">
        <v>473</v>
      </c>
      <c r="C9" s="57" t="s">
        <v>455</v>
      </c>
      <c r="D9" s="76">
        <v>32</v>
      </c>
      <c r="E9" s="58">
        <v>100000</v>
      </c>
      <c r="F9" s="58">
        <f>D9*E9</f>
        <v>3200000</v>
      </c>
    </row>
    <row r="10" spans="1:12" ht="25.5" x14ac:dyDescent="0.2">
      <c r="A10" s="53" t="s">
        <v>445</v>
      </c>
      <c r="B10" s="59" t="s">
        <v>474</v>
      </c>
      <c r="C10" s="57" t="s">
        <v>455</v>
      </c>
      <c r="D10" s="57">
        <v>3</v>
      </c>
      <c r="E10" s="58">
        <v>400000</v>
      </c>
      <c r="F10" s="58">
        <f>E10*D10</f>
        <v>1200000</v>
      </c>
    </row>
    <row r="11" spans="1:12" x14ac:dyDescent="0.2">
      <c r="A11" s="53" t="s">
        <v>460</v>
      </c>
      <c r="B11" s="59" t="s">
        <v>475</v>
      </c>
      <c r="C11" s="57" t="s">
        <v>457</v>
      </c>
      <c r="D11" s="57">
        <v>3</v>
      </c>
      <c r="E11" s="58">
        <v>400000</v>
      </c>
      <c r="F11" s="58">
        <f>E11*D11</f>
        <v>1200000</v>
      </c>
      <c r="G11" s="75"/>
    </row>
    <row r="12" spans="1:12" x14ac:dyDescent="0.2">
      <c r="A12" s="53"/>
      <c r="B12" s="61" t="s">
        <v>447</v>
      </c>
      <c r="C12" s="51"/>
      <c r="D12" s="57"/>
      <c r="E12" s="58"/>
      <c r="F12" s="55">
        <f>SUM(F5:F11)</f>
        <v>20200000</v>
      </c>
    </row>
    <row r="13" spans="1:12" x14ac:dyDescent="0.2">
      <c r="A13" s="53"/>
      <c r="B13" s="62" t="s">
        <v>448</v>
      </c>
      <c r="C13" s="63"/>
      <c r="D13" s="63"/>
      <c r="E13" s="64"/>
      <c r="F13" s="65">
        <f>F12*1.16</f>
        <v>23432000</v>
      </c>
    </row>
    <row r="17" spans="1:8" x14ac:dyDescent="0.2">
      <c r="H17" s="72"/>
    </row>
    <row r="18" spans="1:8" s="67" customFormat="1" x14ac:dyDescent="0.2">
      <c r="A18" s="60"/>
      <c r="B18" s="48"/>
      <c r="C18" s="48"/>
      <c r="D18" s="48"/>
      <c r="E18" s="48"/>
      <c r="F18" s="74"/>
      <c r="H18" s="73"/>
    </row>
    <row r="19" spans="1:8" x14ac:dyDescent="0.2">
      <c r="E19" s="75"/>
      <c r="F19" s="74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60" customWidth="1"/>
    <col min="2" max="2" width="52.85546875" style="48" customWidth="1"/>
    <col min="3" max="3" width="10.28515625" style="48" customWidth="1"/>
    <col min="4" max="4" width="9.140625" style="48"/>
    <col min="5" max="5" width="12.42578125" style="48" customWidth="1"/>
    <col min="6" max="6" width="15.140625" style="48" customWidth="1"/>
    <col min="7" max="7" width="14.42578125" style="48" customWidth="1"/>
    <col min="8" max="8" width="10.85546875" style="48" bestFit="1" customWidth="1"/>
    <col min="9" max="16384" width="9.140625" style="48"/>
  </cols>
  <sheetData>
    <row r="1" spans="1:12" ht="28.7" customHeight="1" x14ac:dyDescent="0.25">
      <c r="A1" s="46" t="s">
        <v>476</v>
      </c>
      <c r="B1" s="46"/>
      <c r="C1" s="46"/>
      <c r="D1" s="46"/>
      <c r="E1" s="46"/>
      <c r="F1" s="47"/>
      <c r="G1" s="47"/>
      <c r="H1" s="47"/>
      <c r="I1" s="47"/>
      <c r="J1" s="47"/>
      <c r="K1" s="47"/>
      <c r="L1" s="47"/>
    </row>
    <row r="3" spans="1:12" ht="38.25" x14ac:dyDescent="0.2">
      <c r="A3" s="49" t="s">
        <v>66</v>
      </c>
      <c r="B3" s="50" t="s">
        <v>427</v>
      </c>
      <c r="C3" s="51" t="s">
        <v>428</v>
      </c>
      <c r="D3" s="51" t="s">
        <v>429</v>
      </c>
      <c r="E3" s="52" t="s">
        <v>430</v>
      </c>
      <c r="F3" s="52" t="s">
        <v>431</v>
      </c>
    </row>
    <row r="4" spans="1:12" x14ac:dyDescent="0.2">
      <c r="A4" s="53"/>
      <c r="B4" s="50" t="s">
        <v>432</v>
      </c>
      <c r="C4" s="51"/>
      <c r="D4" s="51"/>
      <c r="E4" s="54"/>
      <c r="F4" s="55">
        <f>F7</f>
        <v>11300000</v>
      </c>
    </row>
    <row r="5" spans="1:12" x14ac:dyDescent="0.2">
      <c r="A5" s="53" t="s">
        <v>433</v>
      </c>
      <c r="B5" s="59" t="s">
        <v>477</v>
      </c>
      <c r="C5" s="57" t="s">
        <v>455</v>
      </c>
      <c r="D5" s="57">
        <v>1</v>
      </c>
      <c r="E5" s="58">
        <v>10000000</v>
      </c>
      <c r="F5" s="58">
        <f>E5*D5</f>
        <v>10000000</v>
      </c>
    </row>
    <row r="6" spans="1:12" ht="33" customHeight="1" x14ac:dyDescent="0.2">
      <c r="A6" s="53" t="s">
        <v>436</v>
      </c>
      <c r="B6" s="59" t="s">
        <v>478</v>
      </c>
      <c r="C6" s="57" t="s">
        <v>464</v>
      </c>
      <c r="D6" s="57">
        <v>1</v>
      </c>
      <c r="E6" s="58">
        <v>1300000</v>
      </c>
      <c r="F6" s="58">
        <f>E6*D6</f>
        <v>1300000</v>
      </c>
      <c r="G6" s="60"/>
    </row>
    <row r="7" spans="1:12" x14ac:dyDescent="0.2">
      <c r="A7" s="53"/>
      <c r="B7" s="61" t="s">
        <v>447</v>
      </c>
      <c r="C7" s="51"/>
      <c r="D7" s="57"/>
      <c r="E7" s="58"/>
      <c r="F7" s="55">
        <f>F6+F5</f>
        <v>11300000</v>
      </c>
    </row>
    <row r="8" spans="1:12" x14ac:dyDescent="0.2">
      <c r="A8" s="53"/>
      <c r="B8" s="62" t="s">
        <v>448</v>
      </c>
      <c r="C8" s="63"/>
      <c r="D8" s="63"/>
      <c r="E8" s="64"/>
      <c r="F8" s="65">
        <f>F7*1.16</f>
        <v>13108000</v>
      </c>
    </row>
    <row r="13" spans="1:12" x14ac:dyDescent="0.2">
      <c r="F13" s="74"/>
    </row>
    <row r="14" spans="1:12" x14ac:dyDescent="0.2">
      <c r="E14" s="75"/>
      <c r="F14" s="74"/>
    </row>
    <row r="16" spans="1:12" x14ac:dyDescent="0.2">
      <c r="H16" s="72"/>
    </row>
    <row r="17" spans="1:8" s="67" customFormat="1" x14ac:dyDescent="0.2">
      <c r="A17" s="60"/>
      <c r="B17" s="48"/>
      <c r="C17" s="48"/>
      <c r="D17" s="48"/>
      <c r="E17" s="48"/>
      <c r="F17" s="48"/>
      <c r="H17" s="73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60" customWidth="1"/>
    <col min="2" max="2" width="52.85546875" style="48" customWidth="1"/>
    <col min="3" max="3" width="10.28515625" style="48" customWidth="1"/>
    <col min="4" max="4" width="9.140625" style="48"/>
    <col min="5" max="5" width="12.42578125" style="48" customWidth="1"/>
    <col min="6" max="6" width="15.140625" style="48" customWidth="1"/>
    <col min="7" max="7" width="14.42578125" style="48" customWidth="1"/>
    <col min="8" max="8" width="10.85546875" style="48" bestFit="1" customWidth="1"/>
    <col min="9" max="16384" width="9.140625" style="48"/>
  </cols>
  <sheetData>
    <row r="1" spans="1:12" ht="28.7" customHeight="1" x14ac:dyDescent="0.25">
      <c r="A1" s="46" t="s">
        <v>479</v>
      </c>
      <c r="B1" s="46"/>
      <c r="C1" s="46"/>
      <c r="D1" s="46"/>
      <c r="E1" s="46"/>
      <c r="F1" s="47"/>
      <c r="G1" s="47"/>
      <c r="H1" s="47"/>
      <c r="I1" s="47"/>
      <c r="J1" s="47"/>
      <c r="K1" s="47"/>
      <c r="L1" s="47"/>
    </row>
    <row r="3" spans="1:12" ht="38.25" x14ac:dyDescent="0.2">
      <c r="A3" s="49" t="s">
        <v>66</v>
      </c>
      <c r="B3" s="50" t="s">
        <v>427</v>
      </c>
      <c r="C3" s="51" t="s">
        <v>428</v>
      </c>
      <c r="D3" s="51" t="s">
        <v>429</v>
      </c>
      <c r="E3" s="52" t="s">
        <v>430</v>
      </c>
      <c r="F3" s="52" t="s">
        <v>431</v>
      </c>
    </row>
    <row r="4" spans="1:12" x14ac:dyDescent="0.2">
      <c r="A4" s="53"/>
      <c r="B4" s="50" t="s">
        <v>432</v>
      </c>
      <c r="C4" s="51"/>
      <c r="D4" s="51"/>
      <c r="E4" s="54"/>
      <c r="F4" s="55">
        <f>F6</f>
        <v>14000000</v>
      </c>
    </row>
    <row r="5" spans="1:12" x14ac:dyDescent="0.2">
      <c r="A5" s="53" t="s">
        <v>433</v>
      </c>
      <c r="B5" s="59" t="s">
        <v>480</v>
      </c>
      <c r="C5" s="57" t="s">
        <v>455</v>
      </c>
      <c r="D5" s="57">
        <v>1</v>
      </c>
      <c r="E5" s="58">
        <v>14000000</v>
      </c>
      <c r="F5" s="58">
        <f>E5*D5</f>
        <v>14000000</v>
      </c>
    </row>
    <row r="6" spans="1:12" ht="33" customHeight="1" x14ac:dyDescent="0.2">
      <c r="A6" s="53"/>
      <c r="B6" s="61" t="s">
        <v>447</v>
      </c>
      <c r="C6" s="51"/>
      <c r="D6" s="57"/>
      <c r="E6" s="58"/>
      <c r="F6" s="55">
        <f>F5</f>
        <v>14000000</v>
      </c>
      <c r="G6" s="60"/>
    </row>
    <row r="7" spans="1:12" x14ac:dyDescent="0.2">
      <c r="A7" s="53"/>
      <c r="B7" s="62" t="s">
        <v>448</v>
      </c>
      <c r="C7" s="63"/>
      <c r="D7" s="63"/>
      <c r="E7" s="64"/>
      <c r="F7" s="65">
        <f>F6*1.16</f>
        <v>16239999.999999998</v>
      </c>
    </row>
    <row r="12" spans="1:12" x14ac:dyDescent="0.2">
      <c r="F12" s="74"/>
    </row>
    <row r="13" spans="1:12" x14ac:dyDescent="0.2">
      <c r="E13" s="75"/>
      <c r="F13" s="74"/>
    </row>
    <row r="16" spans="1:12" x14ac:dyDescent="0.2">
      <c r="H16" s="72"/>
    </row>
    <row r="17" spans="1:8" s="67" customFormat="1" x14ac:dyDescent="0.2">
      <c r="A17" s="60"/>
      <c r="B17" s="48"/>
      <c r="C17" s="48"/>
      <c r="D17" s="48"/>
      <c r="E17" s="48"/>
      <c r="F17" s="48"/>
      <c r="H17" s="73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370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312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368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369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359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42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2026-10-22T11:37:35Z</dcterms:modified>
  <dc:language>en-US</dc:language>
</cp:coreProperties>
</file>