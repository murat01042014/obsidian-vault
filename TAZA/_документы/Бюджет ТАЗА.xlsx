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Параметры!$B$24</definedName>
    <definedName name="Авиа_РК">Параметры!$B$17</definedName>
    <definedName name="Аренда_депозит">Параметры!$B$47</definedName>
    <definedName name="Аренда_мес">Параметры!$B$31</definedName>
    <definedName name="Аренда_мес_2026">Параметры!$B$48</definedName>
    <definedName name="Аренда_с_НДС">Параметры!$B$46</definedName>
    <definedName name="Депозит_мес">Параметры!$B$32</definedName>
    <definedName name="Дней_межд">Параметры!$B$27</definedName>
    <definedName name="Дней_РК">Параметры!$B$20</definedName>
    <definedName name="Кап_ООСМС">Параметры!$B$11</definedName>
    <definedName name="Кап_СО">Параметры!$B$9</definedName>
    <definedName name="Коммун_мес">Параметры!$B$43</definedName>
    <definedName name="Курс">Параметры!$B$15</definedName>
    <definedName name="Мес_2026_новые">Параметры!$B$51</definedName>
    <definedName name="МЗП">Параметры!$B$4</definedName>
    <definedName name="МРП">Параметры!$B$5</definedName>
    <definedName name="НДС">Параметры!$B$34</definedName>
    <definedName name="Ночей_межд">Параметры!$B$28</definedName>
    <definedName name="Ночей_РК">Параметры!$B$21</definedName>
    <definedName name="ОСНС">Параметры!$B$14</definedName>
    <definedName name="Отель_межд">Параметры!$B$25</definedName>
    <definedName name="Отель_РК">Параметры!$B$18</definedName>
    <definedName name="Парковка_мест">Параметры!$B$44</definedName>
    <definedName name="Парковка_цена">Параметры!$B$45</definedName>
    <definedName name="Площадь_офиса">Параметры!$B$41</definedName>
    <definedName name="Поездка_межд">Параметры!$B$30</definedName>
    <definedName name="Поездка_местн">Параметры!$B$23</definedName>
    <definedName name="Поездка_РК">Параметры!$B$22</definedName>
    <definedName name="Резерв">Параметры!$B$33</definedName>
    <definedName name="Сборка_мебели_проц">Параметры!$B$50</definedName>
    <definedName name="Ставка_аренды_м2">Параметры!$B$42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Параметры!$B$29</definedName>
    <definedName name="Сут_межд">Параметры!$B$26</definedName>
    <definedName name="Сут_РК">Параметры!$B$16</definedName>
    <definedName name="Трансп_РК">Параметры!$B$19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1" l="1"/>
  <c r="E36" i="5" l="1"/>
  <c r="I36" i="5" s="1"/>
  <c r="E30" i="5" l="1"/>
  <c r="E29" i="5"/>
  <c r="N29" i="3"/>
  <c r="N28" i="3"/>
  <c r="N24" i="3"/>
  <c r="N21" i="3"/>
  <c r="N20" i="3"/>
  <c r="N19" i="3"/>
  <c r="N16" i="3"/>
  <c r="E28" i="5" l="1"/>
  <c r="I28" i="5" s="1"/>
  <c r="B43" i="2"/>
  <c r="B41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21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N5" i="3"/>
  <c r="F6" i="4"/>
  <c r="N6" i="3"/>
  <c r="N7" i="3"/>
  <c r="B48" i="2"/>
  <c r="B51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N10" i="3" s="1"/>
  <c r="L29" i="3"/>
  <c r="L25" i="3"/>
  <c r="L21" i="3"/>
  <c r="L16" i="3"/>
  <c r="L12" i="3"/>
  <c r="N12" i="3" s="1"/>
  <c r="L11" i="3"/>
  <c r="L28" i="3"/>
  <c r="L24" i="3"/>
  <c r="L19" i="3"/>
  <c r="L27" i="3"/>
  <c r="L23" i="3"/>
  <c r="N23" i="3" s="1"/>
  <c r="L18" i="3"/>
  <c r="N18" i="3" s="1"/>
  <c r="L14" i="3"/>
  <c r="N14" i="3" s="1"/>
  <c r="L9" i="3"/>
  <c r="L26" i="3"/>
  <c r="N26" i="3" s="1"/>
  <c r="L22" i="3"/>
  <c r="N22" i="3" s="1"/>
  <c r="L17" i="3"/>
  <c r="L13" i="3"/>
  <c r="N13" i="3" s="1"/>
  <c r="E23" i="5"/>
  <c r="I23" i="5" s="1"/>
  <c r="E22" i="5"/>
  <c r="I22" i="5" s="1"/>
  <c r="E21" i="5"/>
  <c r="I21" i="5" s="1"/>
  <c r="E20" i="5"/>
  <c r="I20" i="5" s="1"/>
  <c r="F8" i="4" l="1"/>
  <c r="N9" i="3"/>
  <c r="F7" i="4"/>
  <c r="N8" i="3"/>
  <c r="F11" i="4"/>
  <c r="N17" i="3"/>
  <c r="N27" i="3"/>
  <c r="F10" i="4"/>
  <c r="N15" i="3"/>
  <c r="F9" i="4"/>
  <c r="N11" i="3"/>
  <c r="N25" i="3"/>
  <c r="J11" i="9"/>
  <c r="B7" i="1" s="1"/>
  <c r="M15" i="3"/>
  <c r="O15" i="3" s="1"/>
  <c r="M10" i="3"/>
  <c r="O10" i="3" s="1"/>
  <c r="M20" i="3"/>
  <c r="O20" i="3" s="1"/>
  <c r="E14" i="5"/>
  <c r="I13" i="5"/>
  <c r="B31" i="2" l="1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I19" i="5"/>
  <c r="I18" i="5"/>
  <c r="I17" i="5"/>
  <c r="B47" i="2"/>
  <c r="F20" i="7" l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6" i="2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I62" i="5"/>
  <c r="I61" i="5"/>
  <c r="I60" i="5"/>
  <c r="I59" i="5"/>
  <c r="I58" i="5"/>
  <c r="I57" i="5"/>
  <c r="I56" i="5"/>
  <c r="I54" i="5"/>
  <c r="I53" i="5"/>
  <c r="I52" i="5"/>
  <c r="I51" i="5"/>
  <c r="I50" i="5"/>
  <c r="I49" i="5"/>
  <c r="I47" i="5"/>
  <c r="I46" i="5"/>
  <c r="I45" i="5"/>
  <c r="I44" i="5"/>
  <c r="I43" i="5"/>
  <c r="I42" i="5"/>
  <c r="E41" i="5"/>
  <c r="I41" i="5" s="1"/>
  <c r="B13" i="1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0" i="2"/>
  <c r="B23" i="2"/>
  <c r="B22" i="2"/>
  <c r="B16" i="1" l="1"/>
  <c r="B14" i="1"/>
  <c r="B15" i="1"/>
  <c r="G9" i="4"/>
  <c r="G8" i="4"/>
  <c r="G6" i="4"/>
  <c r="G5" i="4"/>
  <c r="G10" i="4"/>
  <c r="G11" i="4"/>
  <c r="G7" i="4"/>
  <c r="F21" i="7"/>
  <c r="I40" i="5"/>
  <c r="E48" i="5"/>
  <c r="I48" i="5" s="1"/>
  <c r="G33" i="6"/>
  <c r="G17" i="6"/>
  <c r="G26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2" i="1" l="1"/>
  <c r="B11" i="1"/>
  <c r="M7" i="3"/>
  <c r="O7" i="3" s="1"/>
  <c r="M6" i="3"/>
  <c r="O6" i="3" s="1"/>
  <c r="N30" i="3"/>
  <c r="B8" i="1" s="1"/>
  <c r="G35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7" i="1" s="1"/>
  <c r="M30" i="3"/>
  <c r="B18" i="1" l="1"/>
  <c r="B19" i="1"/>
  <c r="B20" i="1" s="1"/>
  <c r="B22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6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3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<sst xmlns="http://schemas.openxmlformats.org/spreadsheetml/2006/main" count="772" uniqueCount="449">
  <si>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</si>
  <si>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</si>
  <si>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</si>
  <si>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</si>
  <si>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</si>
  <si>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</si>
  <si>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</si>
  <si>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</si>
  <si>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</si>
  <si>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</si>
  <si>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</si>
  <si>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</si>
  <si>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</si>
  <si>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</si>
  <si>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</si>
  <si>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</si>
  <si>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</si>
  <si>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</si>
  <si>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</si>
  <si>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</si>
  <si>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</si>
  <si>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</si>
  <si>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</si>
  <si>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</si>
  <si>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</si>
  <si>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</si>
  <si>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</si>
  <si>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</si>
  <si>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</si>
  <si>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</si>
  <si>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</si>
  <si>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</si>
  <si>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</si>
  <si>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</si>
  <si>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</si>
  <si>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</si>
  <si>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</si>
  <si>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</si>
  <si>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</si>
  <si>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</si>
  <si>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</si>
  <si>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</si>
  <si>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</si>
  <si>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</si>
  <si>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</si>
  <si>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</si>
  <si>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</si>
  <si>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</si>
  <si>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</si>
  <si>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</si>
  <si>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</si>
  <si>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</si>
  <si>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</si>
  <si>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</si>
  <si>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</si>
  <si>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</si>
  <si>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</si>
  <si>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</si>
  <si>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</si>
  <si>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</si>
  <si>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</si>
  <si>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</si>
  <si>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</si>
  <si>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</si>
  <si>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</si>
  <si>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</si>
  <si>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</si>
  <si>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</si>
  <si>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</si>
  <si>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</si>
  <si>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</si>
  <si>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</si>
  <si>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</si>
  <si>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</si>
  <si>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</si>
  <si>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</si>
  <si>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</si>
  <si>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</si>
  <si>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</si>
  <si>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</si>
  <si>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</si>
  <si>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</si>
  <si>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</si>
  <si>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</si>
  <si>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</si>
  <si>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</si>
  <si>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</si>
  <si>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</si>
  <si>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</si>
  <si>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</si>
  <si>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</si>
  <si>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</si>
  <si>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</si>
  <si>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</si>
  <si>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</si>
  <si>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</si>
  <si>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</si>
  <si>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</si>
  <si>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</si>
  <si>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</si>
  <si>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</si>
  <si>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</si>
  <si>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</si>
  <si>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</si>
  <si>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</si>
  <si>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</si>
  <si>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</si>
  <si>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</si>
  <si>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</si>
  <si>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</si>
  <si>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</si>
  <si>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</si>
  <si>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</si>
  <si>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</si>
  <si>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</si>
  <si>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</si>
  <si>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</si>
  <si>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</si>
  <si>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</si>
  <si>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</si>
  <si>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</si>
  <si>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</si>
  <si>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</si>
  <si>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</si>
  <si>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</si>
  <si>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</si>
  <si>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</si>
  <si>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</si>
  <si>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</si>
  <si>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</si>
  <si>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</si>
  <si>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</si>
  <si>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</si>
  <si>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</si>
  <si>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</si>
  <si>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</si>
  <si>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</si>
  <si>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</si>
  <si>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</si>
  <si>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</si>
  <si>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</si>
  <si>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</si>
  <si>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</si>
  <si>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</si>
  <si>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</si>
  <si>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</si>
  <si>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</si>
  <si>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</si>
  <si>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</si>
  <si>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</si>
  <si>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</si>
  <si>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</si>
  <si>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</si>
  <si>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</si>
  <si>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</si>
  <si>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</si>
  <si>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</si>
  <si>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</si>
  <si>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</si>
  <si>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</si>
  <si>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</si>
  <si>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</si>
  <si>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</si>
  <si>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</si>
  <si>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</si>
  <si>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</si>
  <si>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</si>
  <si>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</si>
  <si>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</si>
  <si>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</si>
  <si>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</si>
  <si>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</si>
  <si>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</si>
  <si>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</si>
  <si>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</si>
  <si>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</si>
  <si>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</si>
  <si>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</si>
  <si>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</si>
  <si>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</si>
  <si>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</si>
  <si>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</si>
  <si>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</si>
  <si>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</si>
  <si>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</si>
  <si>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</si>
  <si>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</si>
  <si>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</si>
  <si>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</si>
  <si>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</si>
  <si>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</si>
  <si>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</si>
  <si>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</si>
  <si>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</si>
  <si>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</si>
  <si>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</si>
  <si>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</si>
  <si>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</si>
  <si>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</si>
  <si>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</si>
  <si>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</si>
  <si>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</si>
  <si>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</si>
  <si>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</si>
  <si>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</si>
  <si>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</si>
  <si>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</si>
  <si>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</si>
  <si>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</si>
  <si>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</si>
  <si>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</si>
  <si>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</si>
  <si>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</si>
  <si>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</si>
  <si>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</si>
  <si>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</si>
  <si>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</si>
  <si>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</si>
  <si>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</si>
  <si>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</si>
  <si>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</si>
  <si>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</si>
  <si>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</si>
  <si>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</si>
  <si>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</si>
  <si>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</si>
  <si>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</si>
  <si>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</si>
  <si>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</si>
  <si>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</si>
  <si>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</si>
  <si>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</si>
  <si>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</si>
  <si>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</si>
  <si>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</si>
  <si>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</si>
  <si>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</si>
  <si>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</si>
  <si>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</si>
  <si>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</si>
  <si>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</si>
  <si>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</si>
  <si>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</si>
  <si>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</si>
  <si>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</si>
  <si>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</si>
  <si>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</si>
  <si>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</si>
  <si>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</si>
  <si>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</si>
  <si>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</si>
  <si>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</si>
  <si>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</si>
  <si>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</si>
  <si>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ИТОГО в месяц</t>
  </si>
  <si>
    <t>На 1 сотрудника в офисе (20 чел.), в месяц</t>
  </si>
  <si>
    <t>Канцелярия, бумага и хозтовары (расчёт — лист «Канцелярия»)</t>
  </si>
  <si>
    <t>Резерв на непредвиденные расходы (10%)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</si>
  <si>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</si>
  <si>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</si>
  <si>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</si>
  <si>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</si>
  <si>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</si>
  <si>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</si>
  <si>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</si>
  <si>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</si>
  <si>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</si>
  <si>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</si>
  <si>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</si>
  <si>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</si>
  <si>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</si>
  <si>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</si>
  <si>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</si>
  <si>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</si>
  <si>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</si>
  <si>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</si>
  <si>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</si>
  <si>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</si>
  <si>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</si>
  <si>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</si>
  <si>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</si>
  <si>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</si>
  <si>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</si>
  <si>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</si>
  <si>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</si>
  <si>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</si>
  <si>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</si>
  <si>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</si>
  <si>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</si>
  <si>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</si>
  <si>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</si>
  <si>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</si>
  <si>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</si>
  <si>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</si>
  <si>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</si>
  <si>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</si>
  <si>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</si>
  <si>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</si>
  <si>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</si>
  <si>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</si>
  <si>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</si>
  <si>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</si>
  <si>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</si>
  <si>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</si>
  <si>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</si>
  <si>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</si>
  <si>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</si>
  <si>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</si>
  <si>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</si>
  <si>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</si>
  <si>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</si>
  <si>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</si>
  <si>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</si>
  <si>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</si>
  <si>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</si>
  <si>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</si>
  <si>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</si>
  <si>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</si>
  <si>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</si>
  <si>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</si>
  <si>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</si>
  <si>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</si>
  <si>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</si>
  <si>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</si>
  <si>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</si>
  <si>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</si>
  <si>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</si>
  <si>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</si>
  <si>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</si>
  <si>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</si>
  <si>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</si>
  <si>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</si>
  <si>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</si>
  <si>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</si>
  <si>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</si>
  <si>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Национальный координатор проектного офиса</t>
  </si>
  <si>
    <t>Национальному координатору</t>
  </si>
  <si>
    <t>Заместителю ГИД (стратегия, проекты)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</si>
  <si>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</si>
  <si>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</si>
  <si>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</si>
  <si>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</si>
  <si>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</si>
  <si>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</si>
  <si>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</si>
  <si>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</si>
  <si>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</si>
  <si>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</si>
  <si>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</si>
  <si>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</si>
  <si>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</si>
  <si>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</si>
  <si>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</si>
  <si>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</si>
  <si>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</si>
  <si>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</si>
  <si>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</si>
  <si>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</si>
  <si>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</si>
  <si>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</si>
  <si>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</si>
  <si>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</si>
  <si>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</si>
  <si>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</si>
  <si>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</si>
  <si>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</si>
  <si>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</si>
  <si>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</si>
  <si>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</si>
  <si>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</si>
  <si>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</si>
  <si>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</si>
  <si>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</si>
  <si>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</si>
  <si>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</si>
  <si>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</si>
  <si>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</si>
  <si>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</si>
  <si>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</si>
  <si>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</si>
  <si>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</si>
  <si>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</si>
  <si>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</si>
  <si>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</si>
  <si>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</si>
  <si>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</si>
  <si>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</si>
  <si>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</si>
  <si>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оценка; уточнить после осмотра помещений (701–702, 710)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</si>
  <si>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</si>
  <si>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</si>
  <si>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</si>
  <si>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</si>
  <si>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</si>
  <si>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</si>
  <si>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</si>
  <si>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</si>
  <si>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</si>
  <si>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</si>
  <si>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</si>
  <si>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</si>
  <si>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</si>
  <si>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</si>
  <si>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</si>
  <si>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</si>
  <si>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ОСНС окт–дек 2026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</si>
  <si>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</si>
  <si>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</si>
  <si>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</si>
  <si>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</si>
  <si>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</si>
  <si>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[Кононец А.В.] Стратегия и портфель проектов Фонда, партнёрства; экспертная группа;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Total.kz; в ЦАКФ с 07.2025.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</si>
  <si>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в ЦАКФ с 02.2025, член Управляющего совета.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</si>
  <si>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</si>
  <si>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</si>
  <si>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</si>
  <si>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</si>
  <si>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</si>
  <si>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</si>
  <si>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</si>
  <si>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</si>
  <si>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</si>
  <si>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</si>
  <si>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</si>
  <si>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</si>
  <si>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</si>
  <si>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</si>
  <si>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</si>
  <si>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</si>
  <si>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</si>
  <si>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</si>
  <si>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</si>
  <si>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Бюджет проектного офиса «Таза Қазақстан» (ЦАКФ) на октябрь–декабрь 2026 года, ₸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</si>
  <si>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</si>
  <si>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</si>
  <si>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</si>
  <si>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</si>
  <si>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3. ОСНС штатных сотрудников</t>
  </si>
  <si>
    <t>4. Командировки по РК</t>
  </si>
  <si>
    <t>5. Оснащение (разово): ноутбуки, мебель, МФУ, интерактивная панель, ИБП, фото-видео, сеть</t>
  </si>
  <si>
    <t>6. Офис: аренда, депозит, ремонт, хозрасходы, курьер, связь</t>
  </si>
  <si>
    <t xml:space="preserve">     в т.ч. аренда офиса (БЦ «Сыганак», 7 этаж: 701–702 и зона 710), с 21.10</t>
  </si>
  <si>
    <t>7. Цифровые инструменты</t>
  </si>
  <si>
    <t>8. Медиа: таргет, полиграфия, подписки</t>
  </si>
  <si>
    <t>9. Прочие: подбор персонала, обучение, перевод, юруслуги, страхование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</si>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</sst>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3" fontId="2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2"/>
  <sheetViews>
    <sheetView tabSelected="1" zoomScaleNormal="100" workbookViewId="0">
      <selection activeCell="K17" sqref="K17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34.5" x14ac:dyDescent="0.3">
      <c r="A1" s="33" t="s">
        <v>432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433</v>
      </c>
      <c r="B4" s="37">
        <f>SUMIF(Штат!E5:E29,"штат",Штат!G5:G29)</f>
        <v>18</v>
      </c>
    </row>
    <row r="5" spans="1:2" x14ac:dyDescent="0.25">
      <c r="A5" s="36" t="s">
        <v>434</v>
      </c>
      <c r="B5" s="37">
        <f>Штат!G31</f>
        <v>12</v>
      </c>
    </row>
    <row r="6" spans="1:2" x14ac:dyDescent="0.25">
      <c r="A6" s="36" t="s">
        <v>435</v>
      </c>
      <c r="B6" s="38">
        <f>SUMIFS(Штат!M5:M29,Штат!E5:E29,"штат")</f>
        <v>58691747.741935484</v>
      </c>
    </row>
    <row r="7" spans="1:2" ht="30" x14ac:dyDescent="0.25">
      <c r="A7" s="36" t="s">
        <v>436</v>
      </c>
      <c r="B7" s="38">
        <f>Аутсорс!J11</f>
        <v>14567354.838709679</v>
      </c>
    </row>
    <row r="8" spans="1:2" x14ac:dyDescent="0.25">
      <c r="A8" s="36" t="s">
        <v>437</v>
      </c>
      <c r="B8" s="38">
        <f>Штат!N30</f>
        <v>104924.73118279572</v>
      </c>
    </row>
    <row r="9" spans="1:2" x14ac:dyDescent="0.25">
      <c r="A9" s="36" t="s">
        <v>438</v>
      </c>
      <c r="B9" s="38">
        <f>Командировки!G12</f>
        <v>3783804.032258065</v>
      </c>
    </row>
    <row r="10" spans="1:2" ht="30" x14ac:dyDescent="0.25">
      <c r="A10" s="36" t="s">
        <v>439</v>
      </c>
      <c r="B10" s="38">
        <f>SUMIFS('Оснащение и офис'!I5:I62,'Оснащение и офис'!A5:A62,"Оснащение")</f>
        <v>33059753</v>
      </c>
    </row>
    <row r="11" spans="1:2" x14ac:dyDescent="0.25">
      <c r="A11" s="36" t="s">
        <v>440</v>
      </c>
      <c r="B11" s="38">
        <f>SUMIFS('Оснащение и офис'!I5:I62,'Оснащение и офис'!A5:A62,"Офис")</f>
        <v>21748663.496774193</v>
      </c>
    </row>
    <row r="12" spans="1:2" x14ac:dyDescent="0.25">
      <c r="A12" s="39" t="s">
        <v>441</v>
      </c>
      <c r="B12" s="40">
        <f>'Оснащение и офис'!I40</f>
        <v>11560261.396774193</v>
      </c>
    </row>
    <row r="13" spans="1:2" x14ac:dyDescent="0.25">
      <c r="A13" s="39" t="s">
        <v>271</v>
      </c>
      <c r="B13" s="40">
        <f>'Оснащение и офис'!I41</f>
        <v>4909152.0999999996</v>
      </c>
    </row>
    <row r="14" spans="1:2" x14ac:dyDescent="0.25">
      <c r="A14" s="36" t="s">
        <v>442</v>
      </c>
      <c r="B14" s="38">
        <f>SUMIFS('Оснащение и офис'!I5:I62,'Оснащение и офис'!A5:A62,"Цифровые")</f>
        <v>820500</v>
      </c>
    </row>
    <row r="15" spans="1:2" x14ac:dyDescent="0.25">
      <c r="A15" s="36" t="s">
        <v>443</v>
      </c>
      <c r="B15" s="38">
        <f>SUMIFS('Оснащение и офис'!I5:I62,'Оснащение и офис'!A5:A62,"Медиа")</f>
        <v>3325000</v>
      </c>
    </row>
    <row r="16" spans="1:2" x14ac:dyDescent="0.25">
      <c r="A16" s="36" t="s">
        <v>444</v>
      </c>
      <c r="B16" s="38">
        <f>SUMIFS('Оснащение и офис'!I5:I62,'Оснащение и офис'!A5:A62,"Прочие")</f>
        <v>2300000</v>
      </c>
    </row>
    <row r="17" spans="1:2" x14ac:dyDescent="0.25">
      <c r="A17" s="41" t="s">
        <v>445</v>
      </c>
      <c r="B17" s="42">
        <f>B6+B7+B8+B9+B10+B11+B14+B15+B16</f>
        <v>138401747.84086022</v>
      </c>
    </row>
    <row r="18" spans="1:2" x14ac:dyDescent="0.25">
      <c r="A18" s="36" t="s">
        <v>257</v>
      </c>
      <c r="B18" s="38">
        <f>B17*Резерв</f>
        <v>13840174.784086023</v>
      </c>
    </row>
    <row r="19" spans="1:2" x14ac:dyDescent="0.25">
      <c r="A19" s="36" t="s">
        <v>352</v>
      </c>
      <c r="B19" s="38">
        <f>(B17+B18)*НДС</f>
        <v>24358707.619991399</v>
      </c>
    </row>
    <row r="20" spans="1:2" x14ac:dyDescent="0.25">
      <c r="A20" s="43" t="s">
        <v>446</v>
      </c>
      <c r="B20" s="44">
        <f>B17+B18+B19</f>
        <v>176600630.24493763</v>
      </c>
    </row>
    <row r="21" spans="1:2" x14ac:dyDescent="0.25">
      <c r="A21" s="41" t="s">
        <v>447</v>
      </c>
      <c r="B21" s="42">
        <f>Проекты!G13</f>
        <v>73399369.755062401</v>
      </c>
    </row>
    <row r="22" spans="1:2" x14ac:dyDescent="0.25">
      <c r="A22" s="45" t="s">
        <v>448</v>
      </c>
      <c r="B22" s="46">
        <f>B20+B21</f>
        <v>250000000.00000003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1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28</v>
      </c>
      <c r="B15" s="8">
        <v>530</v>
      </c>
      <c r="C15" t="s">
        <v>29</v>
      </c>
    </row>
    <row r="16" spans="1:3" ht="15" customHeight="1" x14ac:dyDescent="0.25">
      <c r="A16" t="s">
        <v>30</v>
      </c>
      <c r="B16" s="8">
        <v>2</v>
      </c>
      <c r="C16" t="s">
        <v>31</v>
      </c>
    </row>
    <row r="17" spans="1:3" ht="15" customHeight="1" x14ac:dyDescent="0.25">
      <c r="A17" t="s">
        <v>32</v>
      </c>
      <c r="B17" s="8">
        <v>90000</v>
      </c>
      <c r="C17" t="s">
        <v>33</v>
      </c>
    </row>
    <row r="18" spans="1:3" ht="15" customHeight="1" x14ac:dyDescent="0.25">
      <c r="A18" t="s">
        <v>34</v>
      </c>
      <c r="B18" s="8">
        <v>30000</v>
      </c>
      <c r="C18" t="s">
        <v>35</v>
      </c>
    </row>
    <row r="19" spans="1:3" ht="15" customHeight="1" x14ac:dyDescent="0.25">
      <c r="A19" t="s">
        <v>36</v>
      </c>
      <c r="B19" s="8">
        <v>15000</v>
      </c>
      <c r="C19" t="s">
        <v>37</v>
      </c>
    </row>
    <row r="20" spans="1:3" ht="15" customHeight="1" x14ac:dyDescent="0.25">
      <c r="A20" t="s">
        <v>38</v>
      </c>
      <c r="B20" s="8">
        <v>3</v>
      </c>
      <c r="C20" t="s">
        <v>39</v>
      </c>
    </row>
    <row r="21" spans="1:3" ht="15" customHeight="1" x14ac:dyDescent="0.25">
      <c r="A21" t="s">
        <v>40</v>
      </c>
      <c r="B21" s="8">
        <v>2</v>
      </c>
      <c r="C21" t="s">
        <v>41</v>
      </c>
    </row>
    <row r="22" spans="1:3" ht="15" customHeight="1" x14ac:dyDescent="0.25">
      <c r="A22" t="s">
        <v>42</v>
      </c>
      <c r="B22" s="8">
        <f>Авиа_РК+Отель_РК*Ночей_РК+Сут_РК*МРП*Дней_РК+Трансп_РК</f>
        <v>190950</v>
      </c>
      <c r="C22" t="s">
        <v>43</v>
      </c>
    </row>
    <row r="23" spans="1:3" ht="15" customHeight="1" x14ac:dyDescent="0.25">
      <c r="A23" t="s">
        <v>44</v>
      </c>
      <c r="B23" s="8">
        <f>Трансп_РК+Сут_РК*МРП</f>
        <v>23650</v>
      </c>
      <c r="C23" t="s">
        <v>45</v>
      </c>
    </row>
    <row r="24" spans="1:3" ht="15" customHeight="1" x14ac:dyDescent="0.25">
      <c r="A24" t="s">
        <v>46</v>
      </c>
      <c r="B24" s="8">
        <v>900</v>
      </c>
      <c r="C24" t="s">
        <v>47</v>
      </c>
    </row>
    <row r="25" spans="1:3" ht="15" customHeight="1" x14ac:dyDescent="0.25">
      <c r="A25" t="s">
        <v>48</v>
      </c>
      <c r="B25" s="8">
        <v>150</v>
      </c>
      <c r="C25" t="s">
        <v>49</v>
      </c>
    </row>
    <row r="26" spans="1:3" ht="15" customHeight="1" x14ac:dyDescent="0.25">
      <c r="A26" t="s">
        <v>50</v>
      </c>
      <c r="B26" s="8">
        <v>150</v>
      </c>
      <c r="C26" t="s">
        <v>51</v>
      </c>
    </row>
    <row r="27" spans="1:3" ht="15" customHeight="1" x14ac:dyDescent="0.25">
      <c r="A27" t="s">
        <v>52</v>
      </c>
      <c r="B27" s="8">
        <v>5</v>
      </c>
      <c r="C27" t="s">
        <v>53</v>
      </c>
    </row>
    <row r="28" spans="1:3" ht="15" customHeight="1" x14ac:dyDescent="0.25">
      <c r="A28" t="s">
        <v>54</v>
      </c>
      <c r="B28" s="8">
        <v>4</v>
      </c>
      <c r="C28" t="s">
        <v>55</v>
      </c>
    </row>
    <row r="29" spans="1:3" ht="15" customHeight="1" x14ac:dyDescent="0.25">
      <c r="A29" t="s">
        <v>56</v>
      </c>
      <c r="B29" s="8">
        <v>50</v>
      </c>
      <c r="C29" t="s">
        <v>57</v>
      </c>
    </row>
    <row r="30" spans="1:3" ht="15" customHeight="1" x14ac:dyDescent="0.25">
      <c r="A30" t="s">
        <v>58</v>
      </c>
      <c r="B30" s="8">
        <f>(Авиа_межд+Отель_межд*Ночей_межд+Сут_межд*Дней_межд+Страх_межд)*Курс</f>
        <v>1219000</v>
      </c>
      <c r="C30" t="s">
        <v>59</v>
      </c>
    </row>
    <row r="31" spans="1:3" ht="15" customHeight="1" x14ac:dyDescent="0.25">
      <c r="A31" t="s">
        <v>60</v>
      </c>
      <c r="B31" s="8">
        <f>Площадь_офиса*Ставка_аренды_м2+Коммун_мес+Парковка_мест*Парковка_цена</f>
        <v>4909152.0999999996</v>
      </c>
      <c r="C31" t="s">
        <v>386</v>
      </c>
    </row>
    <row r="32" spans="1:3" ht="15" customHeight="1" x14ac:dyDescent="0.25">
      <c r="A32" t="s">
        <v>61</v>
      </c>
      <c r="B32" s="8">
        <v>1</v>
      </c>
      <c r="C32" t="s">
        <v>280</v>
      </c>
    </row>
    <row r="33" spans="1:3" ht="15" customHeight="1" x14ac:dyDescent="0.25">
      <c r="A33" t="s">
        <v>62</v>
      </c>
      <c r="B33" s="8">
        <v>0.1</v>
      </c>
      <c r="C33" t="s">
        <v>63</v>
      </c>
    </row>
    <row r="34" spans="1:3" ht="15" customHeight="1" x14ac:dyDescent="0.25">
      <c r="A34" t="s">
        <v>64</v>
      </c>
      <c r="B34" s="8">
        <v>0.16</v>
      </c>
      <c r="C34" t="s">
        <v>65</v>
      </c>
    </row>
    <row r="36" spans="1:3" ht="15" customHeight="1" x14ac:dyDescent="0.25">
      <c r="A36" t="s">
        <v>429</v>
      </c>
    </row>
    <row r="37" spans="1:3" ht="15" customHeight="1" x14ac:dyDescent="0.25">
      <c r="A37" t="s">
        <v>430</v>
      </c>
    </row>
    <row r="40" spans="1:3" s="7" customFormat="1" x14ac:dyDescent="0.25">
      <c r="A40" s="7" t="s">
        <v>383</v>
      </c>
    </row>
    <row r="41" spans="1:3" x14ac:dyDescent="0.25">
      <c r="A41" t="s">
        <v>201</v>
      </c>
      <c r="B41" s="13">
        <f>ROUND((52.2+21.4+12.4+33.7+190)*1.1,2)</f>
        <v>340.67</v>
      </c>
      <c r="C41" t="s">
        <v>384</v>
      </c>
    </row>
    <row r="42" spans="1:3" x14ac:dyDescent="0.25">
      <c r="A42" t="s">
        <v>202</v>
      </c>
      <c r="B42" s="5">
        <v>13500</v>
      </c>
      <c r="C42" t="s">
        <v>381</v>
      </c>
    </row>
    <row r="43" spans="1:3" x14ac:dyDescent="0.25">
      <c r="A43" t="s">
        <v>264</v>
      </c>
      <c r="B43" s="5">
        <f>743*309.7</f>
        <v>230107.1</v>
      </c>
      <c r="C43" t="s">
        <v>385</v>
      </c>
    </row>
    <row r="44" spans="1:3" x14ac:dyDescent="0.25">
      <c r="A44" t="s">
        <v>203</v>
      </c>
      <c r="B44" s="5">
        <v>2</v>
      </c>
      <c r="C44" t="s">
        <v>331</v>
      </c>
    </row>
    <row r="45" spans="1:3" x14ac:dyDescent="0.25">
      <c r="A45" t="s">
        <v>204</v>
      </c>
      <c r="B45" s="5">
        <v>40000</v>
      </c>
      <c r="C45" t="s">
        <v>382</v>
      </c>
    </row>
    <row r="46" spans="1:3" x14ac:dyDescent="0.25">
      <c r="A46" t="s">
        <v>205</v>
      </c>
      <c r="B46" s="5">
        <f>Аренда_мес*(1+НДС)</f>
        <v>5694616.4359999988</v>
      </c>
      <c r="C46" t="s">
        <v>206</v>
      </c>
    </row>
    <row r="47" spans="1:3" x14ac:dyDescent="0.25">
      <c r="A47" t="s">
        <v>207</v>
      </c>
      <c r="B47" s="5">
        <f>Аренда_мес*Депозит_мес</f>
        <v>4909152.0999999996</v>
      </c>
      <c r="C47" t="s">
        <v>208</v>
      </c>
    </row>
    <row r="48" spans="1:3" x14ac:dyDescent="0.25">
      <c r="A48" t="s">
        <v>276</v>
      </c>
      <c r="B48" s="15">
        <f>11/31+2</f>
        <v>2.3548387096774195</v>
      </c>
      <c r="C48" t="s">
        <v>277</v>
      </c>
    </row>
    <row r="49" spans="1:3" x14ac:dyDescent="0.25">
      <c r="A49" s="7" t="s">
        <v>265</v>
      </c>
    </row>
    <row r="50" spans="1:3" x14ac:dyDescent="0.25">
      <c r="A50" t="s">
        <v>266</v>
      </c>
      <c r="B50" s="14">
        <v>0.1</v>
      </c>
      <c r="C50" t="s">
        <v>267</v>
      </c>
    </row>
    <row r="51" spans="1:3" x14ac:dyDescent="0.25">
      <c r="A51" t="s">
        <v>278</v>
      </c>
      <c r="B51" s="15">
        <f>Аренда_мес_2026</f>
        <v>2.3548387096774195</v>
      </c>
      <c r="C51" t="s">
        <v>431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346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404</v>
      </c>
      <c r="J4" s="3" t="s">
        <v>74</v>
      </c>
      <c r="K4" s="3" t="s">
        <v>75</v>
      </c>
      <c r="L4" s="3" t="s">
        <v>279</v>
      </c>
      <c r="M4" s="3" t="s">
        <v>77</v>
      </c>
      <c r="N4" s="3" t="s">
        <v>405</v>
      </c>
      <c r="O4" s="3" t="s">
        <v>78</v>
      </c>
      <c r="P4" s="3" t="s">
        <v>406</v>
      </c>
      <c r="Q4" s="4"/>
    </row>
    <row r="5" spans="1:17" ht="75" x14ac:dyDescent="0.25">
      <c r="A5" s="16">
        <v>1</v>
      </c>
      <c r="B5" s="16" t="s">
        <v>332</v>
      </c>
      <c r="C5" s="17" t="s">
        <v>333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>K5*L5</f>
        <v>5454690</v>
      </c>
      <c r="N5" s="18">
        <f>IF(E5="штат",ОСНС*G5*L5/12,0)</f>
        <v>7000</v>
      </c>
      <c r="O5" s="18">
        <f>M5+N5</f>
        <v>5461690</v>
      </c>
      <c r="P5" s="17" t="s">
        <v>410</v>
      </c>
    </row>
    <row r="6" spans="1:17" ht="60" x14ac:dyDescent="0.25">
      <c r="A6" s="16">
        <v>2</v>
      </c>
      <c r="B6" s="16" t="s">
        <v>332</v>
      </c>
      <c r="C6" s="17" t="s">
        <v>334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>K6*L6</f>
        <v>4784010</v>
      </c>
      <c r="N6" s="18">
        <f>IF(E6="штат",ОСНС*G6*L6/12,0)</f>
        <v>7000</v>
      </c>
      <c r="O6" s="18">
        <f>M6+N6</f>
        <v>4791010</v>
      </c>
      <c r="P6" s="17" t="s">
        <v>411</v>
      </c>
    </row>
    <row r="7" spans="1:17" ht="75" x14ac:dyDescent="0.25">
      <c r="A7" s="16">
        <v>3</v>
      </c>
      <c r="B7" s="16" t="s">
        <v>332</v>
      </c>
      <c r="C7" s="17" t="s">
        <v>321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>K7*L7</f>
        <v>4784010</v>
      </c>
      <c r="N7" s="18">
        <f>IF(E7="штат",ОСНС*G7*L7/12,0)</f>
        <v>7000</v>
      </c>
      <c r="O7" s="18">
        <f>M7+N7</f>
        <v>4791010</v>
      </c>
      <c r="P7" s="17" t="s">
        <v>412</v>
      </c>
    </row>
    <row r="8" spans="1:17" ht="30" x14ac:dyDescent="0.25">
      <c r="A8" s="16">
        <v>4</v>
      </c>
      <c r="B8" s="16" t="s">
        <v>261</v>
      </c>
      <c r="C8" s="17" t="s">
        <v>335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>K8*L8</f>
        <v>3755190.6451612907</v>
      </c>
      <c r="N8" s="18">
        <f>IF(E8="штат",ОСНС*G8*L8/12,0)</f>
        <v>5494.6236559139788</v>
      </c>
      <c r="O8" s="18">
        <f>M8+N8</f>
        <v>3760685.2688172045</v>
      </c>
      <c r="P8" s="17" t="s">
        <v>413</v>
      </c>
    </row>
    <row r="9" spans="1:17" ht="30" x14ac:dyDescent="0.25">
      <c r="A9" s="16">
        <v>6</v>
      </c>
      <c r="B9" s="16" t="s">
        <v>298</v>
      </c>
      <c r="C9" s="17" t="s">
        <v>300</v>
      </c>
      <c r="D9" s="17" t="s">
        <v>301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>K9*L9</f>
        <v>2702295.1612903229</v>
      </c>
      <c r="N9" s="18">
        <f>IF(E9="штат",ОСНС*G9*L9/12,0)</f>
        <v>5494.6236559139788</v>
      </c>
      <c r="O9" s="18">
        <f>M9+N9</f>
        <v>2707789.7849462368</v>
      </c>
      <c r="P9" s="17" t="s">
        <v>414</v>
      </c>
    </row>
    <row r="10" spans="1:17" ht="30" x14ac:dyDescent="0.25">
      <c r="A10" s="16">
        <v>14</v>
      </c>
      <c r="B10" s="16" t="s">
        <v>302</v>
      </c>
      <c r="C10" s="17" t="s">
        <v>338</v>
      </c>
      <c r="D10" s="17" t="s">
        <v>304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3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4">G10*(H10+J10)</f>
        <v>1259330</v>
      </c>
      <c r="L10" s="19">
        <f t="shared" ref="L10" si="5">IF(AND(F10="новая",I10=1),Мес_2026_новые,MAX(0,4-I10))</f>
        <v>2.3548387096774195</v>
      </c>
      <c r="M10" s="18">
        <f>K10*L10</f>
        <v>2965519.0322580645</v>
      </c>
      <c r="N10" s="18">
        <f>IF(E10="штат",ОСНС*G10*L10/12,0)</f>
        <v>5494.6236559139788</v>
      </c>
      <c r="O10" s="18">
        <f>M10+N10</f>
        <v>2971013.6559139783</v>
      </c>
      <c r="P10" s="17" t="s">
        <v>339</v>
      </c>
    </row>
    <row r="11" spans="1:17" ht="45" x14ac:dyDescent="0.25">
      <c r="A11" s="16">
        <v>15</v>
      </c>
      <c r="B11" s="16" t="s">
        <v>302</v>
      </c>
      <c r="C11" s="17" t="s">
        <v>303</v>
      </c>
      <c r="D11" s="17" t="s">
        <v>304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>K11*L11</f>
        <v>2702295.1612903229</v>
      </c>
      <c r="N11" s="18">
        <f>IF(E11="штат",ОСНС*G11*L11/12,0)</f>
        <v>5494.6236559139788</v>
      </c>
      <c r="O11" s="18">
        <f>M11+N11</f>
        <v>2707789.7849462368</v>
      </c>
      <c r="P11" s="17" t="s">
        <v>415</v>
      </c>
    </row>
    <row r="12" spans="1:17" ht="60" x14ac:dyDescent="0.25">
      <c r="A12" s="16">
        <v>17</v>
      </c>
      <c r="B12" s="16" t="s">
        <v>302</v>
      </c>
      <c r="C12" s="17" t="s">
        <v>303</v>
      </c>
      <c r="D12" s="17" t="s">
        <v>304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>K12*L12</f>
        <v>2702295.1612903229</v>
      </c>
      <c r="N12" s="18">
        <f>IF(E12="штат",ОСНС*G12*L12/12,0)</f>
        <v>5494.6236559139788</v>
      </c>
      <c r="O12" s="18">
        <f>M12+N12</f>
        <v>2707789.7849462368</v>
      </c>
      <c r="P12" s="17" t="s">
        <v>416</v>
      </c>
    </row>
    <row r="13" spans="1:17" ht="45" x14ac:dyDescent="0.25">
      <c r="A13" s="16">
        <v>18</v>
      </c>
      <c r="B13" s="16" t="s">
        <v>302</v>
      </c>
      <c r="C13" s="17" t="s">
        <v>305</v>
      </c>
      <c r="D13" s="17" t="s">
        <v>304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>K13*L13</f>
        <v>2702295.1612903229</v>
      </c>
      <c r="N13" s="18">
        <f>IF(E13="штат",ОСНС*G13*L13/12,0)</f>
        <v>5494.6236559139788</v>
      </c>
      <c r="O13" s="18">
        <f>M13+N13</f>
        <v>2707789.7849462368</v>
      </c>
      <c r="P13" s="17" t="s">
        <v>417</v>
      </c>
    </row>
    <row r="14" spans="1:17" ht="45" x14ac:dyDescent="0.25">
      <c r="A14" s="16">
        <v>19</v>
      </c>
      <c r="B14" s="16" t="s">
        <v>302</v>
      </c>
      <c r="C14" s="17" t="s">
        <v>305</v>
      </c>
      <c r="D14" s="17" t="s">
        <v>304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>K14*L14</f>
        <v>1912623.548387097</v>
      </c>
      <c r="N14" s="18">
        <f>IF(E14="штат",ОСНС*G14*L14/12,0)</f>
        <v>5494.6236559139788</v>
      </c>
      <c r="O14" s="18">
        <f>M14+N14</f>
        <v>1918118.1720430108</v>
      </c>
      <c r="P14" s="17" t="s">
        <v>418</v>
      </c>
    </row>
    <row r="15" spans="1:17" ht="30" x14ac:dyDescent="0.25">
      <c r="A15" s="16">
        <v>23</v>
      </c>
      <c r="B15" s="16" t="s">
        <v>306</v>
      </c>
      <c r="C15" s="17" t="s">
        <v>299</v>
      </c>
      <c r="D15" s="17" t="s">
        <v>336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6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7">G15*(H15+J15)</f>
        <v>1482890</v>
      </c>
      <c r="L15" s="19">
        <f t="shared" ref="L15" si="8">IF(AND(F15="новая",I15=1),Мес_2026_новые,MAX(0,4-I15))</f>
        <v>2.3548387096774195</v>
      </c>
      <c r="M15" s="18">
        <f>K15*L15</f>
        <v>3491966.7741935486</v>
      </c>
      <c r="N15" s="18">
        <f>IF(E15="штат",ОСНС*G15*L15/12,0)</f>
        <v>5494.6236559139788</v>
      </c>
      <c r="O15" s="18">
        <f>M15+N15</f>
        <v>3497461.3978494625</v>
      </c>
      <c r="P15" s="17" t="s">
        <v>307</v>
      </c>
    </row>
    <row r="16" spans="1:17" ht="30" x14ac:dyDescent="0.25">
      <c r="A16" s="20">
        <v>24</v>
      </c>
      <c r="B16" s="20" t="s">
        <v>306</v>
      </c>
      <c r="C16" s="21" t="s">
        <v>340</v>
      </c>
      <c r="D16" s="21" t="s">
        <v>301</v>
      </c>
      <c r="E16" s="20" t="s">
        <v>308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>K16*L16</f>
        <v>0</v>
      </c>
      <c r="N16" s="22">
        <f>IF(E16="штат",ОСНС*G16*L16/12,0)</f>
        <v>0</v>
      </c>
      <c r="O16" s="22">
        <f>M16+N16</f>
        <v>0</v>
      </c>
      <c r="P16" s="21" t="s">
        <v>371</v>
      </c>
    </row>
    <row r="17" spans="1:16" ht="30" x14ac:dyDescent="0.25">
      <c r="A17" s="16">
        <v>25</v>
      </c>
      <c r="B17" s="16" t="s">
        <v>309</v>
      </c>
      <c r="C17" s="17" t="s">
        <v>310</v>
      </c>
      <c r="D17" s="17" t="s">
        <v>336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>K17*L17</f>
        <v>3491966.7741935486</v>
      </c>
      <c r="N17" s="18">
        <f>IF(E17="штат",ОСНС*G17*L17/12,0)</f>
        <v>5494.6236559139788</v>
      </c>
      <c r="O17" s="18">
        <f>M17+N17</f>
        <v>3497461.3978494625</v>
      </c>
      <c r="P17" s="17" t="s">
        <v>419</v>
      </c>
    </row>
    <row r="18" spans="1:16" ht="30" x14ac:dyDescent="0.25">
      <c r="A18" s="16">
        <v>26</v>
      </c>
      <c r="B18" s="16" t="s">
        <v>309</v>
      </c>
      <c r="C18" s="17" t="s">
        <v>311</v>
      </c>
      <c r="D18" s="17" t="s">
        <v>262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>K18*L18</f>
        <v>2702295.1612903229</v>
      </c>
      <c r="N18" s="18">
        <f>IF(E18="штат",ОСНС*G18*L18/12,0)</f>
        <v>5494.6236559139788</v>
      </c>
      <c r="O18" s="18">
        <f>M18+N18</f>
        <v>2707789.7849462368</v>
      </c>
      <c r="P18" s="17" t="s">
        <v>420</v>
      </c>
    </row>
    <row r="19" spans="1:16" x14ac:dyDescent="0.25">
      <c r="A19" s="20">
        <v>27</v>
      </c>
      <c r="B19" s="20" t="s">
        <v>309</v>
      </c>
      <c r="C19" s="21" t="s">
        <v>316</v>
      </c>
      <c r="D19" s="21" t="s">
        <v>262</v>
      </c>
      <c r="E19" s="20" t="s">
        <v>308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>K19*L19</f>
        <v>0</v>
      </c>
      <c r="N19" s="22">
        <f>IF(E19="штат",ОСНС*G19*L19/12,0)</f>
        <v>0</v>
      </c>
      <c r="O19" s="22">
        <f>M19+N19</f>
        <v>0</v>
      </c>
      <c r="P19" s="21" t="s">
        <v>372</v>
      </c>
    </row>
    <row r="20" spans="1:16" x14ac:dyDescent="0.25">
      <c r="A20" s="20">
        <v>28</v>
      </c>
      <c r="B20" s="20" t="s">
        <v>309</v>
      </c>
      <c r="C20" s="21" t="s">
        <v>317</v>
      </c>
      <c r="D20" s="21" t="s">
        <v>262</v>
      </c>
      <c r="E20" s="20" t="s">
        <v>308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0">G20*(H20+J20)</f>
        <v>0</v>
      </c>
      <c r="L20" s="23">
        <f t="shared" ref="L20" si="11">IF(AND(F20="новая",I20=1),Мес_2026_новые,MAX(0,4-I20))</f>
        <v>2</v>
      </c>
      <c r="M20" s="22">
        <f>K20*L20</f>
        <v>0</v>
      </c>
      <c r="N20" s="22">
        <f>IF(E20="штат",ОСНС*G20*L20/12,0)</f>
        <v>0</v>
      </c>
      <c r="O20" s="22">
        <f>M20+N20</f>
        <v>0</v>
      </c>
      <c r="P20" s="21" t="s">
        <v>373</v>
      </c>
    </row>
    <row r="21" spans="1:16" x14ac:dyDescent="0.25">
      <c r="A21" s="20">
        <v>29</v>
      </c>
      <c r="B21" s="20" t="s">
        <v>309</v>
      </c>
      <c r="C21" s="21" t="s">
        <v>318</v>
      </c>
      <c r="D21" s="21" t="s">
        <v>262</v>
      </c>
      <c r="E21" s="20" t="s">
        <v>308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>K21*L21</f>
        <v>0</v>
      </c>
      <c r="N21" s="22">
        <f>IF(E21="штат",ОСНС*G21*L21/12,0)</f>
        <v>0</v>
      </c>
      <c r="O21" s="22">
        <f>M21+N21</f>
        <v>0</v>
      </c>
      <c r="P21" s="21" t="s">
        <v>374</v>
      </c>
    </row>
    <row r="22" spans="1:16" x14ac:dyDescent="0.25">
      <c r="A22" s="16">
        <v>30</v>
      </c>
      <c r="B22" s="16" t="s">
        <v>309</v>
      </c>
      <c r="C22" s="17" t="s">
        <v>312</v>
      </c>
      <c r="D22" s="17" t="s">
        <v>262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>K22*L22</f>
        <v>2702295.1612903229</v>
      </c>
      <c r="N22" s="18">
        <f>IF(E22="штат",ОСНС*G22*L22/12,0)</f>
        <v>5494.6236559139788</v>
      </c>
      <c r="O22" s="18">
        <f>M22+N22</f>
        <v>2707789.7849462368</v>
      </c>
      <c r="P22" s="17" t="s">
        <v>313</v>
      </c>
    </row>
    <row r="23" spans="1:16" x14ac:dyDescent="0.25">
      <c r="A23" s="16">
        <v>31</v>
      </c>
      <c r="B23" s="16" t="s">
        <v>309</v>
      </c>
      <c r="C23" s="17" t="s">
        <v>314</v>
      </c>
      <c r="D23" s="17" t="s">
        <v>262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2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3">G23*(H23+J23)</f>
        <v>812210</v>
      </c>
      <c r="L23" s="19">
        <f t="shared" si="2"/>
        <v>2.3548387096774195</v>
      </c>
      <c r="M23" s="18">
        <f>K23*L23</f>
        <v>1912623.548387097</v>
      </c>
      <c r="N23" s="18">
        <f>IF(E23="штат",ОСНС*G23*L23/12,0)</f>
        <v>5494.6236559139788</v>
      </c>
      <c r="O23" s="18">
        <f>M23+N23</f>
        <v>1918118.1720430108</v>
      </c>
      <c r="P23" s="17" t="s">
        <v>315</v>
      </c>
    </row>
    <row r="24" spans="1:16" ht="30" x14ac:dyDescent="0.25">
      <c r="A24" s="20">
        <v>32</v>
      </c>
      <c r="B24" s="20" t="s">
        <v>309</v>
      </c>
      <c r="C24" s="21" t="s">
        <v>319</v>
      </c>
      <c r="D24" s="21" t="s">
        <v>262</v>
      </c>
      <c r="E24" s="20" t="s">
        <v>308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2"/>
        <v>112000</v>
      </c>
      <c r="K24" s="22">
        <f t="shared" si="13"/>
        <v>0</v>
      </c>
      <c r="L24" s="23">
        <f t="shared" si="2"/>
        <v>2</v>
      </c>
      <c r="M24" s="22">
        <f>K24*L24</f>
        <v>0</v>
      </c>
      <c r="N24" s="22">
        <f>IF(E24="штат",ОСНС*G24*L24/12,0)</f>
        <v>0</v>
      </c>
      <c r="O24" s="22">
        <f>M24+N24</f>
        <v>0</v>
      </c>
      <c r="P24" s="21" t="s">
        <v>375</v>
      </c>
    </row>
    <row r="25" spans="1:16" ht="75" x14ac:dyDescent="0.25">
      <c r="A25" s="16">
        <v>33</v>
      </c>
      <c r="B25" s="16" t="s">
        <v>341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2"/>
        <v>194670</v>
      </c>
      <c r="K25" s="18">
        <f t="shared" si="13"/>
        <v>1594670</v>
      </c>
      <c r="L25" s="19">
        <f t="shared" si="2"/>
        <v>3</v>
      </c>
      <c r="M25" s="18">
        <f>K25*L25</f>
        <v>4784010</v>
      </c>
      <c r="N25" s="18">
        <f>IF(E25="штат",ОСНС*G25*L25/12,0)</f>
        <v>7000</v>
      </c>
      <c r="O25" s="18">
        <f>M25+N25</f>
        <v>4791010</v>
      </c>
      <c r="P25" s="17" t="s">
        <v>421</v>
      </c>
    </row>
    <row r="26" spans="1:16" ht="30" x14ac:dyDescent="0.25">
      <c r="A26" s="16">
        <v>34</v>
      </c>
      <c r="B26" s="16" t="s">
        <v>341</v>
      </c>
      <c r="C26" s="17" t="s">
        <v>85</v>
      </c>
      <c r="D26" s="17" t="s">
        <v>258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2"/>
        <v>112210</v>
      </c>
      <c r="K26" s="18">
        <f t="shared" si="13"/>
        <v>812210</v>
      </c>
      <c r="L26" s="19">
        <f t="shared" si="2"/>
        <v>2.3548387096774195</v>
      </c>
      <c r="M26" s="18">
        <f>K26*L26</f>
        <v>1912623.548387097</v>
      </c>
      <c r="N26" s="18">
        <f>IF(E26="штат",ОСНС*G26*L26/12,0)</f>
        <v>5494.6236559139788</v>
      </c>
      <c r="O26" s="18">
        <f>M26+N26</f>
        <v>1918118.1720430108</v>
      </c>
      <c r="P26" s="17" t="s">
        <v>259</v>
      </c>
    </row>
    <row r="27" spans="1:16" ht="30" x14ac:dyDescent="0.25">
      <c r="A27" s="16">
        <v>35</v>
      </c>
      <c r="B27" s="16" t="s">
        <v>341</v>
      </c>
      <c r="C27" s="17" t="s">
        <v>342</v>
      </c>
      <c r="D27" s="17" t="s">
        <v>337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2"/>
        <v>171110</v>
      </c>
      <c r="K27" s="18">
        <f t="shared" si="13"/>
        <v>1371110</v>
      </c>
      <c r="L27" s="19">
        <f t="shared" si="2"/>
        <v>2.3548387096774195</v>
      </c>
      <c r="M27" s="18">
        <f>K27*L27</f>
        <v>3228742.9032258065</v>
      </c>
      <c r="N27" s="18">
        <f>IF(E27="штат",ОСНС*G27*L27/12,0)</f>
        <v>5494.6236559139788</v>
      </c>
      <c r="O27" s="18">
        <f>M27+N27</f>
        <v>3234237.5268817204</v>
      </c>
      <c r="P27" s="17" t="s">
        <v>343</v>
      </c>
    </row>
    <row r="28" spans="1:16" ht="30" x14ac:dyDescent="0.25">
      <c r="A28" s="20">
        <v>36</v>
      </c>
      <c r="B28" s="20" t="s">
        <v>341</v>
      </c>
      <c r="C28" s="21" t="s">
        <v>344</v>
      </c>
      <c r="D28" s="21" t="s">
        <v>260</v>
      </c>
      <c r="E28" s="20" t="s">
        <v>308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2"/>
        <v>160000</v>
      </c>
      <c r="K28" s="22">
        <f t="shared" si="13"/>
        <v>0</v>
      </c>
      <c r="L28" s="23">
        <f t="shared" si="2"/>
        <v>2.3548387096774195</v>
      </c>
      <c r="M28" s="22">
        <f>K28*L28</f>
        <v>0</v>
      </c>
      <c r="N28" s="22">
        <f>IF(E28="штат",ОСНС*G28*L28/12,0)</f>
        <v>0</v>
      </c>
      <c r="O28" s="22">
        <f>M28+N28</f>
        <v>0</v>
      </c>
      <c r="P28" s="21" t="s">
        <v>376</v>
      </c>
    </row>
    <row r="29" spans="1:16" ht="30" x14ac:dyDescent="0.25">
      <c r="A29" s="20">
        <v>37</v>
      </c>
      <c r="B29" s="20" t="s">
        <v>341</v>
      </c>
      <c r="C29" s="21" t="s">
        <v>345</v>
      </c>
      <c r="D29" s="21" t="s">
        <v>260</v>
      </c>
      <c r="E29" s="20" t="s">
        <v>308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2"/>
        <v>112000</v>
      </c>
      <c r="K29" s="22">
        <f t="shared" si="13"/>
        <v>0</v>
      </c>
      <c r="L29" s="23">
        <f t="shared" si="2"/>
        <v>2.3548387096774195</v>
      </c>
      <c r="M29" s="22">
        <f>K29*L29</f>
        <v>0</v>
      </c>
      <c r="N29" s="22">
        <f>IF(E29="штат",ОСНС*G29*L29/12,0)</f>
        <v>0</v>
      </c>
      <c r="O29" s="22">
        <f>M29+N29</f>
        <v>0</v>
      </c>
      <c r="P29" s="21" t="s">
        <v>377</v>
      </c>
    </row>
    <row r="30" spans="1:16" ht="15" customHeight="1" x14ac:dyDescent="0.25">
      <c r="A30" s="7"/>
      <c r="B30" s="7"/>
      <c r="C30" s="7" t="s">
        <v>407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4">SUM(N5:N29)</f>
        <v>104924.73118279572</v>
      </c>
      <c r="O30" s="6">
        <f t="shared" si="14"/>
        <v>58796672.473118283</v>
      </c>
      <c r="P30" s="7"/>
    </row>
    <row r="31" spans="1:16" ht="15" customHeight="1" x14ac:dyDescent="0.25">
      <c r="C31" t="s">
        <v>408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409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422</v>
      </c>
    </row>
    <row r="3" spans="1:10" ht="42" customHeight="1" x14ac:dyDescent="0.25">
      <c r="A3" s="25" t="s">
        <v>66</v>
      </c>
      <c r="B3" s="25" t="s">
        <v>220</v>
      </c>
      <c r="C3" s="25" t="s">
        <v>69</v>
      </c>
      <c r="D3" s="25" t="s">
        <v>350</v>
      </c>
      <c r="E3" s="25" t="s">
        <v>351</v>
      </c>
      <c r="F3" s="25" t="s">
        <v>352</v>
      </c>
      <c r="G3" s="25" t="s">
        <v>353</v>
      </c>
      <c r="H3" s="25" t="s">
        <v>404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354</v>
      </c>
      <c r="C4" s="27" t="s">
        <v>260</v>
      </c>
      <c r="D4" s="27" t="s">
        <v>355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356</v>
      </c>
      <c r="C5" s="27" t="s">
        <v>260</v>
      </c>
      <c r="D5" s="27" t="s">
        <v>357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358</v>
      </c>
      <c r="C6" s="27" t="s">
        <v>359</v>
      </c>
      <c r="D6" s="27" t="s">
        <v>360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361</v>
      </c>
      <c r="C7" s="27" t="s">
        <v>362</v>
      </c>
      <c r="D7" s="27" t="s">
        <v>363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364</v>
      </c>
      <c r="C8" s="27" t="s">
        <v>362</v>
      </c>
      <c r="D8" s="27" t="s">
        <v>365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366</v>
      </c>
      <c r="C9" s="27" t="s">
        <v>362</v>
      </c>
      <c r="D9" s="27" t="s">
        <v>367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368</v>
      </c>
      <c r="C10" s="27" t="s">
        <v>362</v>
      </c>
      <c r="D10" s="27" t="s">
        <v>369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370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403</v>
      </c>
    </row>
    <row r="2" spans="1:7" ht="15" customHeight="1" x14ac:dyDescent="0.25">
      <c r="A2" s="2" t="s">
        <v>263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401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402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347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320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2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423</v>
      </c>
    </row>
    <row r="2" spans="1:9" ht="15" customHeight="1" x14ac:dyDescent="0.25">
      <c r="A2" s="2" t="s">
        <v>424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425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426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391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380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111</v>
      </c>
      <c r="C11" t="s">
        <v>104</v>
      </c>
      <c r="D11" s="9">
        <v>1</v>
      </c>
      <c r="E11" s="10">
        <v>500000</v>
      </c>
      <c r="F11" s="9" t="s">
        <v>101</v>
      </c>
      <c r="G11" s="9">
        <v>1</v>
      </c>
      <c r="H11" s="4"/>
      <c r="I11" s="5">
        <f t="shared" si="0"/>
        <v>500000</v>
      </c>
    </row>
    <row r="12" spans="1:9" ht="15" customHeight="1" x14ac:dyDescent="0.25">
      <c r="A12" t="s">
        <v>98</v>
      </c>
      <c r="B12" s="4" t="s">
        <v>273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274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272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281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268</v>
      </c>
      <c r="C14" t="s">
        <v>104</v>
      </c>
      <c r="D14" s="9">
        <v>1</v>
      </c>
      <c r="E14" s="10">
        <f>(D8*E8+D9*E9+D10*E10+D11*E11+D12*E12+D13*E13)*Сборка_мебели_проц</f>
        <v>817000</v>
      </c>
      <c r="F14" s="9" t="s">
        <v>101</v>
      </c>
      <c r="G14" s="9">
        <v>1</v>
      </c>
      <c r="H14" s="4" t="s">
        <v>275</v>
      </c>
      <c r="I14" s="5">
        <f t="shared" si="0"/>
        <v>817000</v>
      </c>
    </row>
    <row r="15" spans="1:9" ht="27.75" customHeight="1" x14ac:dyDescent="0.25">
      <c r="A15" t="s">
        <v>98</v>
      </c>
      <c r="B15" s="4" t="s">
        <v>209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210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211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212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282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213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214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215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216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283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284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285</v>
      </c>
      <c r="C21" t="s">
        <v>286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287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288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289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290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291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325</v>
      </c>
      <c r="C24" t="s">
        <v>100</v>
      </c>
      <c r="D24" s="9">
        <v>31</v>
      </c>
      <c r="E24" s="10">
        <f>ROUND(4118/(1+НДС),0)</f>
        <v>3550</v>
      </c>
      <c r="F24" s="9" t="s">
        <v>101</v>
      </c>
      <c r="G24" s="9">
        <v>1</v>
      </c>
      <c r="H24" s="4" t="s">
        <v>326</v>
      </c>
      <c r="I24" s="5">
        <f t="shared" si="0"/>
        <v>110050</v>
      </c>
    </row>
    <row r="25" spans="1:9" ht="15" customHeight="1" x14ac:dyDescent="0.25">
      <c r="A25" t="s">
        <v>98</v>
      </c>
      <c r="B25" s="4" t="s">
        <v>323</v>
      </c>
      <c r="C25" t="s">
        <v>100</v>
      </c>
      <c r="D25" s="9">
        <v>5</v>
      </c>
      <c r="E25" s="10">
        <f>ROUND(6101/(1+НДС),0)</f>
        <v>5259</v>
      </c>
      <c r="F25" s="9" t="s">
        <v>101</v>
      </c>
      <c r="G25" s="9">
        <v>1</v>
      </c>
      <c r="H25" s="4" t="s">
        <v>324</v>
      </c>
      <c r="I25" s="5">
        <f t="shared" si="0"/>
        <v>26295</v>
      </c>
    </row>
    <row r="26" spans="1:9" ht="15" customHeight="1" x14ac:dyDescent="0.25">
      <c r="A26" t="s">
        <v>98</v>
      </c>
      <c r="B26" s="4" t="s">
        <v>327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328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329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330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389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390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392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393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394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395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112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113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114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115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116</v>
      </c>
      <c r="C34" t="s">
        <v>117</v>
      </c>
      <c r="D34" s="9">
        <v>1</v>
      </c>
      <c r="E34" s="10">
        <f>'Смета фото-видео'!G35</f>
        <v>7062880</v>
      </c>
      <c r="F34" s="9" t="s">
        <v>101</v>
      </c>
      <c r="G34" s="9">
        <v>1</v>
      </c>
      <c r="H34" s="4" t="s">
        <v>118</v>
      </c>
      <c r="I34" s="5">
        <f t="shared" si="0"/>
        <v>7062880</v>
      </c>
    </row>
    <row r="35" spans="1:9" ht="15" customHeight="1" x14ac:dyDescent="0.25">
      <c r="A35" t="s">
        <v>98</v>
      </c>
      <c r="B35" s="4" t="s">
        <v>398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399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400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119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120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121</v>
      </c>
      <c r="C39" t="s">
        <v>104</v>
      </c>
      <c r="D39" s="9">
        <v>1</v>
      </c>
      <c r="E39" s="10">
        <v>100000</v>
      </c>
      <c r="F39" s="9" t="s">
        <v>101</v>
      </c>
      <c r="G39" s="9">
        <v>1</v>
      </c>
      <c r="H39" s="4" t="s">
        <v>388</v>
      </c>
      <c r="I39" s="5">
        <f t="shared" si="0"/>
        <v>100000</v>
      </c>
    </row>
    <row r="40" spans="1:9" ht="27.75" customHeight="1" x14ac:dyDescent="0.25">
      <c r="A40" t="s">
        <v>122</v>
      </c>
      <c r="B40" s="4" t="s">
        <v>123</v>
      </c>
      <c r="C40" t="s">
        <v>124</v>
      </c>
      <c r="D40" s="9">
        <v>1</v>
      </c>
      <c r="E40" s="10">
        <f>Аренда_мес</f>
        <v>4909152.0999999996</v>
      </c>
      <c r="F40" s="9" t="s">
        <v>125</v>
      </c>
      <c r="G40" s="9">
        <v>1</v>
      </c>
      <c r="H40" s="4" t="s">
        <v>387</v>
      </c>
      <c r="I40" s="5">
        <f>D40*E40*Аренда_мес_2026</f>
        <v>11560261.396774193</v>
      </c>
    </row>
    <row r="41" spans="1:9" ht="15" customHeight="1" x14ac:dyDescent="0.25">
      <c r="A41" t="s">
        <v>122</v>
      </c>
      <c r="B41" s="4" t="s">
        <v>269</v>
      </c>
      <c r="C41" t="s">
        <v>126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322</v>
      </c>
      <c r="I41" s="5">
        <f t="shared" ref="I41:I62" si="3">IF(F41="разово",IF(G41&lt;=3,D41*E41,0),IF(F41="мес",D41*E41*MAX(0,4-G41),D41*E41*MAX(0,4-G41)/12))</f>
        <v>4909152.0999999996</v>
      </c>
    </row>
    <row r="42" spans="1:9" ht="27.75" customHeight="1" x14ac:dyDescent="0.25">
      <c r="A42" t="s">
        <v>122</v>
      </c>
      <c r="B42" s="4" t="s">
        <v>127</v>
      </c>
      <c r="C42" t="s">
        <v>128</v>
      </c>
      <c r="D42" s="9">
        <v>1</v>
      </c>
      <c r="E42" s="10">
        <v>3000000</v>
      </c>
      <c r="F42" s="9" t="s">
        <v>101</v>
      </c>
      <c r="G42" s="9">
        <v>1</v>
      </c>
      <c r="H42" s="4" t="s">
        <v>129</v>
      </c>
      <c r="I42" s="5">
        <f t="shared" si="3"/>
        <v>3000000</v>
      </c>
    </row>
    <row r="43" spans="1:9" ht="15" customHeight="1" x14ac:dyDescent="0.25">
      <c r="A43" t="s">
        <v>122</v>
      </c>
      <c r="B43" s="4" t="s">
        <v>130</v>
      </c>
      <c r="C43" t="s">
        <v>124</v>
      </c>
      <c r="D43" s="9">
        <v>1</v>
      </c>
      <c r="E43" s="10">
        <v>50000</v>
      </c>
      <c r="F43" s="9" t="s">
        <v>125</v>
      </c>
      <c r="G43" s="9">
        <v>1</v>
      </c>
      <c r="H43" s="4"/>
      <c r="I43" s="5">
        <f t="shared" si="3"/>
        <v>150000</v>
      </c>
    </row>
    <row r="44" spans="1:9" ht="15" customHeight="1" x14ac:dyDescent="0.25">
      <c r="A44" t="s">
        <v>122</v>
      </c>
      <c r="B44" s="4" t="s">
        <v>131</v>
      </c>
      <c r="C44" t="s">
        <v>124</v>
      </c>
      <c r="D44" s="9">
        <v>1</v>
      </c>
      <c r="E44" s="10">
        <v>60000</v>
      </c>
      <c r="F44" s="9" t="s">
        <v>125</v>
      </c>
      <c r="G44" s="9">
        <v>1</v>
      </c>
      <c r="H44" s="4"/>
      <c r="I44" s="5">
        <f t="shared" si="3"/>
        <v>180000</v>
      </c>
    </row>
    <row r="45" spans="1:9" ht="15" customHeight="1" x14ac:dyDescent="0.25">
      <c r="A45" t="s">
        <v>122</v>
      </c>
      <c r="B45" s="4" t="s">
        <v>132</v>
      </c>
      <c r="C45" t="s">
        <v>124</v>
      </c>
      <c r="D45" s="9">
        <v>1</v>
      </c>
      <c r="E45" s="10">
        <v>50000</v>
      </c>
      <c r="F45" s="9" t="s">
        <v>125</v>
      </c>
      <c r="G45" s="9">
        <v>1</v>
      </c>
      <c r="H45" s="4"/>
      <c r="I45" s="5">
        <f t="shared" si="3"/>
        <v>150000</v>
      </c>
    </row>
    <row r="46" spans="1:9" ht="15" customHeight="1" x14ac:dyDescent="0.25">
      <c r="A46" t="s">
        <v>122</v>
      </c>
      <c r="B46" s="4" t="s">
        <v>133</v>
      </c>
      <c r="C46" t="s">
        <v>134</v>
      </c>
      <c r="D46" s="9">
        <v>25</v>
      </c>
      <c r="E46" s="10">
        <v>5000</v>
      </c>
      <c r="F46" s="9" t="s">
        <v>125</v>
      </c>
      <c r="G46" s="9">
        <v>1</v>
      </c>
      <c r="H46" s="4" t="s">
        <v>135</v>
      </c>
      <c r="I46" s="5">
        <f t="shared" si="3"/>
        <v>375000</v>
      </c>
    </row>
    <row r="47" spans="1:9" ht="15" customHeight="1" x14ac:dyDescent="0.25">
      <c r="A47" t="s">
        <v>122</v>
      </c>
      <c r="B47" s="4" t="s">
        <v>136</v>
      </c>
      <c r="C47" t="s">
        <v>124</v>
      </c>
      <c r="D47" s="9">
        <v>1</v>
      </c>
      <c r="E47" s="10">
        <v>60000</v>
      </c>
      <c r="F47" s="9" t="s">
        <v>125</v>
      </c>
      <c r="G47" s="9">
        <v>1</v>
      </c>
      <c r="H47" s="4"/>
      <c r="I47" s="5">
        <f t="shared" si="3"/>
        <v>180000</v>
      </c>
    </row>
    <row r="48" spans="1:9" ht="15" customHeight="1" x14ac:dyDescent="0.25">
      <c r="A48" t="s">
        <v>122</v>
      </c>
      <c r="B48" s="4" t="s">
        <v>256</v>
      </c>
      <c r="C48" t="s">
        <v>124</v>
      </c>
      <c r="D48" s="9">
        <v>1</v>
      </c>
      <c r="E48" s="10">
        <f>Канцелярия!F20</f>
        <v>164750</v>
      </c>
      <c r="F48" s="9" t="s">
        <v>125</v>
      </c>
      <c r="G48" s="9">
        <v>1</v>
      </c>
      <c r="H48" s="4" t="s">
        <v>270</v>
      </c>
      <c r="I48" s="5">
        <f t="shared" si="3"/>
        <v>494250</v>
      </c>
    </row>
    <row r="49" spans="1:9" ht="15" customHeight="1" x14ac:dyDescent="0.25">
      <c r="A49" t="s">
        <v>122</v>
      </c>
      <c r="B49" s="4" t="s">
        <v>137</v>
      </c>
      <c r="C49" t="s">
        <v>124</v>
      </c>
      <c r="D49" s="9">
        <v>1</v>
      </c>
      <c r="E49" s="10">
        <v>150000</v>
      </c>
      <c r="F49" s="9" t="s">
        <v>125</v>
      </c>
      <c r="G49" s="9">
        <v>1</v>
      </c>
      <c r="H49" s="4"/>
      <c r="I49" s="5">
        <f t="shared" si="3"/>
        <v>450000</v>
      </c>
    </row>
    <row r="50" spans="1:9" ht="15" customHeight="1" x14ac:dyDescent="0.25">
      <c r="A50" t="s">
        <v>122</v>
      </c>
      <c r="B50" s="4" t="s">
        <v>138</v>
      </c>
      <c r="C50" t="s">
        <v>124</v>
      </c>
      <c r="D50" s="9">
        <v>1</v>
      </c>
      <c r="E50" s="10">
        <v>100000</v>
      </c>
      <c r="F50" s="9" t="s">
        <v>125</v>
      </c>
      <c r="G50" s="9">
        <v>1</v>
      </c>
      <c r="H50" s="4"/>
      <c r="I50" s="5">
        <f t="shared" si="3"/>
        <v>300000</v>
      </c>
    </row>
    <row r="51" spans="1:9" ht="15" customHeight="1" x14ac:dyDescent="0.25">
      <c r="A51" t="s">
        <v>139</v>
      </c>
      <c r="B51" s="4" t="s">
        <v>140</v>
      </c>
      <c r="C51" t="s">
        <v>141</v>
      </c>
      <c r="D51" s="9">
        <v>25</v>
      </c>
      <c r="E51" s="10">
        <v>7000</v>
      </c>
      <c r="F51" s="9" t="s">
        <v>125</v>
      </c>
      <c r="G51" s="9">
        <v>1</v>
      </c>
      <c r="H51" s="4" t="s">
        <v>135</v>
      </c>
      <c r="I51" s="5">
        <f t="shared" si="3"/>
        <v>525000</v>
      </c>
    </row>
    <row r="52" spans="1:9" ht="15" customHeight="1" x14ac:dyDescent="0.25">
      <c r="A52" t="s">
        <v>139</v>
      </c>
      <c r="B52" s="4" t="s">
        <v>142</v>
      </c>
      <c r="C52" t="s">
        <v>141</v>
      </c>
      <c r="D52" s="9">
        <v>3</v>
      </c>
      <c r="E52" s="10">
        <v>7500</v>
      </c>
      <c r="F52" s="9" t="s">
        <v>125</v>
      </c>
      <c r="G52" s="9">
        <v>1</v>
      </c>
      <c r="H52" s="4"/>
      <c r="I52" s="5">
        <f t="shared" si="3"/>
        <v>67500</v>
      </c>
    </row>
    <row r="53" spans="1:9" ht="15" customHeight="1" x14ac:dyDescent="0.25">
      <c r="A53" t="s">
        <v>139</v>
      </c>
      <c r="B53" s="4" t="s">
        <v>143</v>
      </c>
      <c r="C53" t="s">
        <v>144</v>
      </c>
      <c r="D53" s="9">
        <v>2</v>
      </c>
      <c r="E53" s="10">
        <v>30000</v>
      </c>
      <c r="F53" s="9" t="s">
        <v>125</v>
      </c>
      <c r="G53" s="9">
        <v>1</v>
      </c>
      <c r="H53" s="4" t="s">
        <v>145</v>
      </c>
      <c r="I53" s="5">
        <f t="shared" si="3"/>
        <v>180000</v>
      </c>
    </row>
    <row r="54" spans="1:9" ht="15" customHeight="1" x14ac:dyDescent="0.25">
      <c r="A54" t="s">
        <v>139</v>
      </c>
      <c r="B54" s="4" t="s">
        <v>146</v>
      </c>
      <c r="C54" t="s">
        <v>144</v>
      </c>
      <c r="D54" s="9">
        <v>2</v>
      </c>
      <c r="E54" s="10">
        <v>8000</v>
      </c>
      <c r="F54" s="9" t="s">
        <v>125</v>
      </c>
      <c r="G54" s="9">
        <v>1</v>
      </c>
      <c r="H54" s="4"/>
      <c r="I54" s="5">
        <f t="shared" si="3"/>
        <v>48000</v>
      </c>
    </row>
    <row r="55" spans="1:9" ht="15" customHeight="1" x14ac:dyDescent="0.25">
      <c r="A55" t="s">
        <v>147</v>
      </c>
      <c r="B55" s="4" t="s">
        <v>378</v>
      </c>
      <c r="C55" t="s">
        <v>294</v>
      </c>
      <c r="D55" s="9"/>
      <c r="E55" s="10"/>
      <c r="F55" s="9" t="s">
        <v>292</v>
      </c>
      <c r="G55" s="9"/>
      <c r="H55" s="4"/>
      <c r="I55" s="5">
        <v>2000000</v>
      </c>
    </row>
    <row r="56" spans="1:9" ht="15" customHeight="1" x14ac:dyDescent="0.25">
      <c r="A56" t="s">
        <v>147</v>
      </c>
      <c r="B56" s="4" t="s">
        <v>148</v>
      </c>
      <c r="C56" t="s">
        <v>149</v>
      </c>
      <c r="D56" s="9">
        <v>1</v>
      </c>
      <c r="E56" s="10">
        <v>5000000</v>
      </c>
      <c r="F56" s="9" t="s">
        <v>149</v>
      </c>
      <c r="G56" s="9">
        <v>1</v>
      </c>
      <c r="H56" s="4"/>
      <c r="I56" s="5">
        <f t="shared" si="3"/>
        <v>1250000</v>
      </c>
    </row>
    <row r="57" spans="1:9" ht="15" customHeight="1" x14ac:dyDescent="0.25">
      <c r="A57" t="s">
        <v>147</v>
      </c>
      <c r="B57" s="4" t="s">
        <v>150</v>
      </c>
      <c r="C57" t="s">
        <v>124</v>
      </c>
      <c r="D57" s="9">
        <v>1</v>
      </c>
      <c r="E57" s="10">
        <v>25000</v>
      </c>
      <c r="F57" s="9" t="s">
        <v>125</v>
      </c>
      <c r="G57" s="9">
        <v>1</v>
      </c>
      <c r="H57" s="4"/>
      <c r="I57" s="5">
        <f t="shared" si="3"/>
        <v>75000</v>
      </c>
    </row>
    <row r="58" spans="1:9" ht="15" customHeight="1" x14ac:dyDescent="0.25">
      <c r="A58" t="s">
        <v>151</v>
      </c>
      <c r="B58" s="4" t="s">
        <v>152</v>
      </c>
      <c r="C58" t="s">
        <v>153</v>
      </c>
      <c r="D58" s="9">
        <v>1</v>
      </c>
      <c r="E58" s="10">
        <v>700000</v>
      </c>
      <c r="F58" s="9" t="s">
        <v>101</v>
      </c>
      <c r="G58" s="9">
        <v>1</v>
      </c>
      <c r="H58" s="4" t="s">
        <v>154</v>
      </c>
      <c r="I58" s="5">
        <f t="shared" si="3"/>
        <v>700000</v>
      </c>
    </row>
    <row r="59" spans="1:9" ht="15" customHeight="1" x14ac:dyDescent="0.25">
      <c r="A59" t="s">
        <v>151</v>
      </c>
      <c r="B59" s="4" t="s">
        <v>155</v>
      </c>
      <c r="C59" t="s">
        <v>156</v>
      </c>
      <c r="D59" s="9">
        <v>25</v>
      </c>
      <c r="E59" s="10">
        <v>150000</v>
      </c>
      <c r="F59" s="9" t="s">
        <v>149</v>
      </c>
      <c r="G59" s="9">
        <v>1</v>
      </c>
      <c r="H59" s="4"/>
      <c r="I59" s="5">
        <f t="shared" si="3"/>
        <v>937500</v>
      </c>
    </row>
    <row r="60" spans="1:9" ht="15" customHeight="1" x14ac:dyDescent="0.25">
      <c r="A60" t="s">
        <v>151</v>
      </c>
      <c r="B60" s="4" t="s">
        <v>157</v>
      </c>
      <c r="C60" t="s">
        <v>149</v>
      </c>
      <c r="D60" s="9">
        <v>1</v>
      </c>
      <c r="E60" s="10">
        <v>2000000</v>
      </c>
      <c r="F60" s="9" t="s">
        <v>149</v>
      </c>
      <c r="G60" s="9">
        <v>1</v>
      </c>
      <c r="H60" s="4"/>
      <c r="I60" s="5">
        <f t="shared" si="3"/>
        <v>500000</v>
      </c>
    </row>
    <row r="61" spans="1:9" ht="15" customHeight="1" x14ac:dyDescent="0.25">
      <c r="A61" t="s">
        <v>151</v>
      </c>
      <c r="B61" s="4" t="s">
        <v>158</v>
      </c>
      <c r="C61" t="s">
        <v>149</v>
      </c>
      <c r="D61" s="9">
        <v>1</v>
      </c>
      <c r="E61" s="10">
        <v>500000</v>
      </c>
      <c r="F61" s="9" t="s">
        <v>149</v>
      </c>
      <c r="G61" s="9">
        <v>1</v>
      </c>
      <c r="H61" s="4"/>
      <c r="I61" s="5">
        <f t="shared" si="3"/>
        <v>125000</v>
      </c>
    </row>
    <row r="62" spans="1:9" ht="15" customHeight="1" x14ac:dyDescent="0.25">
      <c r="A62" t="s">
        <v>151</v>
      </c>
      <c r="B62" s="4" t="s">
        <v>159</v>
      </c>
      <c r="C62" t="s">
        <v>149</v>
      </c>
      <c r="D62" s="9">
        <v>1</v>
      </c>
      <c r="E62" s="10">
        <v>150000</v>
      </c>
      <c r="F62" s="9" t="s">
        <v>149</v>
      </c>
      <c r="G62" s="9">
        <v>1</v>
      </c>
      <c r="H62" s="4"/>
      <c r="I62" s="5">
        <f t="shared" si="3"/>
        <v>37500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427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348</v>
      </c>
      <c r="B5" s="4" t="s">
        <v>349</v>
      </c>
      <c r="C5" t="s">
        <v>294</v>
      </c>
      <c r="D5" s="9"/>
      <c r="E5" s="10"/>
      <c r="F5" s="9" t="s">
        <v>292</v>
      </c>
      <c r="G5" s="5">
        <v>3000000</v>
      </c>
    </row>
    <row r="6" spans="1:7" x14ac:dyDescent="0.25">
      <c r="A6" t="s">
        <v>348</v>
      </c>
      <c r="B6" s="4" t="s">
        <v>296</v>
      </c>
      <c r="C6" t="s">
        <v>294</v>
      </c>
      <c r="D6" s="9"/>
      <c r="E6" s="10"/>
      <c r="F6" s="9" t="s">
        <v>292</v>
      </c>
      <c r="G6" s="5">
        <v>1000000</v>
      </c>
    </row>
    <row r="7" spans="1:7" x14ac:dyDescent="0.25">
      <c r="A7" t="s">
        <v>348</v>
      </c>
      <c r="B7" s="4" t="s">
        <v>397</v>
      </c>
      <c r="C7" t="s">
        <v>294</v>
      </c>
      <c r="D7" s="9"/>
      <c r="E7" s="10"/>
      <c r="F7" s="9" t="s">
        <v>292</v>
      </c>
      <c r="G7" s="5">
        <v>5100000</v>
      </c>
    </row>
    <row r="8" spans="1:7" ht="30" x14ac:dyDescent="0.25">
      <c r="A8" t="s">
        <v>348</v>
      </c>
      <c r="B8" s="4" t="s">
        <v>396</v>
      </c>
      <c r="C8" t="s">
        <v>294</v>
      </c>
      <c r="D8" s="9"/>
      <c r="E8" s="10"/>
      <c r="F8" s="9" t="s">
        <v>292</v>
      </c>
      <c r="G8" s="5">
        <v>15300000</v>
      </c>
    </row>
    <row r="9" spans="1:7" x14ac:dyDescent="0.25">
      <c r="A9" t="s">
        <v>348</v>
      </c>
      <c r="B9" s="4" t="s">
        <v>295</v>
      </c>
      <c r="C9" t="s">
        <v>294</v>
      </c>
      <c r="D9" s="9"/>
      <c r="E9" s="10"/>
      <c r="F9" s="9" t="s">
        <v>292</v>
      </c>
      <c r="G9" s="5">
        <v>7600000</v>
      </c>
    </row>
    <row r="10" spans="1:7" x14ac:dyDescent="0.25">
      <c r="A10" t="s">
        <v>348</v>
      </c>
      <c r="B10" s="4" t="s">
        <v>297</v>
      </c>
      <c r="C10" t="s">
        <v>294</v>
      </c>
      <c r="D10" s="9"/>
      <c r="E10" s="10"/>
      <c r="F10" s="9" t="s">
        <v>292</v>
      </c>
      <c r="G10" s="5">
        <v>26099369.755062401</v>
      </c>
    </row>
    <row r="11" spans="1:7" x14ac:dyDescent="0.25">
      <c r="A11" t="s">
        <v>348</v>
      </c>
      <c r="B11" s="4" t="s">
        <v>293</v>
      </c>
      <c r="C11" t="s">
        <v>294</v>
      </c>
      <c r="D11" s="9"/>
      <c r="E11" s="10"/>
      <c r="F11" s="9" t="s">
        <v>292</v>
      </c>
      <c r="G11" s="5">
        <v>15300000</v>
      </c>
    </row>
    <row r="12" spans="1:7" x14ac:dyDescent="0.25">
      <c r="G12" s="5"/>
    </row>
    <row r="13" spans="1:7" x14ac:dyDescent="0.25">
      <c r="B13" s="7" t="s">
        <v>428</v>
      </c>
      <c r="C13" s="7"/>
      <c r="D13" s="7"/>
      <c r="E13" s="7"/>
      <c r="F13" s="7"/>
      <c r="G13" s="6">
        <f>SUM(G5:G11)</f>
        <v>73399369.755062401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217</v>
      </c>
    </row>
    <row r="2" spans="1:7" x14ac:dyDescent="0.25">
      <c r="A2" t="s">
        <v>218</v>
      </c>
    </row>
    <row r="4" spans="1:7" s="7" customFormat="1" x14ac:dyDescent="0.25">
      <c r="A4" s="7" t="s">
        <v>219</v>
      </c>
      <c r="B4" s="7" t="s">
        <v>220</v>
      </c>
      <c r="C4" s="7" t="s">
        <v>94</v>
      </c>
      <c r="D4" s="7" t="s">
        <v>221</v>
      </c>
      <c r="E4" s="7" t="s">
        <v>95</v>
      </c>
      <c r="F4" s="7" t="s">
        <v>222</v>
      </c>
      <c r="G4" s="7" t="s">
        <v>97</v>
      </c>
    </row>
    <row r="5" spans="1:7" x14ac:dyDescent="0.25">
      <c r="A5" t="s">
        <v>223</v>
      </c>
      <c r="B5" t="s">
        <v>224</v>
      </c>
      <c r="C5" t="s">
        <v>225</v>
      </c>
      <c r="D5" s="13">
        <v>7</v>
      </c>
      <c r="E5" s="5">
        <v>3000</v>
      </c>
      <c r="F5" s="5">
        <f t="shared" ref="F5:F19" si="0">D5*E5</f>
        <v>21000</v>
      </c>
      <c r="G5" t="s">
        <v>379</v>
      </c>
    </row>
    <row r="6" spans="1:7" x14ac:dyDescent="0.25">
      <c r="A6" t="s">
        <v>223</v>
      </c>
      <c r="B6" t="s">
        <v>226</v>
      </c>
      <c r="C6" t="s">
        <v>225</v>
      </c>
      <c r="D6" s="13">
        <v>0.5</v>
      </c>
      <c r="E6" s="5">
        <v>6500</v>
      </c>
      <c r="F6" s="5">
        <f t="shared" si="0"/>
        <v>3250</v>
      </c>
      <c r="G6" t="s">
        <v>227</v>
      </c>
    </row>
    <row r="7" spans="1:7" x14ac:dyDescent="0.25">
      <c r="A7" t="s">
        <v>223</v>
      </c>
      <c r="B7" t="s">
        <v>228</v>
      </c>
      <c r="C7" t="s">
        <v>229</v>
      </c>
      <c r="D7" s="13">
        <v>1</v>
      </c>
      <c r="E7" s="5">
        <v>6000</v>
      </c>
      <c r="F7" s="5">
        <f t="shared" si="0"/>
        <v>6000</v>
      </c>
      <c r="G7" t="s">
        <v>230</v>
      </c>
    </row>
    <row r="8" spans="1:7" x14ac:dyDescent="0.25">
      <c r="A8" t="s">
        <v>223</v>
      </c>
      <c r="B8" t="s">
        <v>231</v>
      </c>
      <c r="C8" t="s">
        <v>104</v>
      </c>
      <c r="D8" s="13">
        <v>0.5</v>
      </c>
      <c r="E8" s="5">
        <v>5000</v>
      </c>
      <c r="F8" s="5">
        <f t="shared" si="0"/>
        <v>2500</v>
      </c>
      <c r="G8" t="s">
        <v>232</v>
      </c>
    </row>
    <row r="9" spans="1:7" x14ac:dyDescent="0.25">
      <c r="A9" t="s">
        <v>233</v>
      </c>
      <c r="B9" t="s">
        <v>234</v>
      </c>
      <c r="C9" t="s">
        <v>104</v>
      </c>
      <c r="D9" s="13">
        <v>20</v>
      </c>
      <c r="E9" s="5">
        <v>1200</v>
      </c>
      <c r="F9" s="5">
        <f t="shared" si="0"/>
        <v>24000</v>
      </c>
      <c r="G9" t="s">
        <v>235</v>
      </c>
    </row>
    <row r="10" spans="1:7" x14ac:dyDescent="0.25">
      <c r="A10" t="s">
        <v>233</v>
      </c>
      <c r="B10" t="s">
        <v>236</v>
      </c>
      <c r="C10" t="s">
        <v>104</v>
      </c>
      <c r="D10" s="13">
        <v>20</v>
      </c>
      <c r="E10" s="5">
        <v>900</v>
      </c>
      <c r="F10" s="5">
        <f t="shared" si="0"/>
        <v>18000</v>
      </c>
      <c r="G10" t="s">
        <v>235</v>
      </c>
    </row>
    <row r="11" spans="1:7" x14ac:dyDescent="0.25">
      <c r="A11" t="s">
        <v>233</v>
      </c>
      <c r="B11" t="s">
        <v>237</v>
      </c>
      <c r="C11" t="s">
        <v>104</v>
      </c>
      <c r="D11" s="13">
        <v>10</v>
      </c>
      <c r="E11" s="5">
        <v>1500</v>
      </c>
      <c r="F11" s="5">
        <f t="shared" si="0"/>
        <v>15000</v>
      </c>
      <c r="G11" t="s">
        <v>238</v>
      </c>
    </row>
    <row r="12" spans="1:7" x14ac:dyDescent="0.25">
      <c r="A12" t="s">
        <v>233</v>
      </c>
      <c r="B12" t="s">
        <v>239</v>
      </c>
      <c r="C12" t="s">
        <v>104</v>
      </c>
      <c r="D12" s="13">
        <v>0.5</v>
      </c>
      <c r="E12" s="5">
        <v>8000</v>
      </c>
      <c r="F12" s="5">
        <f t="shared" si="0"/>
        <v>4000</v>
      </c>
      <c r="G12" t="s">
        <v>240</v>
      </c>
    </row>
    <row r="13" spans="1:7" x14ac:dyDescent="0.25">
      <c r="A13" t="s">
        <v>233</v>
      </c>
      <c r="B13" t="s">
        <v>241</v>
      </c>
      <c r="C13" t="s">
        <v>104</v>
      </c>
      <c r="D13" s="13">
        <v>1</v>
      </c>
      <c r="E13" s="5">
        <v>10000</v>
      </c>
      <c r="F13" s="5">
        <f t="shared" si="0"/>
        <v>10000</v>
      </c>
      <c r="G13" t="s">
        <v>242</v>
      </c>
    </row>
    <row r="14" spans="1:7" x14ac:dyDescent="0.25">
      <c r="A14" t="s">
        <v>233</v>
      </c>
      <c r="B14" t="s">
        <v>243</v>
      </c>
      <c r="C14" t="s">
        <v>104</v>
      </c>
      <c r="D14" s="13">
        <v>0.5</v>
      </c>
      <c r="E14" s="5">
        <v>6000</v>
      </c>
      <c r="F14" s="5">
        <f t="shared" si="0"/>
        <v>3000</v>
      </c>
    </row>
    <row r="15" spans="1:7" x14ac:dyDescent="0.25">
      <c r="A15" t="s">
        <v>233</v>
      </c>
      <c r="B15" t="s">
        <v>244</v>
      </c>
      <c r="C15" t="s">
        <v>104</v>
      </c>
      <c r="D15" s="13">
        <v>1</v>
      </c>
      <c r="E15" s="5">
        <v>12000</v>
      </c>
      <c r="F15" s="5">
        <f t="shared" si="0"/>
        <v>12000</v>
      </c>
      <c r="G15" t="s">
        <v>245</v>
      </c>
    </row>
    <row r="16" spans="1:7" x14ac:dyDescent="0.25">
      <c r="A16" t="s">
        <v>233</v>
      </c>
      <c r="B16" t="s">
        <v>246</v>
      </c>
      <c r="C16" t="s">
        <v>104</v>
      </c>
      <c r="D16" s="13">
        <v>0.5</v>
      </c>
      <c r="E16" s="5">
        <v>8000</v>
      </c>
      <c r="F16" s="5">
        <f t="shared" si="0"/>
        <v>4000</v>
      </c>
      <c r="G16" t="s">
        <v>247</v>
      </c>
    </row>
    <row r="17" spans="1:7" x14ac:dyDescent="0.25">
      <c r="A17" t="s">
        <v>248</v>
      </c>
      <c r="B17" t="s">
        <v>249</v>
      </c>
      <c r="C17" t="s">
        <v>104</v>
      </c>
      <c r="D17" s="13">
        <v>0.2</v>
      </c>
      <c r="E17" s="5">
        <v>25000</v>
      </c>
      <c r="F17" s="5">
        <f t="shared" si="0"/>
        <v>5000</v>
      </c>
      <c r="G17" t="s">
        <v>250</v>
      </c>
    </row>
    <row r="18" spans="1:7" x14ac:dyDescent="0.25">
      <c r="A18" t="s">
        <v>248</v>
      </c>
      <c r="B18" t="s">
        <v>251</v>
      </c>
      <c r="C18" t="s">
        <v>104</v>
      </c>
      <c r="D18" s="13">
        <v>1</v>
      </c>
      <c r="E18" s="5">
        <v>35000</v>
      </c>
      <c r="F18" s="5">
        <f t="shared" si="0"/>
        <v>35000</v>
      </c>
      <c r="G18" t="s">
        <v>252</v>
      </c>
    </row>
    <row r="19" spans="1:7" x14ac:dyDescent="0.25">
      <c r="A19" t="s">
        <v>248</v>
      </c>
      <c r="B19" t="s">
        <v>253</v>
      </c>
      <c r="C19" t="s">
        <v>104</v>
      </c>
      <c r="D19" s="13">
        <v>0.2</v>
      </c>
      <c r="E19" s="5">
        <v>10000</v>
      </c>
      <c r="F19" s="5">
        <f t="shared" si="0"/>
        <v>2000</v>
      </c>
    </row>
    <row r="20" spans="1:7" s="7" customFormat="1" x14ac:dyDescent="0.25">
      <c r="B20" s="7" t="s">
        <v>254</v>
      </c>
      <c r="D20" s="32"/>
      <c r="E20" s="6"/>
      <c r="F20" s="6">
        <f>SUM(F5:F19)</f>
        <v>164750</v>
      </c>
    </row>
    <row r="21" spans="1:7" x14ac:dyDescent="0.25">
      <c r="B21" t="s">
        <v>255</v>
      </c>
      <c r="D21" s="5"/>
      <c r="E21" s="5"/>
      <c r="F21" s="5">
        <f>F20/20</f>
        <v>8237.5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160</v>
      </c>
    </row>
    <row r="2" spans="1:7" ht="15" customHeight="1" x14ac:dyDescent="0.25">
      <c r="A2" s="2" t="s">
        <v>161</v>
      </c>
    </row>
    <row r="4" spans="1:7" ht="27.75" customHeight="1" x14ac:dyDescent="0.25">
      <c r="A4" s="3" t="s">
        <v>66</v>
      </c>
      <c r="B4" s="3" t="s">
        <v>162</v>
      </c>
      <c r="C4" s="3" t="s">
        <v>163</v>
      </c>
      <c r="D4" s="3" t="s">
        <v>164</v>
      </c>
      <c r="E4" s="3" t="s">
        <v>72</v>
      </c>
      <c r="F4" s="3" t="s">
        <v>95</v>
      </c>
      <c r="G4" s="3" t="s">
        <v>165</v>
      </c>
    </row>
    <row r="5" spans="1:7" ht="15" customHeight="1" x14ac:dyDescent="0.25">
      <c r="A5" s="7" t="s">
        <v>166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167</v>
      </c>
      <c r="C6">
        <v>5659</v>
      </c>
      <c r="D6" t="s">
        <v>168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169</v>
      </c>
      <c r="C7">
        <v>2584</v>
      </c>
      <c r="D7" t="s">
        <v>170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171</v>
      </c>
      <c r="C8">
        <v>2534</v>
      </c>
      <c r="D8" t="s">
        <v>172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173</v>
      </c>
      <c r="C9">
        <v>6218</v>
      </c>
      <c r="D9" t="s">
        <v>170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174</v>
      </c>
      <c r="C10">
        <v>7045</v>
      </c>
      <c r="D10" t="s">
        <v>168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175</v>
      </c>
      <c r="C11">
        <v>4240</v>
      </c>
      <c r="D11" t="s">
        <v>170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176</v>
      </c>
      <c r="C12">
        <v>6976</v>
      </c>
      <c r="D12" t="s">
        <v>170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177</v>
      </c>
      <c r="C13">
        <v>5729</v>
      </c>
      <c r="D13" t="s">
        <v>170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178</v>
      </c>
      <c r="C14">
        <v>3288</v>
      </c>
      <c r="D14" t="s">
        <v>170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179</v>
      </c>
      <c r="C15">
        <v>1756</v>
      </c>
      <c r="D15" t="s">
        <v>170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180</v>
      </c>
      <c r="C16">
        <v>4400</v>
      </c>
      <c r="D16" t="s">
        <v>170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7"/>
      <c r="B17" s="7" t="s">
        <v>181</v>
      </c>
      <c r="C17" s="7"/>
      <c r="D17" s="7"/>
      <c r="E17" s="7"/>
      <c r="F17" s="6"/>
      <c r="G17" s="6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182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2.1</v>
      </c>
      <c r="B20" t="s">
        <v>183</v>
      </c>
      <c r="D20" t="s">
        <v>184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185</v>
      </c>
      <c r="D21" t="s">
        <v>184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186</v>
      </c>
      <c r="D22" t="s">
        <v>187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188</v>
      </c>
      <c r="D23" t="s">
        <v>189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190</v>
      </c>
      <c r="D24" t="s">
        <v>184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191</v>
      </c>
      <c r="D25" t="s">
        <v>184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7"/>
      <c r="B26" s="7" t="s">
        <v>192</v>
      </c>
      <c r="C26" s="7"/>
      <c r="D26" s="7"/>
      <c r="E26" s="7"/>
      <c r="F26" s="6"/>
      <c r="G26" s="6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7" t="s">
        <v>193</v>
      </c>
      <c r="B28" s="7"/>
      <c r="C28" s="7"/>
      <c r="D28" s="7"/>
      <c r="E28" s="7"/>
      <c r="F28" s="6"/>
      <c r="G28" s="6"/>
    </row>
    <row r="29" spans="1:7" ht="15" customHeight="1" x14ac:dyDescent="0.25">
      <c r="A29">
        <v>3.1</v>
      </c>
      <c r="B29" t="s">
        <v>194</v>
      </c>
      <c r="D29" t="s">
        <v>184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195</v>
      </c>
      <c r="D30" t="s">
        <v>196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197</v>
      </c>
      <c r="D31" t="s">
        <v>184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198</v>
      </c>
      <c r="D32" t="s">
        <v>184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7"/>
      <c r="B33" s="7" t="s">
        <v>199</v>
      </c>
      <c r="C33" s="7"/>
      <c r="D33" s="7"/>
      <c r="E33" s="7"/>
      <c r="F33" s="6"/>
      <c r="G33" s="6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1"/>
      <c r="B35" s="11" t="s">
        <v>200</v>
      </c>
      <c r="C35" s="11"/>
      <c r="D35" s="11"/>
      <c r="E35" s="11"/>
      <c r="F35" s="12"/>
      <c r="G35" s="12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41</vt:i4>
      </vt:variant>
    </vt:vector>
  </HeadingPairs>
  <TitlesOfParts>
    <vt:vector size="50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2026-10-12T09:00:01Z</dcterms:modified>
  <dc:language>en-US</dc:language>
</cp:coreProperties>
</file>