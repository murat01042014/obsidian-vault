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андировки" sheetId="4" r:id="rId5"/>
    <sheet name="Оснащение и офис" sheetId="5" r:id="rId6"/>
    <sheet name="Проекты" sheetId="8" r:id="rId7"/>
    <sheet name="Канцелярия" sheetId="7" r:id="rId8"/>
    <sheet name="Смета фото-видео" sheetId="6" r:id="rId9"/>
  </sheets>
  <definedNames>
    <definedName name="Авиа_межд">Параметры!$B$24</definedName>
    <definedName name="Авиа_РК">Параметры!$B$17</definedName>
    <definedName name="Аренда_депозит">Параметры!$B$47</definedName>
    <definedName name="Аренда_мес">Параметры!$B$31</definedName>
    <definedName name="Аренда_мес_2026">Параметры!$B$48</definedName>
    <definedName name="Аренда_с_НДС">Параметры!$B$46</definedName>
    <definedName name="Депозит_мес">Параметры!$B$32</definedName>
    <definedName name="Дней_межд">Параметры!$B$27</definedName>
    <definedName name="Дней_РК">Параметры!$B$20</definedName>
    <definedName name="Кап_ООСМС">Параметры!$B$11</definedName>
    <definedName name="Кап_СО">Параметры!$B$9</definedName>
    <definedName name="Коммун_мес">Параметры!$B$43</definedName>
    <definedName name="Курс">Параметры!$B$15</definedName>
    <definedName name="Мес_2026_новые">Параметры!$B$51</definedName>
    <definedName name="МЗП">Параметры!$B$4</definedName>
    <definedName name="МРП">Параметры!$B$5</definedName>
    <definedName name="НДС">Параметры!$B$34</definedName>
    <definedName name="Ночей_межд">Параметры!$B$28</definedName>
    <definedName name="Ночей_РК">Параметры!$B$21</definedName>
    <definedName name="ОСНС">Параметры!$B$14</definedName>
    <definedName name="Отель_межд">Параметры!$B$25</definedName>
    <definedName name="Отель_РК">Параметры!$B$18</definedName>
    <definedName name="Парковка_мест">Параметры!$B$44</definedName>
    <definedName name="Парковка_цена">Параметры!$B$45</definedName>
    <definedName name="Площадь_офиса">Параметры!$B$41</definedName>
    <definedName name="Поездка_межд">Параметры!$B$30</definedName>
    <definedName name="Поездка_местн">Параметры!$B$23</definedName>
    <definedName name="Поездка_РК">Параметры!$B$22</definedName>
    <definedName name="Резерв">Параметры!$B$33</definedName>
    <definedName name="Сборка_мебели_проц">Параметры!$B$50</definedName>
    <definedName name="Ставка_аренды_м2">Параметры!$B$42</definedName>
    <definedName name="Ставка_ВОСМС">Параметры!$B$13</definedName>
    <definedName name="Ставка_ООСМС">Параметры!$B$10</definedName>
    <definedName name="Ставка_ОПВ">Параметры!$B$12</definedName>
    <definedName name="Ставка_ОПВР">Параметры!$B$7</definedName>
    <definedName name="Ставка_СН">Параметры!$B$6</definedName>
    <definedName name="Ставка_СО">Параметры!$B$8</definedName>
    <definedName name="Страх_межд">Параметры!$B$29</definedName>
    <definedName name="Сут_межд">Параметры!$B$26</definedName>
    <definedName name="Сут_РК">Параметры!$B$16</definedName>
    <definedName name="Трансп_РК">Параметры!$B$19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9" i="7" l="1"/>
  <c r="F18" i="7"/>
  <c r="F17" i="7"/>
  <c r="F16" i="7"/>
  <c r="F15" i="7"/>
  <c r="F14" i="7"/>
  <c r="F20" i="7" s="1"/>
  <c r="E47" i="5" s="1"/>
  <c r="I47" i="5" s="1"/>
  <c r="B4" i="1" l="1"/>
  <c r="E36" i="5" l="1"/>
  <c r="I36" i="5" s="1"/>
  <c r="E30" i="5" l="1"/>
  <c r="E29" i="5"/>
  <c r="N29" i="3"/>
  <c r="N28" i="3"/>
  <c r="N24" i="3"/>
  <c r="N21" i="3"/>
  <c r="N20" i="3"/>
  <c r="N19" i="3"/>
  <c r="N16" i="3"/>
  <c r="E28" i="5" l="1"/>
  <c r="I28" i="5" s="1"/>
  <c r="B43" i="2"/>
  <c r="B41" i="2"/>
  <c r="E11" i="9" l="1"/>
  <c r="F10" i="9"/>
  <c r="G10" i="9" s="1"/>
  <c r="F9" i="9"/>
  <c r="G9" i="9" s="1"/>
  <c r="F8" i="9"/>
  <c r="G8" i="9" s="1"/>
  <c r="F7" i="9"/>
  <c r="G7" i="9" s="1"/>
  <c r="F6" i="9"/>
  <c r="G6" i="9" s="1"/>
  <c r="F5" i="9"/>
  <c r="G5" i="9" s="1"/>
  <c r="F4" i="9"/>
  <c r="F11" i="9" l="1"/>
  <c r="G4" i="9"/>
  <c r="G13" i="8"/>
  <c r="B21" i="1" s="1"/>
  <c r="G11" i="9" l="1"/>
  <c r="C11" i="4"/>
  <c r="C10" i="4"/>
  <c r="C9" i="4"/>
  <c r="C8" i="4"/>
  <c r="C7" i="4"/>
  <c r="A7" i="4"/>
  <c r="C6" i="4"/>
  <c r="A6" i="4"/>
  <c r="C5" i="4"/>
  <c r="A5" i="4"/>
  <c r="H31" i="3" l="1"/>
  <c r="G31" i="3"/>
  <c r="B5" i="1" s="1"/>
  <c r="E27" i="5" l="1"/>
  <c r="I27" i="5" s="1"/>
  <c r="E26" i="5"/>
  <c r="I26" i="5" s="1"/>
  <c r="E24" i="5"/>
  <c r="I30" i="5" l="1"/>
  <c r="E25" i="5" l="1"/>
  <c r="I25" i="5" s="1"/>
  <c r="I24" i="5"/>
  <c r="J15" i="3" l="1"/>
  <c r="K15" i="3" l="1"/>
  <c r="J20" i="3"/>
  <c r="J10" i="3"/>
  <c r="K20" i="3" l="1"/>
  <c r="K10" i="3"/>
  <c r="L7" i="3" l="1"/>
  <c r="L6" i="3"/>
  <c r="L5" i="3"/>
  <c r="F5" i="4" l="1"/>
  <c r="N5" i="3"/>
  <c r="F6" i="4"/>
  <c r="N6" i="3"/>
  <c r="N7" i="3"/>
  <c r="B48" i="2"/>
  <c r="B51" i="2" s="1"/>
  <c r="I9" i="9" l="1"/>
  <c r="J9" i="9" s="1"/>
  <c r="I7" i="9"/>
  <c r="J7" i="9" s="1"/>
  <c r="I5" i="9"/>
  <c r="J5" i="9" s="1"/>
  <c r="I4" i="9"/>
  <c r="J4" i="9" s="1"/>
  <c r="I10" i="9"/>
  <c r="J10" i="9" s="1"/>
  <c r="I8" i="9"/>
  <c r="J8" i="9" s="1"/>
  <c r="I6" i="9"/>
  <c r="J6" i="9" s="1"/>
  <c r="L15" i="3"/>
  <c r="L8" i="3"/>
  <c r="L20" i="3"/>
  <c r="L10" i="3"/>
  <c r="N10" i="3" s="1"/>
  <c r="L29" i="3"/>
  <c r="L25" i="3"/>
  <c r="L21" i="3"/>
  <c r="L16" i="3"/>
  <c r="L12" i="3"/>
  <c r="N12" i="3" s="1"/>
  <c r="L11" i="3"/>
  <c r="L28" i="3"/>
  <c r="L24" i="3"/>
  <c r="L19" i="3"/>
  <c r="L27" i="3"/>
  <c r="L23" i="3"/>
  <c r="N23" i="3" s="1"/>
  <c r="L18" i="3"/>
  <c r="N18" i="3" s="1"/>
  <c r="L14" i="3"/>
  <c r="N14" i="3" s="1"/>
  <c r="L9" i="3"/>
  <c r="L26" i="3"/>
  <c r="N26" i="3" s="1"/>
  <c r="L22" i="3"/>
  <c r="N22" i="3" s="1"/>
  <c r="L17" i="3"/>
  <c r="L13" i="3"/>
  <c r="N13" i="3" s="1"/>
  <c r="E23" i="5"/>
  <c r="I23" i="5" s="1"/>
  <c r="E22" i="5"/>
  <c r="I22" i="5" s="1"/>
  <c r="E21" i="5"/>
  <c r="I21" i="5" s="1"/>
  <c r="E20" i="5"/>
  <c r="I20" i="5" s="1"/>
  <c r="F8" i="4" l="1"/>
  <c r="N9" i="3"/>
  <c r="F7" i="4"/>
  <c r="N8" i="3"/>
  <c r="F11" i="4"/>
  <c r="N17" i="3"/>
  <c r="N27" i="3"/>
  <c r="F10" i="4"/>
  <c r="N15" i="3"/>
  <c r="F9" i="4"/>
  <c r="N11" i="3"/>
  <c r="N25" i="3"/>
  <c r="J11" i="9"/>
  <c r="B7" i="1" s="1"/>
  <c r="M15" i="3"/>
  <c r="M10" i="3"/>
  <c r="O10" i="3" s="1"/>
  <c r="M20" i="3"/>
  <c r="O20" i="3" s="1"/>
  <c r="E14" i="5"/>
  <c r="I13" i="5"/>
  <c r="O15" i="3" l="1"/>
  <c r="B31" i="2"/>
  <c r="I14" i="5" l="1"/>
  <c r="J29" i="3" l="1"/>
  <c r="J28" i="3"/>
  <c r="J27" i="3"/>
  <c r="J26" i="3"/>
  <c r="J25" i="3"/>
  <c r="J24" i="3"/>
  <c r="J23" i="3"/>
  <c r="K23" i="3" l="1"/>
  <c r="K24" i="3"/>
  <c r="K25" i="3"/>
  <c r="K26" i="3"/>
  <c r="K27" i="3"/>
  <c r="K28" i="3"/>
  <c r="K29" i="3"/>
  <c r="F10" i="7"/>
  <c r="F9" i="7"/>
  <c r="F8" i="7"/>
  <c r="F7" i="7"/>
  <c r="F6" i="7"/>
  <c r="F5" i="7"/>
  <c r="I19" i="5"/>
  <c r="I18" i="5"/>
  <c r="I17" i="5"/>
  <c r="B47" i="2"/>
  <c r="F11" i="7" l="1"/>
  <c r="E46" i="5" s="1"/>
  <c r="M26" i="3"/>
  <c r="O26" i="3" s="1"/>
  <c r="M25" i="3"/>
  <c r="O25" i="3" s="1"/>
  <c r="M29" i="3"/>
  <c r="O29" i="3" s="1"/>
  <c r="M28" i="3"/>
  <c r="O28" i="3" s="1"/>
  <c r="M24" i="3"/>
  <c r="O24" i="3" s="1"/>
  <c r="M27" i="3"/>
  <c r="O27" i="3" s="1"/>
  <c r="M23" i="3"/>
  <c r="O23" i="3" s="1"/>
  <c r="B46" i="2"/>
  <c r="G21" i="6"/>
  <c r="G20" i="6"/>
  <c r="G16" i="6"/>
  <c r="G12" i="6"/>
  <c r="G11" i="6"/>
  <c r="G10" i="6"/>
  <c r="G9" i="6"/>
  <c r="G8" i="6"/>
  <c r="G7" i="6"/>
  <c r="G6" i="6"/>
  <c r="I57" i="5"/>
  <c r="I56" i="5"/>
  <c r="I55" i="5"/>
  <c r="I54" i="5"/>
  <c r="I52" i="5"/>
  <c r="I51" i="5"/>
  <c r="I50" i="5"/>
  <c r="I49" i="5"/>
  <c r="I48" i="5"/>
  <c r="I45" i="5"/>
  <c r="I44" i="5"/>
  <c r="I43" i="5"/>
  <c r="I42" i="5"/>
  <c r="E41" i="5"/>
  <c r="I41" i="5" s="1"/>
  <c r="B13" i="1" s="1"/>
  <c r="E40" i="5"/>
  <c r="I39" i="5"/>
  <c r="I38" i="5"/>
  <c r="I37" i="5"/>
  <c r="I35" i="5"/>
  <c r="I33" i="5"/>
  <c r="I32" i="5"/>
  <c r="I31" i="5"/>
  <c r="I29" i="5"/>
  <c r="I16" i="5"/>
  <c r="I15" i="5"/>
  <c r="I12" i="5"/>
  <c r="I11" i="5"/>
  <c r="I10" i="5"/>
  <c r="I9" i="5"/>
  <c r="I8" i="5"/>
  <c r="I7" i="5"/>
  <c r="I6" i="5"/>
  <c r="I5" i="5"/>
  <c r="H30" i="3"/>
  <c r="H32" i="3" s="1"/>
  <c r="G30" i="3"/>
  <c r="G32" i="3" s="1"/>
  <c r="J22" i="3"/>
  <c r="J21" i="3"/>
  <c r="J19" i="3"/>
  <c r="J18" i="3"/>
  <c r="J17" i="3"/>
  <c r="J16" i="3"/>
  <c r="J14" i="3"/>
  <c r="J13" i="3"/>
  <c r="J12" i="3"/>
  <c r="J11" i="3"/>
  <c r="J9" i="3"/>
  <c r="J8" i="3"/>
  <c r="J7" i="3"/>
  <c r="J6" i="3"/>
  <c r="J5" i="3"/>
  <c r="B30" i="2"/>
  <c r="B23" i="2"/>
  <c r="B22" i="2"/>
  <c r="B16" i="1" l="1"/>
  <c r="B14" i="1"/>
  <c r="B15" i="1"/>
  <c r="G9" i="4"/>
  <c r="G8" i="4"/>
  <c r="G6" i="4"/>
  <c r="G5" i="4"/>
  <c r="G10" i="4"/>
  <c r="G11" i="4"/>
  <c r="G7" i="4"/>
  <c r="I40" i="5"/>
  <c r="I46" i="5"/>
  <c r="G22" i="6"/>
  <c r="G13" i="6"/>
  <c r="G17" i="6"/>
  <c r="K13" i="3"/>
  <c r="K16" i="3"/>
  <c r="K11" i="3"/>
  <c r="K14" i="3"/>
  <c r="K6" i="3"/>
  <c r="K9" i="3"/>
  <c r="K17" i="3"/>
  <c r="K19" i="3"/>
  <c r="K7" i="3"/>
  <c r="K21" i="3"/>
  <c r="K5" i="3"/>
  <c r="K8" i="3"/>
  <c r="K12" i="3"/>
  <c r="K18" i="3"/>
  <c r="K22" i="3"/>
  <c r="B12" i="1" l="1"/>
  <c r="B11" i="1"/>
  <c r="M7" i="3"/>
  <c r="O7" i="3" s="1"/>
  <c r="M6" i="3"/>
  <c r="O6" i="3" s="1"/>
  <c r="N30" i="3"/>
  <c r="B8" i="1" s="1"/>
  <c r="G24" i="6"/>
  <c r="E34" i="5" s="1"/>
  <c r="I34" i="5" s="1"/>
  <c r="B10" i="1" s="1"/>
  <c r="M12" i="3"/>
  <c r="O12" i="3" s="1"/>
  <c r="M19" i="3"/>
  <c r="O19" i="3" s="1"/>
  <c r="G12" i="4"/>
  <c r="B9" i="1" s="1"/>
  <c r="M22" i="3"/>
  <c r="O22" i="3" s="1"/>
  <c r="M16" i="3"/>
  <c r="O16" i="3" s="1"/>
  <c r="M21" i="3"/>
  <c r="O21" i="3" s="1"/>
  <c r="M11" i="3"/>
  <c r="O11" i="3" s="1"/>
  <c r="M9" i="3"/>
  <c r="O9" i="3" s="1"/>
  <c r="M18" i="3"/>
  <c r="O18" i="3" s="1"/>
  <c r="M8" i="3"/>
  <c r="O8" i="3" s="1"/>
  <c r="M17" i="3"/>
  <c r="O17" i="3" s="1"/>
  <c r="M13" i="3"/>
  <c r="O13" i="3" s="1"/>
  <c r="K30" i="3"/>
  <c r="M5" i="3"/>
  <c r="M14" i="3"/>
  <c r="O14" i="3" s="1"/>
  <c r="O5" i="3" l="1"/>
  <c r="B6" i="1"/>
  <c r="B17" i="1" s="1"/>
  <c r="M30" i="3"/>
  <c r="B18" i="1" l="1"/>
  <c r="B19" i="1" s="1"/>
  <c r="B20" i="1" s="1"/>
  <c r="B22" i="1" s="1"/>
  <c r="O30" i="3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6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3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<sst xmlns="http://schemas.openxmlformats.org/spreadsheetml/2006/main" count="718" uniqueCount="417">
  <si>
    <t>Статья</t>
  </si>
  <si>
    <t>Октябрь–декабрь 2026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</si>
  <si>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</si>
  <si>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</si>
  <si>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</si>
  <si>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</si>
  <si>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</si>
  <si>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</si>
  <si>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</si>
  <si>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</si>
  <si>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</si>
  <si>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</si>
  <si>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</si>
  <si>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</si>
  <si>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</si>
  <si>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</si>
  <si>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</si>
  <si>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</si>
  <si>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</si>
  <si>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</si>
  <si>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</si>
  <si>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</si>
  <si>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</si>
  <si>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</si>
  <si>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</si>
  <si>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</si>
  <si>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</si>
  <si>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</si>
  <si>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</si>
  <si>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</si>
  <si>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</si>
  <si>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</si>
  <si>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</si>
  <si>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</si>
  <si>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</si>
  <si>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</si>
  <si>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</si>
  <si>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</si>
  <si>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</si>
  <si>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</si>
  <si>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</si>
  <si>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</si>
  <si>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</si>
  <si>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</si>
  <si>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</si>
  <si>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</si>
  <si>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</si>
  <si>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</si>
  <si>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</si>
  <si>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</si>
  <si>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</si>
  <si>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</si>
  <si>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</si>
  <si>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</si>
  <si>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</si>
  <si>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</si>
  <si>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</si>
  <si>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</si>
  <si>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</si>
  <si>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</si>
  <si>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</si>
  <si>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</si>
  <si>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</si>
  <si>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</si>
  <si>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</si>
  <si>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</si>
  <si>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</si>
  <si>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</si>
  <si>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</si>
  <si>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</si>
  <si>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</si>
  <si>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</si>
  <si>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</si>
  <si>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</si>
  <si>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</si>
  <si>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</si>
  <si>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</si>
  <si>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</si>
  <si>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</si>
  <si>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</si>
  <si>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</si>
  <si>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</si>
  <si>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</si>
  <si>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</si>
  <si>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</si>
  <si>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</si>
  <si>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</si>
  <si>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</si>
  <si>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</si>
  <si>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</si>
  <si>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</si>
  <si>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</si>
  <si>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</si>
  <si>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</si>
  <si>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</si>
  <si>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</si>
  <si>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</si>
  <si>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</si>
  <si>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</si>
  <si>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</si>
  <si>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</si>
  <si>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</si>
  <si>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</si>
  <si>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</si>
  <si>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</si>
  <si>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новые сотрудники в офисе (рег. координаторы — удалённо)</t>
  </si>
  <si>
    <t>Рабочее место: стол, кресло, тумба</t>
  </si>
  <si>
    <t>место</t>
  </si>
  <si>
    <t>16 сотрудников в open space + 3 гостевых (продакшн-группа, координаторы в приезд)</t>
  </si>
  <si>
    <t>новый офис</t>
  </si>
  <si>
    <t>Переговорная: стол + 12 стульев</t>
  </si>
  <si>
    <t>Конференц-камера и спикерфон</t>
  </si>
  <si>
    <t>ВКС с акиматами и координаторами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</si>
  <si>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</si>
  <si>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</si>
  <si>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</si>
  <si>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</si>
  <si>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</si>
  <si>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</si>
  <si>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</si>
  <si>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</si>
  <si>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</si>
  <si>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</si>
  <si>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</si>
  <si>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</si>
  <si>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</si>
  <si>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</si>
  <si>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</si>
  <si>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</si>
  <si>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</si>
  <si>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</si>
  <si>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</si>
  <si>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</si>
  <si>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</si>
  <si>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</si>
  <si>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Zoom Pro (ВКС с регионами)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</si>
  <si>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</si>
  <si>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</si>
  <si>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</si>
  <si>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</si>
  <si>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</si>
  <si>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</si>
  <si>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</si>
  <si>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</si>
  <si>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</si>
  <si>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</si>
  <si>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</si>
  <si>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</si>
  <si>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</si>
  <si>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</si>
  <si>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</si>
  <si>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</si>
  <si>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</si>
  <si>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</si>
  <si>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</si>
  <si>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</si>
  <si>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</si>
  <si>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</si>
  <si>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</si>
  <si>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</si>
  <si>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</si>
  <si>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</si>
  <si>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</si>
  <si>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</si>
  <si>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</si>
  <si>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</si>
  <si>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</si>
  <si>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</si>
  <si>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</si>
  <si>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</si>
  <si>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</si>
  <si>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</si>
  <si>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</si>
  <si>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</si>
  <si>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</si>
  <si>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</si>
  <si>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</si>
  <si>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</si>
  <si>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</si>
  <si>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</si>
  <si>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</si>
  <si>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</si>
  <si>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</si>
  <si>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</si>
  <si>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</si>
  <si>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</si>
  <si>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</si>
  <si>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</si>
  <si>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</si>
  <si>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</si>
  <si>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</si>
  <si>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</si>
  <si>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</si>
  <si>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</si>
  <si>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</si>
  <si>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</si>
  <si>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</si>
  <si>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</si>
  <si>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</si>
  <si>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</si>
  <si>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</si>
  <si>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</si>
  <si>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</si>
  <si>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</si>
  <si>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</si>
  <si>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</si>
  <si>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</si>
  <si>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</si>
  <si>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</si>
  <si>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</si>
  <si>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</si>
  <si>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</si>
  <si>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Резерв на непредвиденные расходы (10%)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</si>
  <si>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</si>
  <si>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</si>
  <si>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</si>
  <si>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</si>
  <si>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</si>
  <si>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</si>
  <si>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</si>
  <si>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</si>
  <si>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</si>
  <si>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</si>
  <si>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</si>
  <si>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</si>
  <si>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 xml:space="preserve">     в т.ч. гарантийный депозит (1 месяц, возвратный)</t>
  </si>
  <si>
    <t>Стеллажи для складов и архивов (склад техники, архив документов, архив основного блока)</t>
  </si>
  <si>
    <t>Шкафы для документов и сейф</t>
  </si>
  <si>
    <t>Сейф офисный для документов и печатей входит в этот комплект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</si>
  <si>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</si>
  <si>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</si>
  <si>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</si>
  <si>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</si>
  <si>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Мес. 2026 (новые — с 21.10)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</si>
  <si>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</si>
  <si>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</si>
  <si>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</si>
  <si>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</si>
  <si>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</si>
  <si>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</si>
  <si>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</si>
  <si>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</si>
  <si>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</si>
  <si>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</si>
  <si>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</si>
  <si>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</si>
  <si>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</si>
  <si>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Разработка и техническое сопровождение цифровой платформы</t>
  </si>
  <si>
    <t>сумма</t>
  </si>
  <si>
    <t>Привлечение инфлюенсеров</t>
  </si>
  <si>
    <t>Реализация проекта «TAZA OI»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</si>
  <si>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</si>
  <si>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</si>
  <si>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</si>
  <si>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</si>
  <si>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</si>
  <si>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</si>
  <si>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</si>
  <si>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</si>
  <si>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</si>
  <si>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</si>
  <si>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[Тастан] Платформа TAZA.KZ, цифровой мониторинг, работа с подрядчиком платформы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</si>
  <si>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</si>
  <si>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</si>
  <si>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</si>
  <si>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</si>
  <si>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</si>
  <si>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[Жумабай] Фотосъёмка, короткие видео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</si>
  <si>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</si>
  <si>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</si>
  <si>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</si>
  <si>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</si>
  <si>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Дизайнер — аутсорс</t>
  </si>
  <si>
    <t>Менеджер по креаторам и креативным проектам — аутсорс</t>
  </si>
  <si>
    <t>Группа «Коммуникация и креатив» (4 чел.): съёмки и освещение мероприятий в регионах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</si>
  <si>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</si>
  <si>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</si>
  <si>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</si>
  <si>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</si>
  <si>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</si>
  <si>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</si>
  <si>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</si>
  <si>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</si>
  <si>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Парковка — 2 платных места (указание 30.09.2026)</t>
  </si>
  <si>
    <t>ЦАКФ — руководство Фонда</t>
  </si>
  <si>
    <t>Главный исполнительный директор (ГИД)</t>
  </si>
  <si>
    <t>Заместитель ГИД (стратегия, проекты)</t>
  </si>
  <si>
    <t>Национальный координатор проектного офиса</t>
  </si>
  <si>
    <t>Национальному координатору</t>
  </si>
  <si>
    <t>Заместителю ГИД (стратегия, проекты)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</si>
  <si>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</si>
  <si>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</si>
  <si>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</si>
  <si>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</si>
  <si>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Менеджер международных проектов</t>
  </si>
  <si>
    <t>Международные проекты Фонда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</si>
  <si>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</si>
  <si>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</si>
  <si>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</si>
  <si>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</si>
  <si>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</si>
  <si>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Реализация проекта «TAZA TALQY» (проведение встреч в регионах), в т.ч. круглые столы и семинары для акиматов</t>
  </si>
  <si>
    <t>Функции</t>
  </si>
  <si>
    <t>Ставка в мес. без НДС</t>
  </si>
  <si>
    <t>НДС 16%</t>
  </si>
  <si>
    <t>В мес. с НДС</t>
  </si>
  <si>
    <t>Юрист (МФЦА)</t>
  </si>
  <si>
    <t>Договоры и соглашения, право МФЦА, сопровождение закупок и кадровых документов</t>
  </si>
  <si>
    <t>Администратор (сис.админ)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</si>
  <si>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</si>
  <si>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</si>
  <si>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</si>
  <si>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</si>
  <si>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</si>
  <si>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</si>
  <si>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</si>
  <si>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</si>
  <si>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</si>
  <si>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Дизайнер</t>
  </si>
  <si>
    <t>Визуалы, инфографика, макеты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</si>
  <si>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</si>
  <si>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</si>
  <si>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</si>
  <si>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</si>
  <si>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</si>
  <si>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</si>
  <si>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Визуалы, инфографика, макеты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</si>
  <si>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</si>
  <si>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</si>
  <si>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</si>
  <si>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</si>
  <si>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</si>
  <si>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Мебель кабинетов руководства (ГИД, 2 заместителя, Нац.коорд., финдир)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</si>
  <si>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</si>
  <si>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</si>
  <si>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</si>
  <si>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</si>
  <si>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</si>
  <si>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</si>
  <si>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</si>
  <si>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</si>
  <si>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</si>
  <si>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</si>
  <si>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</si>
  <si>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</si>
  <si>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Мобильная стойка на колёсах для панели 32–75″ (AVA-1500)</t>
  </si>
  <si>
    <t>Панель – на передвижной стойке у стола совещаний. Kaspi.kz (Астана) на 10.10.2026 – 49 990 ₸ с НДС, в бюджете без НДС (÷1,16): https://kaspi.kz/shop/p/napol-naja-stoika-dlja-televizora-ava-1500-32-75-na-koljosikah-chjornaja-178402637/</t>
  </si>
  <si>
    <t>Информационное сопровождение, в т.ч. пресс-мероприятия, мобильный брендинг</t>
  </si>
  <si>
    <t>Реализация проектов, в т.ч. с молодёжью и волонтёрами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</si>
  <si>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</si>
  <si>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</si>
  <si>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</si>
  <si>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Департамент социологических исследований и аналитики (1 чел.)</t>
  </si>
  <si>
    <t>Департамент проектного управления и региональной координации (5 чел.)</t>
  </si>
  <si>
    <t>Командировки по РК на октябрь–декабрь 2026 года, ₸</t>
  </si>
  <si>
    <t>Старт (1 – октябрь, 2 – ноябрь, 3 – декабрь)</t>
  </si>
  <si>
    <t>ОСНС окт–дек 2026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</si>
  <si>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</si>
  <si>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</si>
  <si>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</si>
  <si>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</si>
  <si>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[Қаражан Е.Н.] Общее руководство Фондом и проектным офисом,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</si>
  <si>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[Кононец А.В.] Стратегия и портфель проектов Фонда, партнёрства; экспертная группа; курация проектного управления. Опыт: 20 лет в медиа и госкоммуникациях – руководитель пресс-службы, советник министра труда и социальной защиты, главный редактор Total.kz; в ЦАКФ с 07.2025.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</si>
  <si>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в ЦАКФ с 02.2025, член Управляющего совета.</t>
  </si>
  <si>
    <t>[Серикжанова А.] Руководство проектным офисом, календарь мероприятий, работа с акиматами и госорганами. Опыт: PhD по политологии.</t>
  </si>
  <si>
    <t>[Тленчиева Ш.] Исследования восприятия акции, опросы. Опыт: PhD по социологии.</t>
  </si>
  <si>
    <t>[Қуандық Ж.] Ведение проектов, координация регионов. Опыт: PhD-кандидат (государственное и местное управление); член Президентского молодёжного кадрового резерва.</t>
  </si>
  <si>
    <t>[Жандилдаев Б.] Координация регионов, взаимодействие с госорганами и общественными организациями. Опыт: магистр; управление проектами, региональная координация, взаимодействие с государственными и общественными организациями.</t>
  </si>
  <si>
    <t>[Шербаева Б.] Ведение проектов календаря, планы и отчёты, взаимодействие с акиматами. Опыт: магистр; управление республиканскими и региональными проектами.</t>
  </si>
  <si>
    <t>[Абенов А.] Аналитическое сопровождение проектов, методические материалы. Опыт: аналитическое сопровождение государственных программ, разработка методических материалов.</t>
  </si>
  <si>
    <t>[Сундетбай С.] Коммуникационная стратегия, медиаплан, работа со СМИ. Опыт: коммуникации, медиа и PR.</t>
  </si>
  <si>
    <t>[Талғат А.] Пресс-служба, тексты и материалы для СМИ. Опыт: PR- и контент-стратегии, управление брендами, digital-контент.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</si>
  <si>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</si>
  <si>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</si>
  <si>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</si>
  <si>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</si>
  <si>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</si>
  <si>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новые сотрудники (14) без 2 производительных; 4 действующих – со своей техникой; аутсорс – со своей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</si>
  <si>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</si>
  <si>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</si>
  <si>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</si>
  <si>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</si>
  <si>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Месяцев 2026 для новых сотрудников (зарплата, отчисления): приём одновременно с заездом в офис — с 21.10.2026, ≈2,35 мес. Действующие — 3 мес.</t>
  </si>
  <si>
    <t>Бюджет проектного офиса «Таза Қазақстан» (ЦАКФ) на октябрь–декабрь 2026 года, ₸</t>
  </si>
  <si>
    <t>Штатная численность, чел.</t>
  </si>
  <si>
    <t xml:space="preserve">  в т.ч. проектный офис «Таза Қазақстан», чел.</t>
  </si>
  <si>
    <t>1. Персонал: оклады и отчисления работодателя (СН, ОПВР, СО, ООСМС)</t>
  </si>
  <si>
    <t>2. Аутсорс-услуги: юрист МФЦА, сис.админ, разработчик, режиссёр, копирайтер, дизайнер, менеджер по креаторам (с НДС исполнителя)</t>
  </si>
  <si>
    <t>3. ОСНС штатных сотрудников</t>
  </si>
  <si>
    <t>4. Командировки по РК</t>
  </si>
  <si>
    <t>5. Оснащение (разово): ноутбуки, мебель, МФУ, интерактивная панель, ИБП, фото-видео, сеть</t>
  </si>
  <si>
    <t xml:space="preserve">     в т.ч. аренда офиса (БЦ «Сыганак», 7 этаж: 701–702 и зона 710), с 21.10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</si>
  <si>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</si>
  <si>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</si>
  <si>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</si>
  <si>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</si>
  <si>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</si>
  <si>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ВСЕГО (А + Б)</t>
  </si>
  <si>
    <t>2. Аккумуляторы</t>
  </si>
  <si>
    <t>Стойка ресепшн</t>
  </si>
  <si>
    <t>По 1 на рабочее место новых сотрудников (14) и 2 у стола совещаний. b2bcompany.kz на 30.09.2026 – 4 118 ₸ с НДС (код 9320), в бюджете без НДС (÷1,16)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</si>
  <si>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</si>
  <si>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</si>
  <si>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лист «Смета фото-видео»: камера, объектив 24-105, стабилизатор, микрофон, карта памяти, монопод, сумка, запасной аккумулятор, штатив, SSD</t>
  </si>
  <si>
    <t>Аптечки</t>
  </si>
  <si>
    <t>новые сотрудники 2026 года</t>
  </si>
  <si>
    <t>Нотариальные расходы (доверенности, засвидетельствование копий)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</si>
  <si>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</si>
  <si>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</si>
  <si>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9. Прочие: нотариальные расходы, страхование фото- и видеооборудования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</si>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</sst>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####"/>
    <numFmt numFmtId="165" formatCode="#,##0.0"/>
  </numFmts>
  <fonts count="5" x14ac:knownFonts="1">
    <font>
      <sz val="11"/>
      <color theme="1"/>
      <name val="Calibri"/>
      <family val="2"/>
      <charset val="204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3" fillId="0" borderId="0" xfId="0" applyNumberFormat="1" applyFont="1"/>
    <xf numFmtId="0" fontId="3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3" fillId="3" borderId="0" xfId="0" applyFont="1" applyFill="1"/>
    <xf numFmtId="3" fontId="3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3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3" fontId="3" fillId="0" borderId="1" xfId="0" applyNumberFormat="1" applyFont="1" applyBorder="1" applyAlignment="1">
      <alignment vertical="center"/>
    </xf>
    <xf numFmtId="165" fontId="3" fillId="0" borderId="0" xfId="0" applyNumberFormat="1" applyFont="1"/>
    <xf numFmtId="0" fontId="1" fillId="0" borderId="0" xfId="0" applyFont="1" applyAlignment="1">
      <alignment wrapText="1"/>
    </xf>
    <xf numFmtId="0" fontId="3" fillId="2" borderId="0" xfId="0" applyFont="1" applyFill="1" applyAlignment="1">
      <alignment horizontal="center" wrapText="1"/>
    </xf>
    <xf numFmtId="0" fontId="3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3" fontId="2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3" fontId="3" fillId="0" borderId="2" xfId="0" applyNumberFormat="1" applyFont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3" fontId="3" fillId="6" borderId="2" xfId="0" applyNumberFormat="1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3" fontId="3" fillId="7" borderId="2" xfId="0" applyNumberFormat="1" applyFont="1" applyFill="1" applyBorder="1" applyAlignment="1">
      <alignment vertical="center" wrapText="1"/>
    </xf>
    <xf numFmtId="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22"/>
  <sheetViews>
    <sheetView tabSelected="1" zoomScaleNormal="100" workbookViewId="0">
      <selection activeCell="K17" sqref="K17"/>
    </sheetView>
  </sheetViews>
  <sheetFormatPr defaultColWidth="8.7109375" defaultRowHeight="15" x14ac:dyDescent="0.25"/>
  <cols>
    <col min="1" max="1" width="80.7109375" style="4" customWidth="1"/>
    <col min="2" max="2" width="22.7109375" style="4" customWidth="1"/>
    <col min="3" max="4" width="17.7109375" style="4" customWidth="1"/>
    <col min="5" max="16384" width="8.7109375" style="4"/>
  </cols>
  <sheetData>
    <row r="1" spans="1:2" ht="34.5" x14ac:dyDescent="0.3">
      <c r="A1" s="33" t="s">
        <v>383</v>
      </c>
    </row>
    <row r="3" spans="1:2" x14ac:dyDescent="0.25">
      <c r="A3" s="35" t="s">
        <v>0</v>
      </c>
      <c r="B3" s="35" t="s">
        <v>1</v>
      </c>
    </row>
    <row r="4" spans="1:2" x14ac:dyDescent="0.25">
      <c r="A4" s="36" t="s">
        <v>384</v>
      </c>
      <c r="B4" s="37">
        <f>SUMIF(Штат!E5:E29,"штат",Штат!G5:G29)</f>
        <v>18</v>
      </c>
    </row>
    <row r="5" spans="1:2" x14ac:dyDescent="0.25">
      <c r="A5" s="36" t="s">
        <v>385</v>
      </c>
      <c r="B5" s="37">
        <f>Штат!G31</f>
        <v>12</v>
      </c>
    </row>
    <row r="6" spans="1:2" x14ac:dyDescent="0.25">
      <c r="A6" s="36" t="s">
        <v>386</v>
      </c>
      <c r="B6" s="38">
        <f>SUMIFS(Штат!M5:M29,Штат!E5:E29,"штат")</f>
        <v>58691747.741935484</v>
      </c>
    </row>
    <row r="7" spans="1:2" ht="30" x14ac:dyDescent="0.25">
      <c r="A7" s="36" t="s">
        <v>387</v>
      </c>
      <c r="B7" s="38">
        <f>Аутсорс!J11</f>
        <v>14567354.838709679</v>
      </c>
    </row>
    <row r="8" spans="1:2" x14ac:dyDescent="0.25">
      <c r="A8" s="36" t="s">
        <v>388</v>
      </c>
      <c r="B8" s="38">
        <f>Штат!N30</f>
        <v>104924.73118279572</v>
      </c>
    </row>
    <row r="9" spans="1:2" x14ac:dyDescent="0.25">
      <c r="A9" s="36" t="s">
        <v>389</v>
      </c>
      <c r="B9" s="38">
        <f>Командировки!G12</f>
        <v>3783804.032258065</v>
      </c>
    </row>
    <row r="10" spans="1:2" ht="30" x14ac:dyDescent="0.25">
      <c r="A10" s="36" t="s">
        <v>390</v>
      </c>
      <c r="B10" s="38">
        <f>SUMIFS('Оснащение и офис'!I5:I57,'Оснащение и офис'!A5:A57,"Оснащение")</f>
        <v>29170035</v>
      </c>
    </row>
    <row r="11" spans="1:2" ht="30" x14ac:dyDescent="0.25">
      <c r="A11" s="36" t="s">
        <v>408</v>
      </c>
      <c r="B11" s="38">
        <f>SUMIFS('Оснащение и офис'!I5:I57,'Оснащение и офис'!A5:A57,"Офис")</f>
        <v>17530038.496774193</v>
      </c>
    </row>
    <row r="12" spans="1:2" x14ac:dyDescent="0.25">
      <c r="A12" s="39" t="s">
        <v>391</v>
      </c>
      <c r="B12" s="40">
        <f>'Оснащение и офис'!I40</f>
        <v>11560261.396774193</v>
      </c>
    </row>
    <row r="13" spans="1:2" x14ac:dyDescent="0.25">
      <c r="A13" s="39" t="s">
        <v>225</v>
      </c>
      <c r="B13" s="40">
        <f>'Оснащение и офис'!I41</f>
        <v>4909152.0999999996</v>
      </c>
    </row>
    <row r="14" spans="1:2" x14ac:dyDescent="0.25">
      <c r="A14" s="36" t="s">
        <v>392</v>
      </c>
      <c r="B14" s="38">
        <f>SUMIFS('Оснащение и офис'!I5:I57,'Оснащение и офис'!A5:A57,"Цифровые")</f>
        <v>589500</v>
      </c>
    </row>
    <row r="15" spans="1:2" x14ac:dyDescent="0.25">
      <c r="A15" s="36" t="s">
        <v>393</v>
      </c>
      <c r="B15" s="38">
        <f>SUMIFS('Оснащение и офис'!I5:I57,'Оснащение и офис'!A5:A57,"Медиа")</f>
        <v>2525000</v>
      </c>
    </row>
    <row r="16" spans="1:2" x14ac:dyDescent="0.25">
      <c r="A16" s="36" t="s">
        <v>409</v>
      </c>
      <c r="B16" s="38">
        <f>SUMIFS('Оснащение и офис'!I5:I57,'Оснащение и офис'!A5:A57,"Прочие")</f>
        <v>75000</v>
      </c>
    </row>
    <row r="17" spans="1:2" x14ac:dyDescent="0.25">
      <c r="A17" s="41" t="s">
        <v>394</v>
      </c>
      <c r="B17" s="42">
        <f>B6+B7+B8+B9+B10+B11+B14+B15+B16</f>
        <v>127037404.84086022</v>
      </c>
    </row>
    <row r="18" spans="1:2" x14ac:dyDescent="0.25">
      <c r="A18" s="36" t="s">
        <v>212</v>
      </c>
      <c r="B18" s="38">
        <f>B17*Резерв</f>
        <v>12703740.484086022</v>
      </c>
    </row>
    <row r="19" spans="1:2" x14ac:dyDescent="0.25">
      <c r="A19" s="36" t="s">
        <v>304</v>
      </c>
      <c r="B19" s="38">
        <f>(B17+B18)*НДС</f>
        <v>22358583.251991395</v>
      </c>
    </row>
    <row r="20" spans="1:2" x14ac:dyDescent="0.25">
      <c r="A20" s="43" t="s">
        <v>395</v>
      </c>
      <c r="B20" s="44">
        <f>B17+B18+B19</f>
        <v>162099728.57693762</v>
      </c>
    </row>
    <row r="21" spans="1:2" x14ac:dyDescent="0.25">
      <c r="A21" s="41" t="s">
        <v>396</v>
      </c>
      <c r="B21" s="42">
        <f>Проекты!G13</f>
        <v>87900271.420000002</v>
      </c>
    </row>
    <row r="22" spans="1:2" x14ac:dyDescent="0.25">
      <c r="A22" s="45" t="s">
        <v>397</v>
      </c>
      <c r="B22" s="46">
        <f>B20+B21</f>
        <v>249999999.99693763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1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2</v>
      </c>
    </row>
    <row r="2" spans="1:3" ht="15" customHeight="1" x14ac:dyDescent="0.25">
      <c r="A2" s="2"/>
    </row>
    <row r="3" spans="1:3" ht="15" customHeight="1" x14ac:dyDescent="0.25">
      <c r="A3" s="7" t="s">
        <v>3</v>
      </c>
      <c r="B3" s="7" t="s">
        <v>4</v>
      </c>
      <c r="C3" s="7" t="s">
        <v>5</v>
      </c>
    </row>
    <row r="4" spans="1:3" ht="15" customHeight="1" x14ac:dyDescent="0.25">
      <c r="A4" t="s">
        <v>6</v>
      </c>
      <c r="B4" s="8">
        <v>85000</v>
      </c>
      <c r="C4" t="s">
        <v>7</v>
      </c>
    </row>
    <row r="5" spans="1:3" ht="15" customHeight="1" x14ac:dyDescent="0.25">
      <c r="A5" t="s">
        <v>8</v>
      </c>
      <c r="B5" s="8">
        <v>4325</v>
      </c>
      <c r="C5" t="s">
        <v>9</v>
      </c>
    </row>
    <row r="6" spans="1:3" ht="15" customHeight="1" x14ac:dyDescent="0.25">
      <c r="A6" t="s">
        <v>10</v>
      </c>
      <c r="B6" s="8">
        <v>0.06</v>
      </c>
      <c r="C6" t="s">
        <v>11</v>
      </c>
    </row>
    <row r="7" spans="1:3" ht="15" customHeight="1" x14ac:dyDescent="0.25">
      <c r="A7" t="s">
        <v>12</v>
      </c>
      <c r="B7" s="8">
        <v>3.5000000000000003E-2</v>
      </c>
      <c r="C7" t="s">
        <v>13</v>
      </c>
    </row>
    <row r="8" spans="1:3" ht="15" customHeight="1" x14ac:dyDescent="0.25">
      <c r="A8" t="s">
        <v>14</v>
      </c>
      <c r="B8" s="8">
        <v>0.05</v>
      </c>
      <c r="C8" t="s">
        <v>15</v>
      </c>
    </row>
    <row r="9" spans="1:3" ht="15" customHeight="1" x14ac:dyDescent="0.25">
      <c r="A9" t="s">
        <v>16</v>
      </c>
      <c r="B9" s="8">
        <v>7</v>
      </c>
      <c r="C9" t="s">
        <v>17</v>
      </c>
    </row>
    <row r="10" spans="1:3" ht="15" customHeight="1" x14ac:dyDescent="0.25">
      <c r="A10" t="s">
        <v>18</v>
      </c>
      <c r="B10" s="8">
        <v>0.03</v>
      </c>
      <c r="C10" t="s">
        <v>19</v>
      </c>
    </row>
    <row r="11" spans="1:3" ht="15" customHeight="1" x14ac:dyDescent="0.25">
      <c r="A11" t="s">
        <v>20</v>
      </c>
      <c r="B11" s="8">
        <v>40</v>
      </c>
      <c r="C11" t="s">
        <v>21</v>
      </c>
    </row>
    <row r="12" spans="1:3" ht="15" customHeight="1" x14ac:dyDescent="0.25">
      <c r="A12" t="s">
        <v>22</v>
      </c>
      <c r="B12" s="8">
        <v>0.1</v>
      </c>
      <c r="C12" t="s">
        <v>23</v>
      </c>
    </row>
    <row r="13" spans="1:3" ht="15" customHeight="1" x14ac:dyDescent="0.25">
      <c r="A13" t="s">
        <v>24</v>
      </c>
      <c r="B13" s="8">
        <v>0.02</v>
      </c>
      <c r="C13" t="s">
        <v>25</v>
      </c>
    </row>
    <row r="14" spans="1:3" ht="15" customHeight="1" x14ac:dyDescent="0.25">
      <c r="A14" t="s">
        <v>26</v>
      </c>
      <c r="B14" s="8">
        <v>28000</v>
      </c>
      <c r="C14" t="s">
        <v>27</v>
      </c>
    </row>
    <row r="15" spans="1:3" ht="15" customHeight="1" x14ac:dyDescent="0.25">
      <c r="A15" t="s">
        <v>28</v>
      </c>
      <c r="B15" s="8">
        <v>530</v>
      </c>
      <c r="C15" t="s">
        <v>29</v>
      </c>
    </row>
    <row r="16" spans="1:3" ht="15" customHeight="1" x14ac:dyDescent="0.25">
      <c r="A16" t="s">
        <v>30</v>
      </c>
      <c r="B16" s="8">
        <v>2</v>
      </c>
      <c r="C16" t="s">
        <v>31</v>
      </c>
    </row>
    <row r="17" spans="1:3" ht="15" customHeight="1" x14ac:dyDescent="0.25">
      <c r="A17" t="s">
        <v>32</v>
      </c>
      <c r="B17" s="8">
        <v>90000</v>
      </c>
      <c r="C17" t="s">
        <v>33</v>
      </c>
    </row>
    <row r="18" spans="1:3" ht="15" customHeight="1" x14ac:dyDescent="0.25">
      <c r="A18" t="s">
        <v>34</v>
      </c>
      <c r="B18" s="8">
        <v>30000</v>
      </c>
      <c r="C18" t="s">
        <v>35</v>
      </c>
    </row>
    <row r="19" spans="1:3" ht="15" customHeight="1" x14ac:dyDescent="0.25">
      <c r="A19" t="s">
        <v>36</v>
      </c>
      <c r="B19" s="8">
        <v>15000</v>
      </c>
      <c r="C19" t="s">
        <v>37</v>
      </c>
    </row>
    <row r="20" spans="1:3" ht="15" customHeight="1" x14ac:dyDescent="0.25">
      <c r="A20" t="s">
        <v>38</v>
      </c>
      <c r="B20" s="8">
        <v>3</v>
      </c>
      <c r="C20" t="s">
        <v>39</v>
      </c>
    </row>
    <row r="21" spans="1:3" ht="15" customHeight="1" x14ac:dyDescent="0.25">
      <c r="A21" t="s">
        <v>40</v>
      </c>
      <c r="B21" s="8">
        <v>2</v>
      </c>
      <c r="C21" t="s">
        <v>41</v>
      </c>
    </row>
    <row r="22" spans="1:3" ht="15" customHeight="1" x14ac:dyDescent="0.25">
      <c r="A22" t="s">
        <v>42</v>
      </c>
      <c r="B22" s="8">
        <f>Авиа_РК+Отель_РК*Ночей_РК+Сут_РК*МРП*Дней_РК+Трансп_РК</f>
        <v>190950</v>
      </c>
      <c r="C22" t="s">
        <v>43</v>
      </c>
    </row>
    <row r="23" spans="1:3" ht="15" customHeight="1" x14ac:dyDescent="0.25">
      <c r="A23" t="s">
        <v>44</v>
      </c>
      <c r="B23" s="8">
        <f>Трансп_РК+Сут_РК*МРП</f>
        <v>23650</v>
      </c>
      <c r="C23" t="s">
        <v>45</v>
      </c>
    </row>
    <row r="24" spans="1:3" ht="15" customHeight="1" x14ac:dyDescent="0.25">
      <c r="A24" t="s">
        <v>46</v>
      </c>
      <c r="B24" s="8">
        <v>900</v>
      </c>
      <c r="C24" t="s">
        <v>47</v>
      </c>
    </row>
    <row r="25" spans="1:3" ht="15" customHeight="1" x14ac:dyDescent="0.25">
      <c r="A25" t="s">
        <v>48</v>
      </c>
      <c r="B25" s="8">
        <v>150</v>
      </c>
      <c r="C25" t="s">
        <v>49</v>
      </c>
    </row>
    <row r="26" spans="1:3" ht="15" customHeight="1" x14ac:dyDescent="0.25">
      <c r="A26" t="s">
        <v>50</v>
      </c>
      <c r="B26" s="8">
        <v>150</v>
      </c>
      <c r="C26" t="s">
        <v>51</v>
      </c>
    </row>
    <row r="27" spans="1:3" ht="15" customHeight="1" x14ac:dyDescent="0.25">
      <c r="A27" t="s">
        <v>52</v>
      </c>
      <c r="B27" s="8">
        <v>5</v>
      </c>
      <c r="C27" t="s">
        <v>53</v>
      </c>
    </row>
    <row r="28" spans="1:3" ht="15" customHeight="1" x14ac:dyDescent="0.25">
      <c r="A28" t="s">
        <v>54</v>
      </c>
      <c r="B28" s="8">
        <v>4</v>
      </c>
      <c r="C28" t="s">
        <v>55</v>
      </c>
    </row>
    <row r="29" spans="1:3" ht="15" customHeight="1" x14ac:dyDescent="0.25">
      <c r="A29" t="s">
        <v>56</v>
      </c>
      <c r="B29" s="8">
        <v>50</v>
      </c>
      <c r="C29" t="s">
        <v>57</v>
      </c>
    </row>
    <row r="30" spans="1:3" ht="15" customHeight="1" x14ac:dyDescent="0.25">
      <c r="A30" t="s">
        <v>58</v>
      </c>
      <c r="B30" s="8">
        <f>(Авиа_межд+Отель_межд*Ночей_межд+Сут_межд*Дней_межд+Страх_межд)*Курс</f>
        <v>1219000</v>
      </c>
      <c r="C30" t="s">
        <v>59</v>
      </c>
    </row>
    <row r="31" spans="1:3" ht="15" customHeight="1" x14ac:dyDescent="0.25">
      <c r="A31" t="s">
        <v>60</v>
      </c>
      <c r="B31" s="8">
        <f>Площадь_офиса*Ставка_аренды_м2+Коммун_мес+Парковка_мест*Парковка_цена</f>
        <v>4909152.0999999996</v>
      </c>
      <c r="C31" t="s">
        <v>338</v>
      </c>
    </row>
    <row r="32" spans="1:3" ht="15" customHeight="1" x14ac:dyDescent="0.25">
      <c r="A32" t="s">
        <v>61</v>
      </c>
      <c r="B32" s="8">
        <v>1</v>
      </c>
      <c r="C32" t="s">
        <v>234</v>
      </c>
    </row>
    <row r="33" spans="1:3" ht="15" customHeight="1" x14ac:dyDescent="0.25">
      <c r="A33" t="s">
        <v>62</v>
      </c>
      <c r="B33" s="8">
        <v>0.1</v>
      </c>
      <c r="C33" t="s">
        <v>63</v>
      </c>
    </row>
    <row r="34" spans="1:3" ht="15" customHeight="1" x14ac:dyDescent="0.25">
      <c r="A34" t="s">
        <v>64</v>
      </c>
      <c r="B34" s="8">
        <v>0.16</v>
      </c>
      <c r="C34" t="s">
        <v>65</v>
      </c>
    </row>
    <row r="36" spans="1:3" ht="15" customHeight="1" x14ac:dyDescent="0.25">
      <c r="A36" t="s">
        <v>380</v>
      </c>
    </row>
    <row r="37" spans="1:3" ht="15" customHeight="1" x14ac:dyDescent="0.25">
      <c r="A37" t="s">
        <v>381</v>
      </c>
    </row>
    <row r="40" spans="1:3" s="7" customFormat="1" x14ac:dyDescent="0.25">
      <c r="A40" s="7" t="s">
        <v>335</v>
      </c>
    </row>
    <row r="41" spans="1:3" x14ac:dyDescent="0.25">
      <c r="A41" t="s">
        <v>166</v>
      </c>
      <c r="B41" s="13">
        <f>ROUND((52.2+21.4+12.4+33.7+190)*1.1,2)</f>
        <v>340.67</v>
      </c>
      <c r="C41" t="s">
        <v>336</v>
      </c>
    </row>
    <row r="42" spans="1:3" x14ac:dyDescent="0.25">
      <c r="A42" t="s">
        <v>167</v>
      </c>
      <c r="B42" s="5">
        <v>13500</v>
      </c>
      <c r="C42" t="s">
        <v>333</v>
      </c>
    </row>
    <row r="43" spans="1:3" x14ac:dyDescent="0.25">
      <c r="A43" t="s">
        <v>219</v>
      </c>
      <c r="B43" s="5">
        <f>743*309.7</f>
        <v>230107.1</v>
      </c>
      <c r="C43" t="s">
        <v>337</v>
      </c>
    </row>
    <row r="44" spans="1:3" x14ac:dyDescent="0.25">
      <c r="A44" t="s">
        <v>168</v>
      </c>
      <c r="B44" s="5">
        <v>2</v>
      </c>
      <c r="C44" t="s">
        <v>283</v>
      </c>
    </row>
    <row r="45" spans="1:3" x14ac:dyDescent="0.25">
      <c r="A45" t="s">
        <v>169</v>
      </c>
      <c r="B45" s="5">
        <v>40000</v>
      </c>
      <c r="C45" t="s">
        <v>334</v>
      </c>
    </row>
    <row r="46" spans="1:3" x14ac:dyDescent="0.25">
      <c r="A46" t="s">
        <v>170</v>
      </c>
      <c r="B46" s="5">
        <f>Аренда_мес*(1+НДС)</f>
        <v>5694616.4359999988</v>
      </c>
      <c r="C46" t="s">
        <v>171</v>
      </c>
    </row>
    <row r="47" spans="1:3" x14ac:dyDescent="0.25">
      <c r="A47" t="s">
        <v>172</v>
      </c>
      <c r="B47" s="5">
        <f>Аренда_мес*Депозит_мес</f>
        <v>4909152.0999999996</v>
      </c>
      <c r="C47" t="s">
        <v>173</v>
      </c>
    </row>
    <row r="48" spans="1:3" x14ac:dyDescent="0.25">
      <c r="A48" t="s">
        <v>230</v>
      </c>
      <c r="B48" s="15">
        <f>11/31+2</f>
        <v>2.3548387096774195</v>
      </c>
      <c r="C48" t="s">
        <v>231</v>
      </c>
    </row>
    <row r="49" spans="1:3" x14ac:dyDescent="0.25">
      <c r="A49" s="7" t="s">
        <v>220</v>
      </c>
    </row>
    <row r="50" spans="1:3" x14ac:dyDescent="0.25">
      <c r="A50" t="s">
        <v>221</v>
      </c>
      <c r="B50" s="14">
        <v>0.1</v>
      </c>
      <c r="C50" t="s">
        <v>222</v>
      </c>
    </row>
    <row r="51" spans="1:3" x14ac:dyDescent="0.25">
      <c r="A51" t="s">
        <v>232</v>
      </c>
      <c r="B51" s="15">
        <f>Аренда_мес_2026</f>
        <v>2.3548387096774195</v>
      </c>
      <c r="C51" t="s">
        <v>382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32"/>
  <sheetViews>
    <sheetView topLeftCell="A19" zoomScaleNormal="100" workbookViewId="0">
      <selection activeCell="N42" sqref="N42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</cols>
  <sheetData>
    <row r="1" spans="1:17" ht="15.75" customHeight="1" x14ac:dyDescent="0.3">
      <c r="A1" s="1" t="s">
        <v>298</v>
      </c>
    </row>
    <row r="2" spans="1:17" ht="15" customHeight="1" x14ac:dyDescent="0.25">
      <c r="A2" s="2"/>
    </row>
    <row r="4" spans="1:17" ht="57.75" customHeight="1" x14ac:dyDescent="0.25">
      <c r="A4" s="3" t="s">
        <v>66</v>
      </c>
      <c r="B4" s="3" t="s">
        <v>67</v>
      </c>
      <c r="C4" s="3" t="s">
        <v>68</v>
      </c>
      <c r="D4" s="3" t="s">
        <v>69</v>
      </c>
      <c r="E4" s="3" t="s">
        <v>70</v>
      </c>
      <c r="F4" s="3" t="s">
        <v>71</v>
      </c>
      <c r="G4" s="3" t="s">
        <v>72</v>
      </c>
      <c r="H4" s="3" t="s">
        <v>73</v>
      </c>
      <c r="I4" s="3" t="s">
        <v>355</v>
      </c>
      <c r="J4" s="3" t="s">
        <v>74</v>
      </c>
      <c r="K4" s="3" t="s">
        <v>75</v>
      </c>
      <c r="L4" s="3" t="s">
        <v>233</v>
      </c>
      <c r="M4" s="3" t="s">
        <v>77</v>
      </c>
      <c r="N4" s="3" t="s">
        <v>356</v>
      </c>
      <c r="O4" s="3" t="s">
        <v>78</v>
      </c>
      <c r="P4" s="3" t="s">
        <v>357</v>
      </c>
      <c r="Q4" s="4"/>
    </row>
    <row r="5" spans="1:17" ht="75" x14ac:dyDescent="0.25">
      <c r="A5" s="16">
        <v>1</v>
      </c>
      <c r="B5" s="16" t="s">
        <v>284</v>
      </c>
      <c r="C5" s="17" t="s">
        <v>285</v>
      </c>
      <c r="D5" s="17" t="s">
        <v>79</v>
      </c>
      <c r="E5" s="16" t="s">
        <v>80</v>
      </c>
      <c r="F5" s="16" t="s">
        <v>81</v>
      </c>
      <c r="G5" s="16">
        <v>1</v>
      </c>
      <c r="H5" s="18">
        <v>1600000</v>
      </c>
      <c r="I5" s="16">
        <v>1</v>
      </c>
      <c r="J5" s="18">
        <f t="shared" ref="J5:J22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2" si="1">G5*(H5+J5)</f>
        <v>1818230</v>
      </c>
      <c r="L5" s="19">
        <f t="shared" ref="L5:L29" si="2">IF(AND(F5="новая",I5=1),Мес_2026_новые,MAX(0,4-I5))</f>
        <v>3</v>
      </c>
      <c r="M5" s="18">
        <f t="shared" ref="M5:M29" si="3">K5*L5</f>
        <v>5454690</v>
      </c>
      <c r="N5" s="18">
        <f t="shared" ref="N5:N29" si="4">IF(E5="штат",ОСНС*G5*L5/12,0)</f>
        <v>7000</v>
      </c>
      <c r="O5" s="18">
        <f t="shared" ref="O5:O29" si="5">M5+N5</f>
        <v>5461690</v>
      </c>
      <c r="P5" s="17" t="s">
        <v>361</v>
      </c>
    </row>
    <row r="6" spans="1:17" ht="60" x14ac:dyDescent="0.25">
      <c r="A6" s="16">
        <v>2</v>
      </c>
      <c r="B6" s="16" t="s">
        <v>284</v>
      </c>
      <c r="C6" s="17" t="s">
        <v>286</v>
      </c>
      <c r="D6" s="17" t="s">
        <v>82</v>
      </c>
      <c r="E6" s="16" t="s">
        <v>80</v>
      </c>
      <c r="F6" s="16" t="s">
        <v>81</v>
      </c>
      <c r="G6" s="16">
        <v>1</v>
      </c>
      <c r="H6" s="18">
        <v>1400000</v>
      </c>
      <c r="I6" s="16">
        <v>1</v>
      </c>
      <c r="J6" s="18">
        <f t="shared" si="0"/>
        <v>194670</v>
      </c>
      <c r="K6" s="18">
        <f t="shared" si="1"/>
        <v>1594670</v>
      </c>
      <c r="L6" s="19">
        <f t="shared" si="2"/>
        <v>3</v>
      </c>
      <c r="M6" s="18">
        <f t="shared" si="3"/>
        <v>4784010</v>
      </c>
      <c r="N6" s="18">
        <f t="shared" si="4"/>
        <v>7000</v>
      </c>
      <c r="O6" s="18">
        <f t="shared" si="5"/>
        <v>4791010</v>
      </c>
      <c r="P6" s="17" t="s">
        <v>362</v>
      </c>
    </row>
    <row r="7" spans="1:17" ht="75" x14ac:dyDescent="0.25">
      <c r="A7" s="16">
        <v>3</v>
      </c>
      <c r="B7" s="16" t="s">
        <v>284</v>
      </c>
      <c r="C7" s="17" t="s">
        <v>275</v>
      </c>
      <c r="D7" s="17" t="s">
        <v>82</v>
      </c>
      <c r="E7" s="16" t="s">
        <v>80</v>
      </c>
      <c r="F7" s="16" t="s">
        <v>81</v>
      </c>
      <c r="G7" s="16">
        <v>1</v>
      </c>
      <c r="H7" s="18">
        <v>1400000</v>
      </c>
      <c r="I7" s="16">
        <v>1</v>
      </c>
      <c r="J7" s="18">
        <f t="shared" si="0"/>
        <v>194670</v>
      </c>
      <c r="K7" s="18">
        <f t="shared" si="1"/>
        <v>1594670</v>
      </c>
      <c r="L7" s="19">
        <f t="shared" si="2"/>
        <v>3</v>
      </c>
      <c r="M7" s="18">
        <f t="shared" si="3"/>
        <v>4784010</v>
      </c>
      <c r="N7" s="18">
        <f t="shared" si="4"/>
        <v>7000</v>
      </c>
      <c r="O7" s="18">
        <f t="shared" si="5"/>
        <v>4791010</v>
      </c>
      <c r="P7" s="17" t="s">
        <v>363</v>
      </c>
    </row>
    <row r="8" spans="1:17" ht="30" x14ac:dyDescent="0.25">
      <c r="A8" s="16">
        <v>4</v>
      </c>
      <c r="B8" s="16" t="s">
        <v>216</v>
      </c>
      <c r="C8" s="17" t="s">
        <v>287</v>
      </c>
      <c r="D8" s="17" t="s">
        <v>82</v>
      </c>
      <c r="E8" s="16" t="s">
        <v>80</v>
      </c>
      <c r="F8" s="16" t="s">
        <v>83</v>
      </c>
      <c r="G8" s="16">
        <v>1</v>
      </c>
      <c r="H8" s="18">
        <v>1400000</v>
      </c>
      <c r="I8" s="16">
        <v>1</v>
      </c>
      <c r="J8" s="18">
        <f t="shared" si="0"/>
        <v>194670</v>
      </c>
      <c r="K8" s="18">
        <f t="shared" si="1"/>
        <v>1594670</v>
      </c>
      <c r="L8" s="19">
        <f t="shared" si="2"/>
        <v>2.3548387096774195</v>
      </c>
      <c r="M8" s="18">
        <f t="shared" si="3"/>
        <v>3755190.6451612907</v>
      </c>
      <c r="N8" s="18">
        <f t="shared" si="4"/>
        <v>5494.6236559139788</v>
      </c>
      <c r="O8" s="18">
        <f t="shared" si="5"/>
        <v>3760685.2688172045</v>
      </c>
      <c r="P8" s="17" t="s">
        <v>364</v>
      </c>
    </row>
    <row r="9" spans="1:17" ht="30" x14ac:dyDescent="0.25">
      <c r="A9" s="16">
        <v>6</v>
      </c>
      <c r="B9" s="16" t="s">
        <v>252</v>
      </c>
      <c r="C9" s="17" t="s">
        <v>254</v>
      </c>
      <c r="D9" s="17" t="s">
        <v>255</v>
      </c>
      <c r="E9" s="16" t="s">
        <v>80</v>
      </c>
      <c r="F9" s="16" t="s">
        <v>83</v>
      </c>
      <c r="G9" s="16">
        <v>1</v>
      </c>
      <c r="H9" s="18">
        <v>1000000</v>
      </c>
      <c r="I9" s="16">
        <v>1</v>
      </c>
      <c r="J9" s="18">
        <f t="shared" si="0"/>
        <v>147550</v>
      </c>
      <c r="K9" s="18">
        <f t="shared" si="1"/>
        <v>1147550</v>
      </c>
      <c r="L9" s="19">
        <f t="shared" si="2"/>
        <v>2.3548387096774195</v>
      </c>
      <c r="M9" s="18">
        <f t="shared" si="3"/>
        <v>2702295.1612903229</v>
      </c>
      <c r="N9" s="18">
        <f t="shared" si="4"/>
        <v>5494.6236559139788</v>
      </c>
      <c r="O9" s="18">
        <f t="shared" si="5"/>
        <v>2707789.7849462368</v>
      </c>
      <c r="P9" s="17" t="s">
        <v>365</v>
      </c>
    </row>
    <row r="10" spans="1:17" ht="30" x14ac:dyDescent="0.25">
      <c r="A10" s="16">
        <v>14</v>
      </c>
      <c r="B10" s="16" t="s">
        <v>256</v>
      </c>
      <c r="C10" s="17" t="s">
        <v>290</v>
      </c>
      <c r="D10" s="17" t="s">
        <v>258</v>
      </c>
      <c r="E10" s="16" t="s">
        <v>80</v>
      </c>
      <c r="F10" s="16" t="s">
        <v>83</v>
      </c>
      <c r="G10" s="16">
        <v>1</v>
      </c>
      <c r="H10" s="18">
        <v>1100000</v>
      </c>
      <c r="I10" s="16">
        <v>1</v>
      </c>
      <c r="J10" s="18">
        <f t="shared" ref="J10" si="6">IF(E10="штат",ROUND(Ставка_СН*H10*(1-Ставка_ОПВ-Ставка_ВОСМС)+Ставка_ОПВР*H10+Ставка_СО*MIN(H10*(1-Ставка_ОПВ),Кап_СО*МЗП)+Ставка_ООСМС*MIN(H10,Кап_ООСМС*МЗП),0),ROUND(H10*НДС,0))</f>
        <v>159330</v>
      </c>
      <c r="K10" s="18">
        <f t="shared" ref="K10" si="7">G10*(H10+J10)</f>
        <v>1259330</v>
      </c>
      <c r="L10" s="19">
        <f t="shared" ref="L10" si="8">IF(AND(F10="новая",I10=1),Мес_2026_новые,MAX(0,4-I10))</f>
        <v>2.3548387096774195</v>
      </c>
      <c r="M10" s="18">
        <f t="shared" si="3"/>
        <v>2965519.0322580645</v>
      </c>
      <c r="N10" s="18">
        <f t="shared" si="4"/>
        <v>5494.6236559139788</v>
      </c>
      <c r="O10" s="18">
        <f t="shared" si="5"/>
        <v>2971013.6559139783</v>
      </c>
      <c r="P10" s="17" t="s">
        <v>291</v>
      </c>
    </row>
    <row r="11" spans="1:17" ht="45" x14ac:dyDescent="0.25">
      <c r="A11" s="16">
        <v>15</v>
      </c>
      <c r="B11" s="16" t="s">
        <v>256</v>
      </c>
      <c r="C11" s="17" t="s">
        <v>257</v>
      </c>
      <c r="D11" s="17" t="s">
        <v>258</v>
      </c>
      <c r="E11" s="16" t="s">
        <v>80</v>
      </c>
      <c r="F11" s="16" t="s">
        <v>83</v>
      </c>
      <c r="G11" s="16">
        <v>1</v>
      </c>
      <c r="H11" s="18">
        <v>1000000</v>
      </c>
      <c r="I11" s="16">
        <v>1</v>
      </c>
      <c r="J11" s="18">
        <f t="shared" si="0"/>
        <v>147550</v>
      </c>
      <c r="K11" s="18">
        <f t="shared" si="1"/>
        <v>1147550</v>
      </c>
      <c r="L11" s="19">
        <f t="shared" si="2"/>
        <v>2.3548387096774195</v>
      </c>
      <c r="M11" s="18">
        <f t="shared" si="3"/>
        <v>2702295.1612903229</v>
      </c>
      <c r="N11" s="18">
        <f t="shared" si="4"/>
        <v>5494.6236559139788</v>
      </c>
      <c r="O11" s="18">
        <f t="shared" si="5"/>
        <v>2707789.7849462368</v>
      </c>
      <c r="P11" s="17" t="s">
        <v>366</v>
      </c>
    </row>
    <row r="12" spans="1:17" ht="60" x14ac:dyDescent="0.25">
      <c r="A12" s="16">
        <v>17</v>
      </c>
      <c r="B12" s="16" t="s">
        <v>256</v>
      </c>
      <c r="C12" s="17" t="s">
        <v>257</v>
      </c>
      <c r="D12" s="17" t="s">
        <v>258</v>
      </c>
      <c r="E12" s="16" t="s">
        <v>80</v>
      </c>
      <c r="F12" s="16" t="s">
        <v>83</v>
      </c>
      <c r="G12" s="16">
        <v>1</v>
      </c>
      <c r="H12" s="18">
        <v>1000000</v>
      </c>
      <c r="I12" s="16">
        <v>1</v>
      </c>
      <c r="J12" s="18">
        <f t="shared" si="0"/>
        <v>147550</v>
      </c>
      <c r="K12" s="18">
        <f t="shared" si="1"/>
        <v>1147550</v>
      </c>
      <c r="L12" s="19">
        <f t="shared" si="2"/>
        <v>2.3548387096774195</v>
      </c>
      <c r="M12" s="18">
        <f t="shared" si="3"/>
        <v>2702295.1612903229</v>
      </c>
      <c r="N12" s="18">
        <f t="shared" si="4"/>
        <v>5494.6236559139788</v>
      </c>
      <c r="O12" s="18">
        <f t="shared" si="5"/>
        <v>2707789.7849462368</v>
      </c>
      <c r="P12" s="17" t="s">
        <v>367</v>
      </c>
    </row>
    <row r="13" spans="1:17" ht="45" x14ac:dyDescent="0.25">
      <c r="A13" s="16">
        <v>18</v>
      </c>
      <c r="B13" s="16" t="s">
        <v>256</v>
      </c>
      <c r="C13" s="17" t="s">
        <v>259</v>
      </c>
      <c r="D13" s="17" t="s">
        <v>258</v>
      </c>
      <c r="E13" s="16" t="s">
        <v>80</v>
      </c>
      <c r="F13" s="16" t="s">
        <v>83</v>
      </c>
      <c r="G13" s="16">
        <v>1</v>
      </c>
      <c r="H13" s="18">
        <v>1000000</v>
      </c>
      <c r="I13" s="16">
        <v>1</v>
      </c>
      <c r="J13" s="18">
        <f t="shared" si="0"/>
        <v>147550</v>
      </c>
      <c r="K13" s="18">
        <f t="shared" si="1"/>
        <v>1147550</v>
      </c>
      <c r="L13" s="19">
        <f t="shared" si="2"/>
        <v>2.3548387096774195</v>
      </c>
      <c r="M13" s="18">
        <f t="shared" si="3"/>
        <v>2702295.1612903229</v>
      </c>
      <c r="N13" s="18">
        <f t="shared" si="4"/>
        <v>5494.6236559139788</v>
      </c>
      <c r="O13" s="18">
        <f t="shared" si="5"/>
        <v>2707789.7849462368</v>
      </c>
      <c r="P13" s="17" t="s">
        <v>368</v>
      </c>
    </row>
    <row r="14" spans="1:17" ht="45" x14ac:dyDescent="0.25">
      <c r="A14" s="16">
        <v>19</v>
      </c>
      <c r="B14" s="16" t="s">
        <v>256</v>
      </c>
      <c r="C14" s="17" t="s">
        <v>259</v>
      </c>
      <c r="D14" s="17" t="s">
        <v>258</v>
      </c>
      <c r="E14" s="16" t="s">
        <v>80</v>
      </c>
      <c r="F14" s="16" t="s">
        <v>83</v>
      </c>
      <c r="G14" s="16">
        <v>1</v>
      </c>
      <c r="H14" s="18">
        <v>700000</v>
      </c>
      <c r="I14" s="16">
        <v>1</v>
      </c>
      <c r="J14" s="18">
        <f t="shared" si="0"/>
        <v>112210</v>
      </c>
      <c r="K14" s="18">
        <f t="shared" si="1"/>
        <v>812210</v>
      </c>
      <c r="L14" s="19">
        <f t="shared" si="2"/>
        <v>2.3548387096774195</v>
      </c>
      <c r="M14" s="18">
        <f t="shared" si="3"/>
        <v>1912623.548387097</v>
      </c>
      <c r="N14" s="18">
        <f t="shared" si="4"/>
        <v>5494.6236559139788</v>
      </c>
      <c r="O14" s="18">
        <f t="shared" si="5"/>
        <v>1918118.1720430108</v>
      </c>
      <c r="P14" s="17" t="s">
        <v>369</v>
      </c>
    </row>
    <row r="15" spans="1:17" ht="30" x14ac:dyDescent="0.25">
      <c r="A15" s="16">
        <v>23</v>
      </c>
      <c r="B15" s="16" t="s">
        <v>260</v>
      </c>
      <c r="C15" s="17" t="s">
        <v>253</v>
      </c>
      <c r="D15" s="17" t="s">
        <v>288</v>
      </c>
      <c r="E15" s="16" t="s">
        <v>80</v>
      </c>
      <c r="F15" s="16" t="s">
        <v>83</v>
      </c>
      <c r="G15" s="16">
        <v>1</v>
      </c>
      <c r="H15" s="18">
        <v>1300000</v>
      </c>
      <c r="I15" s="16">
        <v>1</v>
      </c>
      <c r="J15" s="18">
        <f t="shared" ref="J15" si="9">IF(E15="штат",ROUND(Ставка_СН*H15*(1-Ставка_ОПВ-Ставка_ВОСМС)+Ставка_ОПВР*H15+Ставка_СО*MIN(H15*(1-Ставка_ОПВ),Кап_СО*МЗП)+Ставка_ООСМС*MIN(H15,Кап_ООСМС*МЗП),0),ROUND(H15*НДС,0))</f>
        <v>182890</v>
      </c>
      <c r="K15" s="18">
        <f t="shared" ref="K15" si="10">G15*(H15+J15)</f>
        <v>1482890</v>
      </c>
      <c r="L15" s="19">
        <f t="shared" ref="L15" si="11">IF(AND(F15="новая",I15=1),Мес_2026_новые,MAX(0,4-I15))</f>
        <v>2.3548387096774195</v>
      </c>
      <c r="M15" s="18">
        <f t="shared" si="3"/>
        <v>3491966.7741935486</v>
      </c>
      <c r="N15" s="18">
        <f t="shared" si="4"/>
        <v>5494.6236559139788</v>
      </c>
      <c r="O15" s="18">
        <f t="shared" si="5"/>
        <v>3497461.3978494625</v>
      </c>
      <c r="P15" s="17" t="s">
        <v>261</v>
      </c>
    </row>
    <row r="16" spans="1:17" ht="30" x14ac:dyDescent="0.25">
      <c r="A16" s="20">
        <v>24</v>
      </c>
      <c r="B16" s="20" t="s">
        <v>260</v>
      </c>
      <c r="C16" s="21" t="s">
        <v>292</v>
      </c>
      <c r="D16" s="21" t="s">
        <v>255</v>
      </c>
      <c r="E16" s="20" t="s">
        <v>262</v>
      </c>
      <c r="F16" s="20" t="s">
        <v>83</v>
      </c>
      <c r="G16" s="20">
        <v>0</v>
      </c>
      <c r="H16" s="22">
        <v>1000000</v>
      </c>
      <c r="I16" s="20">
        <v>1</v>
      </c>
      <c r="J16" s="22">
        <f t="shared" si="0"/>
        <v>160000</v>
      </c>
      <c r="K16" s="22">
        <f t="shared" si="1"/>
        <v>0</v>
      </c>
      <c r="L16" s="23">
        <f t="shared" si="2"/>
        <v>2.3548387096774195</v>
      </c>
      <c r="M16" s="22">
        <f t="shared" si="3"/>
        <v>0</v>
      </c>
      <c r="N16" s="22">
        <f t="shared" si="4"/>
        <v>0</v>
      </c>
      <c r="O16" s="22">
        <f t="shared" si="5"/>
        <v>0</v>
      </c>
      <c r="P16" s="21" t="s">
        <v>323</v>
      </c>
    </row>
    <row r="17" spans="1:16" ht="30" x14ac:dyDescent="0.25">
      <c r="A17" s="16">
        <v>25</v>
      </c>
      <c r="B17" s="16" t="s">
        <v>263</v>
      </c>
      <c r="C17" s="17" t="s">
        <v>264</v>
      </c>
      <c r="D17" s="17" t="s">
        <v>288</v>
      </c>
      <c r="E17" s="16" t="s">
        <v>80</v>
      </c>
      <c r="F17" s="16" t="s">
        <v>83</v>
      </c>
      <c r="G17" s="16">
        <v>1</v>
      </c>
      <c r="H17" s="18">
        <v>1300000</v>
      </c>
      <c r="I17" s="16">
        <v>1</v>
      </c>
      <c r="J17" s="18">
        <f t="shared" si="0"/>
        <v>182890</v>
      </c>
      <c r="K17" s="18">
        <f t="shared" si="1"/>
        <v>1482890</v>
      </c>
      <c r="L17" s="19">
        <f t="shared" si="2"/>
        <v>2.3548387096774195</v>
      </c>
      <c r="M17" s="18">
        <f t="shared" si="3"/>
        <v>3491966.7741935486</v>
      </c>
      <c r="N17" s="18">
        <f t="shared" si="4"/>
        <v>5494.6236559139788</v>
      </c>
      <c r="O17" s="18">
        <f t="shared" si="5"/>
        <v>3497461.3978494625</v>
      </c>
      <c r="P17" s="17" t="s">
        <v>370</v>
      </c>
    </row>
    <row r="18" spans="1:16" ht="30" x14ac:dyDescent="0.25">
      <c r="A18" s="16">
        <v>26</v>
      </c>
      <c r="B18" s="16" t="s">
        <v>263</v>
      </c>
      <c r="C18" s="17" t="s">
        <v>265</v>
      </c>
      <c r="D18" s="17" t="s">
        <v>217</v>
      </c>
      <c r="E18" s="16" t="s">
        <v>80</v>
      </c>
      <c r="F18" s="16" t="s">
        <v>83</v>
      </c>
      <c r="G18" s="16">
        <v>1</v>
      </c>
      <c r="H18" s="18">
        <v>1000000</v>
      </c>
      <c r="I18" s="16">
        <v>1</v>
      </c>
      <c r="J18" s="18">
        <f t="shared" si="0"/>
        <v>147550</v>
      </c>
      <c r="K18" s="18">
        <f t="shared" si="1"/>
        <v>1147550</v>
      </c>
      <c r="L18" s="19">
        <f t="shared" si="2"/>
        <v>2.3548387096774195</v>
      </c>
      <c r="M18" s="18">
        <f t="shared" si="3"/>
        <v>2702295.1612903229</v>
      </c>
      <c r="N18" s="18">
        <f t="shared" si="4"/>
        <v>5494.6236559139788</v>
      </c>
      <c r="O18" s="18">
        <f t="shared" si="5"/>
        <v>2707789.7849462368</v>
      </c>
      <c r="P18" s="17" t="s">
        <v>371</v>
      </c>
    </row>
    <row r="19" spans="1:16" x14ac:dyDescent="0.25">
      <c r="A19" s="20">
        <v>27</v>
      </c>
      <c r="B19" s="20" t="s">
        <v>263</v>
      </c>
      <c r="C19" s="21" t="s">
        <v>270</v>
      </c>
      <c r="D19" s="21" t="s">
        <v>217</v>
      </c>
      <c r="E19" s="20" t="s">
        <v>262</v>
      </c>
      <c r="F19" s="20" t="s">
        <v>83</v>
      </c>
      <c r="G19" s="20">
        <v>0</v>
      </c>
      <c r="H19" s="22">
        <v>1000000</v>
      </c>
      <c r="I19" s="20">
        <v>2</v>
      </c>
      <c r="J19" s="22">
        <f t="shared" si="0"/>
        <v>160000</v>
      </c>
      <c r="K19" s="22">
        <f t="shared" si="1"/>
        <v>0</v>
      </c>
      <c r="L19" s="23">
        <f t="shared" si="2"/>
        <v>2</v>
      </c>
      <c r="M19" s="22">
        <f t="shared" si="3"/>
        <v>0</v>
      </c>
      <c r="N19" s="22">
        <f t="shared" si="4"/>
        <v>0</v>
      </c>
      <c r="O19" s="22">
        <f t="shared" si="5"/>
        <v>0</v>
      </c>
      <c r="P19" s="21" t="s">
        <v>324</v>
      </c>
    </row>
    <row r="20" spans="1:16" x14ac:dyDescent="0.25">
      <c r="A20" s="20">
        <v>28</v>
      </c>
      <c r="B20" s="20" t="s">
        <v>263</v>
      </c>
      <c r="C20" s="21" t="s">
        <v>271</v>
      </c>
      <c r="D20" s="21" t="s">
        <v>217</v>
      </c>
      <c r="E20" s="20" t="s">
        <v>262</v>
      </c>
      <c r="F20" s="20" t="s">
        <v>83</v>
      </c>
      <c r="G20" s="20">
        <v>0</v>
      </c>
      <c r="H20" s="22">
        <v>700000</v>
      </c>
      <c r="I20" s="20">
        <v>2</v>
      </c>
      <c r="J20" s="22">
        <f t="shared" ref="J20" si="12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112000</v>
      </c>
      <c r="K20" s="22">
        <f t="shared" ref="K20" si="13">G20*(H20+J20)</f>
        <v>0</v>
      </c>
      <c r="L20" s="23">
        <f t="shared" ref="L20" si="14">IF(AND(F20="новая",I20=1),Мес_2026_новые,MAX(0,4-I20))</f>
        <v>2</v>
      </c>
      <c r="M20" s="22">
        <f t="shared" si="3"/>
        <v>0</v>
      </c>
      <c r="N20" s="22">
        <f t="shared" si="4"/>
        <v>0</v>
      </c>
      <c r="O20" s="22">
        <f t="shared" si="5"/>
        <v>0</v>
      </c>
      <c r="P20" s="21" t="s">
        <v>325</v>
      </c>
    </row>
    <row r="21" spans="1:16" x14ac:dyDescent="0.25">
      <c r="A21" s="20">
        <v>29</v>
      </c>
      <c r="B21" s="20" t="s">
        <v>263</v>
      </c>
      <c r="C21" s="21" t="s">
        <v>272</v>
      </c>
      <c r="D21" s="21" t="s">
        <v>217</v>
      </c>
      <c r="E21" s="20" t="s">
        <v>262</v>
      </c>
      <c r="F21" s="20" t="s">
        <v>83</v>
      </c>
      <c r="G21" s="20">
        <v>0</v>
      </c>
      <c r="H21" s="22">
        <v>700000</v>
      </c>
      <c r="I21" s="20">
        <v>2</v>
      </c>
      <c r="J21" s="22">
        <f t="shared" si="0"/>
        <v>112000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326</v>
      </c>
    </row>
    <row r="22" spans="1:16" x14ac:dyDescent="0.25">
      <c r="A22" s="16">
        <v>30</v>
      </c>
      <c r="B22" s="16" t="s">
        <v>263</v>
      </c>
      <c r="C22" s="17" t="s">
        <v>266</v>
      </c>
      <c r="D22" s="17" t="s">
        <v>217</v>
      </c>
      <c r="E22" s="16" t="s">
        <v>80</v>
      </c>
      <c r="F22" s="16" t="s">
        <v>83</v>
      </c>
      <c r="G22" s="16">
        <v>1</v>
      </c>
      <c r="H22" s="18">
        <v>1000000</v>
      </c>
      <c r="I22" s="16">
        <v>1</v>
      </c>
      <c r="J22" s="18">
        <f t="shared" si="0"/>
        <v>147550</v>
      </c>
      <c r="K22" s="18">
        <f t="shared" si="1"/>
        <v>1147550</v>
      </c>
      <c r="L22" s="19">
        <f t="shared" si="2"/>
        <v>2.3548387096774195</v>
      </c>
      <c r="M22" s="18">
        <f t="shared" si="3"/>
        <v>2702295.1612903229</v>
      </c>
      <c r="N22" s="18">
        <f t="shared" si="4"/>
        <v>5494.6236559139788</v>
      </c>
      <c r="O22" s="18">
        <f t="shared" si="5"/>
        <v>2707789.7849462368</v>
      </c>
      <c r="P22" s="17" t="s">
        <v>267</v>
      </c>
    </row>
    <row r="23" spans="1:16" x14ac:dyDescent="0.25">
      <c r="A23" s="16">
        <v>31</v>
      </c>
      <c r="B23" s="16" t="s">
        <v>263</v>
      </c>
      <c r="C23" s="17" t="s">
        <v>268</v>
      </c>
      <c r="D23" s="17" t="s">
        <v>217</v>
      </c>
      <c r="E23" s="16" t="s">
        <v>80</v>
      </c>
      <c r="F23" s="16" t="s">
        <v>83</v>
      </c>
      <c r="G23" s="16">
        <v>1</v>
      </c>
      <c r="H23" s="18">
        <v>700000</v>
      </c>
      <c r="I23" s="16">
        <v>1</v>
      </c>
      <c r="J23" s="18">
        <f t="shared" ref="J23:J29" si="15">IF(E23="штат",ROUND(Ставка_СН*H23*(1-Ставка_ОПВ-Ставка_ВОСМС)+Ставка_ОПВР*H23+Ставка_СО*MIN(H23*(1-Ставка_ОПВ),Кап_СО*МЗП)+Ставка_ООСМС*MIN(H23,Кап_ООСМС*МЗП),0),ROUND(H23*НДС,0))</f>
        <v>112210</v>
      </c>
      <c r="K23" s="18">
        <f t="shared" ref="K23:K29" si="16">G23*(H23+J23)</f>
        <v>812210</v>
      </c>
      <c r="L23" s="19">
        <f t="shared" si="2"/>
        <v>2.3548387096774195</v>
      </c>
      <c r="M23" s="18">
        <f t="shared" si="3"/>
        <v>1912623.548387097</v>
      </c>
      <c r="N23" s="18">
        <f t="shared" si="4"/>
        <v>5494.6236559139788</v>
      </c>
      <c r="O23" s="18">
        <f t="shared" si="5"/>
        <v>1918118.1720430108</v>
      </c>
      <c r="P23" s="17" t="s">
        <v>269</v>
      </c>
    </row>
    <row r="24" spans="1:16" ht="30" x14ac:dyDescent="0.25">
      <c r="A24" s="20">
        <v>32</v>
      </c>
      <c r="B24" s="20" t="s">
        <v>263</v>
      </c>
      <c r="C24" s="21" t="s">
        <v>273</v>
      </c>
      <c r="D24" s="21" t="s">
        <v>217</v>
      </c>
      <c r="E24" s="20" t="s">
        <v>262</v>
      </c>
      <c r="F24" s="20" t="s">
        <v>83</v>
      </c>
      <c r="G24" s="20">
        <v>0</v>
      </c>
      <c r="H24" s="22">
        <v>700000</v>
      </c>
      <c r="I24" s="20">
        <v>2</v>
      </c>
      <c r="J24" s="22">
        <f t="shared" si="15"/>
        <v>112000</v>
      </c>
      <c r="K24" s="22">
        <f t="shared" si="16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327</v>
      </c>
    </row>
    <row r="25" spans="1:16" ht="75" x14ac:dyDescent="0.25">
      <c r="A25" s="16">
        <v>33</v>
      </c>
      <c r="B25" s="16" t="s">
        <v>293</v>
      </c>
      <c r="C25" s="17" t="s">
        <v>84</v>
      </c>
      <c r="D25" s="17" t="s">
        <v>82</v>
      </c>
      <c r="E25" s="16" t="s">
        <v>80</v>
      </c>
      <c r="F25" s="16" t="s">
        <v>81</v>
      </c>
      <c r="G25" s="16">
        <v>1</v>
      </c>
      <c r="H25" s="18">
        <v>1400000</v>
      </c>
      <c r="I25" s="16">
        <v>1</v>
      </c>
      <c r="J25" s="18">
        <f t="shared" si="15"/>
        <v>194670</v>
      </c>
      <c r="K25" s="18">
        <f t="shared" si="16"/>
        <v>1594670</v>
      </c>
      <c r="L25" s="19">
        <f t="shared" si="2"/>
        <v>3</v>
      </c>
      <c r="M25" s="18">
        <f t="shared" si="3"/>
        <v>4784010</v>
      </c>
      <c r="N25" s="18">
        <f t="shared" si="4"/>
        <v>7000</v>
      </c>
      <c r="O25" s="18">
        <f t="shared" si="5"/>
        <v>4791010</v>
      </c>
      <c r="P25" s="17" t="s">
        <v>372</v>
      </c>
    </row>
    <row r="26" spans="1:16" ht="30" x14ac:dyDescent="0.25">
      <c r="A26" s="16">
        <v>34</v>
      </c>
      <c r="B26" s="16" t="s">
        <v>293</v>
      </c>
      <c r="C26" s="17" t="s">
        <v>85</v>
      </c>
      <c r="D26" s="17" t="s">
        <v>213</v>
      </c>
      <c r="E26" s="16" t="s">
        <v>80</v>
      </c>
      <c r="F26" s="16" t="s">
        <v>83</v>
      </c>
      <c r="G26" s="16">
        <v>1</v>
      </c>
      <c r="H26" s="18">
        <v>700000</v>
      </c>
      <c r="I26" s="16">
        <v>1</v>
      </c>
      <c r="J26" s="18">
        <f t="shared" si="15"/>
        <v>112210</v>
      </c>
      <c r="K26" s="18">
        <f t="shared" si="16"/>
        <v>812210</v>
      </c>
      <c r="L26" s="19">
        <f t="shared" si="2"/>
        <v>2.3548387096774195</v>
      </c>
      <c r="M26" s="18">
        <f t="shared" si="3"/>
        <v>1912623.548387097</v>
      </c>
      <c r="N26" s="18">
        <f t="shared" si="4"/>
        <v>5494.6236559139788</v>
      </c>
      <c r="O26" s="18">
        <f t="shared" si="5"/>
        <v>1918118.1720430108</v>
      </c>
      <c r="P26" s="17" t="s">
        <v>214</v>
      </c>
    </row>
    <row r="27" spans="1:16" ht="30" x14ac:dyDescent="0.25">
      <c r="A27" s="16">
        <v>35</v>
      </c>
      <c r="B27" s="16" t="s">
        <v>293</v>
      </c>
      <c r="C27" s="17" t="s">
        <v>294</v>
      </c>
      <c r="D27" s="17" t="s">
        <v>289</v>
      </c>
      <c r="E27" s="16" t="s">
        <v>80</v>
      </c>
      <c r="F27" s="16" t="s">
        <v>83</v>
      </c>
      <c r="G27" s="16">
        <v>1</v>
      </c>
      <c r="H27" s="18">
        <v>1200000</v>
      </c>
      <c r="I27" s="16">
        <v>1</v>
      </c>
      <c r="J27" s="18">
        <f t="shared" si="15"/>
        <v>171110</v>
      </c>
      <c r="K27" s="18">
        <f t="shared" si="16"/>
        <v>1371110</v>
      </c>
      <c r="L27" s="19">
        <f t="shared" si="2"/>
        <v>2.3548387096774195</v>
      </c>
      <c r="M27" s="18">
        <f t="shared" si="3"/>
        <v>3228742.9032258065</v>
      </c>
      <c r="N27" s="18">
        <f t="shared" si="4"/>
        <v>5494.6236559139788</v>
      </c>
      <c r="O27" s="18">
        <f t="shared" si="5"/>
        <v>3234237.5268817204</v>
      </c>
      <c r="P27" s="17" t="s">
        <v>295</v>
      </c>
    </row>
    <row r="28" spans="1:16" ht="30" x14ac:dyDescent="0.25">
      <c r="A28" s="20">
        <v>36</v>
      </c>
      <c r="B28" s="20" t="s">
        <v>293</v>
      </c>
      <c r="C28" s="21" t="s">
        <v>296</v>
      </c>
      <c r="D28" s="21" t="s">
        <v>215</v>
      </c>
      <c r="E28" s="20" t="s">
        <v>262</v>
      </c>
      <c r="F28" s="20" t="s">
        <v>83</v>
      </c>
      <c r="G28" s="20">
        <v>0</v>
      </c>
      <c r="H28" s="22">
        <v>1000000</v>
      </c>
      <c r="I28" s="20">
        <v>1</v>
      </c>
      <c r="J28" s="22">
        <f t="shared" si="15"/>
        <v>160000</v>
      </c>
      <c r="K28" s="22">
        <f t="shared" si="16"/>
        <v>0</v>
      </c>
      <c r="L28" s="23">
        <f t="shared" si="2"/>
        <v>2.3548387096774195</v>
      </c>
      <c r="M28" s="22">
        <f t="shared" si="3"/>
        <v>0</v>
      </c>
      <c r="N28" s="22">
        <f t="shared" si="4"/>
        <v>0</v>
      </c>
      <c r="O28" s="22">
        <f t="shared" si="5"/>
        <v>0</v>
      </c>
      <c r="P28" s="21" t="s">
        <v>328</v>
      </c>
    </row>
    <row r="29" spans="1:16" ht="30" x14ac:dyDescent="0.25">
      <c r="A29" s="20">
        <v>37</v>
      </c>
      <c r="B29" s="20" t="s">
        <v>293</v>
      </c>
      <c r="C29" s="21" t="s">
        <v>297</v>
      </c>
      <c r="D29" s="21" t="s">
        <v>215</v>
      </c>
      <c r="E29" s="20" t="s">
        <v>262</v>
      </c>
      <c r="F29" s="20" t="s">
        <v>83</v>
      </c>
      <c r="G29" s="20">
        <v>0</v>
      </c>
      <c r="H29" s="22">
        <v>700000</v>
      </c>
      <c r="I29" s="20">
        <v>1</v>
      </c>
      <c r="J29" s="22">
        <f t="shared" si="15"/>
        <v>112000</v>
      </c>
      <c r="K29" s="22">
        <f t="shared" si="16"/>
        <v>0</v>
      </c>
      <c r="L29" s="23">
        <f t="shared" si="2"/>
        <v>2.3548387096774195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329</v>
      </c>
    </row>
    <row r="30" spans="1:16" ht="15" customHeight="1" x14ac:dyDescent="0.25">
      <c r="A30" s="7"/>
      <c r="B30" s="7"/>
      <c r="C30" s="7" t="s">
        <v>358</v>
      </c>
      <c r="D30" s="7"/>
      <c r="E30" s="7"/>
      <c r="F30" s="7"/>
      <c r="G30" s="7">
        <f>SUM(G5:G29)</f>
        <v>18</v>
      </c>
      <c r="H30" s="6">
        <f>SUMPRODUCT(G5:G29,H5:H29)</f>
        <v>20200000</v>
      </c>
      <c r="I30" s="7"/>
      <c r="J30" s="6"/>
      <c r="K30" s="6">
        <f>SUM(K5:K29)</f>
        <v>23115060</v>
      </c>
      <c r="L30" s="7"/>
      <c r="M30" s="6">
        <f>SUM(M5:M29)</f>
        <v>58691747.741935484</v>
      </c>
      <c r="N30" s="6">
        <f t="shared" ref="N30:O30" si="17">SUM(N5:N29)</f>
        <v>104924.73118279572</v>
      </c>
      <c r="O30" s="6">
        <f t="shared" si="17"/>
        <v>58796672.473118283</v>
      </c>
      <c r="P30" s="7"/>
    </row>
    <row r="31" spans="1:16" ht="15" customHeight="1" x14ac:dyDescent="0.25">
      <c r="C31" t="s">
        <v>359</v>
      </c>
      <c r="G31">
        <f>SUM(G8:G9)+SUM(G10:G24)</f>
        <v>12</v>
      </c>
      <c r="H31" s="5">
        <f>SUMPRODUCT(G8:G9,H8:H9)+SUMPRODUCT(G10:G24,H10:H24)</f>
        <v>12500000</v>
      </c>
    </row>
    <row r="32" spans="1:16" x14ac:dyDescent="0.25">
      <c r="C32" t="s">
        <v>360</v>
      </c>
      <c r="G32">
        <f>G30-G31</f>
        <v>6</v>
      </c>
      <c r="H32" s="5">
        <f>H30-H31</f>
        <v>7700000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2.7109375" style="24" customWidth="1"/>
    <col min="7" max="7" width="14.7109375" style="24" customWidth="1"/>
    <col min="8" max="8" width="12.7109375" style="24" customWidth="1"/>
    <col min="9" max="9" width="8.7109375" style="24" customWidth="1"/>
    <col min="10" max="10" width="15.7109375" style="24" customWidth="1"/>
    <col min="11" max="16384" width="9.140625" style="24"/>
  </cols>
  <sheetData>
    <row r="1" spans="1:10" ht="17.25" x14ac:dyDescent="0.3">
      <c r="A1" s="1" t="s">
        <v>373</v>
      </c>
    </row>
    <row r="3" spans="1:10" ht="42" customHeight="1" x14ac:dyDescent="0.25">
      <c r="A3" s="25" t="s">
        <v>66</v>
      </c>
      <c r="B3" s="25" t="s">
        <v>183</v>
      </c>
      <c r="C3" s="25" t="s">
        <v>69</v>
      </c>
      <c r="D3" s="25" t="s">
        <v>302</v>
      </c>
      <c r="E3" s="25" t="s">
        <v>303</v>
      </c>
      <c r="F3" s="25" t="s">
        <v>304</v>
      </c>
      <c r="G3" s="25" t="s">
        <v>305</v>
      </c>
      <c r="H3" s="25" t="s">
        <v>355</v>
      </c>
      <c r="I3" s="25" t="s">
        <v>76</v>
      </c>
      <c r="J3" s="25" t="s">
        <v>91</v>
      </c>
    </row>
    <row r="4" spans="1:10" ht="45" x14ac:dyDescent="0.25">
      <c r="A4" s="26">
        <v>1</v>
      </c>
      <c r="B4" s="27" t="s">
        <v>306</v>
      </c>
      <c r="C4" s="27" t="s">
        <v>215</v>
      </c>
      <c r="D4" s="27" t="s">
        <v>307</v>
      </c>
      <c r="E4" s="28">
        <v>1000000</v>
      </c>
      <c r="F4" s="28">
        <f t="shared" ref="F4:F10" si="0">E4*НДС</f>
        <v>160000</v>
      </c>
      <c r="G4" s="28">
        <f t="shared" ref="G4:G10" si="1">E4+F4</f>
        <v>1160000</v>
      </c>
      <c r="H4" s="26">
        <v>1</v>
      </c>
      <c r="I4" s="29">
        <f t="shared" ref="I4:I10" si="2">IF(H4=1,Мес_2026_новые,MAX(0,4-H4))</f>
        <v>2.3548387096774195</v>
      </c>
      <c r="J4" s="28">
        <f t="shared" ref="J4:J10" si="3">G4*I4</f>
        <v>2731612.9032258065</v>
      </c>
    </row>
    <row r="5" spans="1:10" ht="45" x14ac:dyDescent="0.25">
      <c r="A5" s="26">
        <v>2</v>
      </c>
      <c r="B5" s="27" t="s">
        <v>308</v>
      </c>
      <c r="C5" s="27" t="s">
        <v>215</v>
      </c>
      <c r="D5" s="27" t="s">
        <v>309</v>
      </c>
      <c r="E5" s="28">
        <v>700000</v>
      </c>
      <c r="F5" s="28">
        <f t="shared" si="0"/>
        <v>112000</v>
      </c>
      <c r="G5" s="28">
        <f t="shared" si="1"/>
        <v>812000</v>
      </c>
      <c r="H5" s="26">
        <v>1</v>
      </c>
      <c r="I5" s="29">
        <f t="shared" si="2"/>
        <v>2.3548387096774195</v>
      </c>
      <c r="J5" s="28">
        <f t="shared" si="3"/>
        <v>1912129.0322580647</v>
      </c>
    </row>
    <row r="6" spans="1:10" ht="30" x14ac:dyDescent="0.25">
      <c r="A6" s="26">
        <v>3</v>
      </c>
      <c r="B6" s="27" t="s">
        <v>310</v>
      </c>
      <c r="C6" s="27" t="s">
        <v>311</v>
      </c>
      <c r="D6" s="27" t="s">
        <v>312</v>
      </c>
      <c r="E6" s="28">
        <v>1000000</v>
      </c>
      <c r="F6" s="28">
        <f t="shared" si="0"/>
        <v>160000</v>
      </c>
      <c r="G6" s="28">
        <f t="shared" si="1"/>
        <v>1160000</v>
      </c>
      <c r="H6" s="26">
        <v>1</v>
      </c>
      <c r="I6" s="29">
        <f t="shared" si="2"/>
        <v>2.3548387096774195</v>
      </c>
      <c r="J6" s="28">
        <f t="shared" si="3"/>
        <v>2731612.9032258065</v>
      </c>
    </row>
    <row r="7" spans="1:10" ht="45" x14ac:dyDescent="0.25">
      <c r="A7" s="26">
        <v>4</v>
      </c>
      <c r="B7" s="27" t="s">
        <v>313</v>
      </c>
      <c r="C7" s="27" t="s">
        <v>314</v>
      </c>
      <c r="D7" s="27" t="s">
        <v>315</v>
      </c>
      <c r="E7" s="28">
        <v>1000000</v>
      </c>
      <c r="F7" s="28">
        <f t="shared" si="0"/>
        <v>160000</v>
      </c>
      <c r="G7" s="28">
        <f t="shared" si="1"/>
        <v>1160000</v>
      </c>
      <c r="H7" s="26">
        <v>2</v>
      </c>
      <c r="I7" s="29">
        <f t="shared" si="2"/>
        <v>2</v>
      </c>
      <c r="J7" s="28">
        <f t="shared" si="3"/>
        <v>2320000</v>
      </c>
    </row>
    <row r="8" spans="1:10" ht="45" x14ac:dyDescent="0.25">
      <c r="A8" s="26">
        <v>5</v>
      </c>
      <c r="B8" s="27" t="s">
        <v>316</v>
      </c>
      <c r="C8" s="27" t="s">
        <v>314</v>
      </c>
      <c r="D8" s="27" t="s">
        <v>317</v>
      </c>
      <c r="E8" s="28">
        <v>700000</v>
      </c>
      <c r="F8" s="28">
        <f t="shared" si="0"/>
        <v>112000</v>
      </c>
      <c r="G8" s="28">
        <f t="shared" si="1"/>
        <v>812000</v>
      </c>
      <c r="H8" s="26">
        <v>2</v>
      </c>
      <c r="I8" s="29">
        <f t="shared" si="2"/>
        <v>2</v>
      </c>
      <c r="J8" s="28">
        <f t="shared" si="3"/>
        <v>1624000</v>
      </c>
    </row>
    <row r="9" spans="1:10" ht="45" x14ac:dyDescent="0.25">
      <c r="A9" s="26">
        <v>6</v>
      </c>
      <c r="B9" s="27" t="s">
        <v>318</v>
      </c>
      <c r="C9" s="27" t="s">
        <v>314</v>
      </c>
      <c r="D9" s="27" t="s">
        <v>319</v>
      </c>
      <c r="E9" s="28">
        <v>700000</v>
      </c>
      <c r="F9" s="28">
        <f t="shared" si="0"/>
        <v>112000</v>
      </c>
      <c r="G9" s="28">
        <f t="shared" si="1"/>
        <v>812000</v>
      </c>
      <c r="H9" s="26">
        <v>2</v>
      </c>
      <c r="I9" s="29">
        <f t="shared" si="2"/>
        <v>2</v>
      </c>
      <c r="J9" s="28">
        <f t="shared" si="3"/>
        <v>1624000</v>
      </c>
    </row>
    <row r="10" spans="1:10" ht="45" x14ac:dyDescent="0.25">
      <c r="A10" s="26">
        <v>7</v>
      </c>
      <c r="B10" s="27" t="s">
        <v>320</v>
      </c>
      <c r="C10" s="27" t="s">
        <v>314</v>
      </c>
      <c r="D10" s="27" t="s">
        <v>321</v>
      </c>
      <c r="E10" s="28">
        <v>700000</v>
      </c>
      <c r="F10" s="28">
        <f t="shared" si="0"/>
        <v>112000</v>
      </c>
      <c r="G10" s="28">
        <f t="shared" si="1"/>
        <v>812000</v>
      </c>
      <c r="H10" s="26">
        <v>2</v>
      </c>
      <c r="I10" s="29">
        <f t="shared" si="2"/>
        <v>2</v>
      </c>
      <c r="J10" s="28">
        <f t="shared" si="3"/>
        <v>1624000</v>
      </c>
    </row>
    <row r="11" spans="1:10" x14ac:dyDescent="0.25">
      <c r="A11" s="30"/>
      <c r="B11" s="30" t="s">
        <v>322</v>
      </c>
      <c r="C11" s="30"/>
      <c r="D11" s="30"/>
      <c r="E11" s="31">
        <f>SUM(E4:E10)</f>
        <v>5800000</v>
      </c>
      <c r="F11" s="31">
        <f>SUM(F4:F10)</f>
        <v>928000</v>
      </c>
      <c r="G11" s="31">
        <f>SUM(G4:G10)</f>
        <v>6728000</v>
      </c>
      <c r="H11" s="30"/>
      <c r="I11" s="30"/>
      <c r="J11" s="31">
        <f>SUM(J4:J10)</f>
        <v>14567354.838709679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354</v>
      </c>
    </row>
    <row r="2" spans="1:7" ht="15" customHeight="1" x14ac:dyDescent="0.25">
      <c r="A2" s="2" t="s">
        <v>218</v>
      </c>
    </row>
    <row r="4" spans="1:7" ht="57.75" customHeight="1" x14ac:dyDescent="0.25">
      <c r="A4" s="3" t="s">
        <v>86</v>
      </c>
      <c r="B4" s="3" t="s">
        <v>87</v>
      </c>
      <c r="C4" s="3" t="s">
        <v>88</v>
      </c>
      <c r="D4" s="3" t="s">
        <v>89</v>
      </c>
      <c r="E4" s="3" t="s">
        <v>90</v>
      </c>
      <c r="F4" s="3" t="s">
        <v>76</v>
      </c>
      <c r="G4" s="3" t="s">
        <v>91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Штат!L5</f>
        <v>3</v>
      </c>
      <c r="G5" s="5">
        <f>C5*(D5/12*F5*Поездка_РК+E5*F5*Поездка_местн)</f>
        <v>190950</v>
      </c>
    </row>
    <row r="6" spans="1:7" ht="15" customHeight="1" x14ac:dyDescent="0.25">
      <c r="A6" s="4" t="str">
        <f>Штат!C6</f>
        <v>Заместитель ГИД (стратегия, проекты)</v>
      </c>
      <c r="C6">
        <f>Штат!G6</f>
        <v>1</v>
      </c>
      <c r="D6" s="9">
        <v>6</v>
      </c>
      <c r="E6" s="9">
        <v>0</v>
      </c>
      <c r="F6" s="15">
        <f>Штат!L6</f>
        <v>3</v>
      </c>
      <c r="G6" s="5">
        <f>C6*(D6/12*F6*Поездка_РК+E6*F6*Поездка_местн)</f>
        <v>286425</v>
      </c>
    </row>
    <row r="7" spans="1:7" ht="15" customHeight="1" x14ac:dyDescent="0.25">
      <c r="A7" s="4" t="str">
        <f>Штат!C8</f>
        <v>Национальный координатор проектного офиса</v>
      </c>
      <c r="C7">
        <f>Штат!G8</f>
        <v>1</v>
      </c>
      <c r="D7" s="9">
        <v>10</v>
      </c>
      <c r="E7" s="9">
        <v>0</v>
      </c>
      <c r="F7" s="15">
        <f>Штат!L8</f>
        <v>2.3548387096774195</v>
      </c>
      <c r="G7" s="5">
        <f>C7*(D7/12*F7*Поездка_РК+E7*F7*Поездка_местн)</f>
        <v>374713.70967741939</v>
      </c>
    </row>
    <row r="8" spans="1:7" ht="27.75" customHeight="1" x14ac:dyDescent="0.25">
      <c r="A8" s="4" t="s">
        <v>352</v>
      </c>
      <c r="C8">
        <f>SUM(Штат!G9:G9)</f>
        <v>1</v>
      </c>
      <c r="D8" s="9">
        <v>3</v>
      </c>
      <c r="E8" s="9">
        <v>3</v>
      </c>
      <c r="F8" s="15">
        <f>Штат!L9</f>
        <v>2.3548387096774195</v>
      </c>
      <c r="G8" s="5">
        <f>SUMPRODUCT((Штат!I9:I9&lt;=3)*Штат!G9:G9)*(D8/12*F8*Поездка_РК+E8*F8*Поездка_местн)</f>
        <v>279489.91935483873</v>
      </c>
    </row>
    <row r="9" spans="1:7" ht="27.75" customHeight="1" x14ac:dyDescent="0.25">
      <c r="A9" s="4" t="s">
        <v>353</v>
      </c>
      <c r="C9">
        <f>SUM(Штат!G10:G14)</f>
        <v>5</v>
      </c>
      <c r="D9" s="9">
        <v>6</v>
      </c>
      <c r="E9" s="9">
        <v>0</v>
      </c>
      <c r="F9" s="15">
        <f>Штат!L11</f>
        <v>2.3548387096774195</v>
      </c>
      <c r="G9" s="5">
        <f>SUMPRODUCT((Штат!I10:I14&lt;=3)*Штат!G10:G14)*(D9/12*F9*Поездка_РК+E9*F9*Поездка_местн)</f>
        <v>1124141.1290322582</v>
      </c>
    </row>
    <row r="10" spans="1:7" ht="27.75" customHeight="1" x14ac:dyDescent="0.25">
      <c r="A10" s="4" t="s">
        <v>299</v>
      </c>
      <c r="C10">
        <f>SUM(Штат!G15:G16)</f>
        <v>1</v>
      </c>
      <c r="D10" s="9">
        <v>1</v>
      </c>
      <c r="E10" s="9">
        <v>0</v>
      </c>
      <c r="F10" s="15">
        <f>Штат!L15</f>
        <v>2.3548387096774195</v>
      </c>
      <c r="G10" s="5">
        <f>C10*(D10/12*F10*Поездка_РК+E10*F10*Поездка_местн)</f>
        <v>37471.370967741932</v>
      </c>
    </row>
    <row r="11" spans="1:7" ht="27.75" customHeight="1" x14ac:dyDescent="0.25">
      <c r="A11" s="4" t="s">
        <v>274</v>
      </c>
      <c r="C11">
        <f>SUM(Штат!G17:G24)</f>
        <v>4</v>
      </c>
      <c r="D11" s="9">
        <v>4</v>
      </c>
      <c r="E11" s="9">
        <v>4</v>
      </c>
      <c r="F11" s="15">
        <f>Штат!L17</f>
        <v>2.3548387096774195</v>
      </c>
      <c r="G11" s="5">
        <f>C11*(D11/12*F11*Поездка_РК+E11*F11*Поездка_местн)</f>
        <v>1490612.9032258065</v>
      </c>
    </row>
    <row r="12" spans="1:7" ht="15" customHeight="1" x14ac:dyDescent="0.25">
      <c r="A12" s="7" t="s">
        <v>92</v>
      </c>
      <c r="B12" s="7"/>
      <c r="C12" s="7"/>
      <c r="D12" s="7"/>
      <c r="E12" s="7"/>
      <c r="F12" s="7"/>
      <c r="G12" s="6">
        <f>SUM(G5:G11)</f>
        <v>3783804.032258065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57"/>
  <sheetViews>
    <sheetView topLeftCell="A10" zoomScaleNormal="100" workbookViewId="0">
      <selection activeCell="H25" sqref="H25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</cols>
  <sheetData>
    <row r="1" spans="1:9" ht="15.75" customHeight="1" x14ac:dyDescent="0.3">
      <c r="A1" s="1" t="s">
        <v>374</v>
      </c>
    </row>
    <row r="2" spans="1:9" ht="15" customHeight="1" x14ac:dyDescent="0.25">
      <c r="A2" s="2" t="s">
        <v>375</v>
      </c>
    </row>
    <row r="4" spans="1:9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" t="s">
        <v>376</v>
      </c>
      <c r="H4" s="3" t="s">
        <v>97</v>
      </c>
      <c r="I4" s="3" t="s">
        <v>91</v>
      </c>
    </row>
    <row r="5" spans="1:9" ht="27.75" customHeight="1" x14ac:dyDescent="0.25">
      <c r="A5" t="s">
        <v>98</v>
      </c>
      <c r="B5" s="4" t="s">
        <v>99</v>
      </c>
      <c r="C5" t="s">
        <v>100</v>
      </c>
      <c r="D5" s="9">
        <v>12</v>
      </c>
      <c r="E5" s="10">
        <v>450000</v>
      </c>
      <c r="F5" s="9" t="s">
        <v>101</v>
      </c>
      <c r="G5" s="9">
        <v>1</v>
      </c>
      <c r="H5" s="4" t="s">
        <v>377</v>
      </c>
      <c r="I5" s="5">
        <f t="shared" ref="I5:I39" si="0">IF(F5="разово",IF(G5&lt;=3,D5*E5,0),IF(F5="мес",D5*E5*MAX(0,4-G5),D5*E5*MAX(0,4-G5)/12))</f>
        <v>5400000</v>
      </c>
    </row>
    <row r="6" spans="1:9" ht="27.75" customHeight="1" x14ac:dyDescent="0.25">
      <c r="A6" t="s">
        <v>98</v>
      </c>
      <c r="B6" s="4" t="s">
        <v>102</v>
      </c>
      <c r="C6" t="s">
        <v>100</v>
      </c>
      <c r="D6" s="9">
        <v>2</v>
      </c>
      <c r="E6" s="10">
        <v>900000</v>
      </c>
      <c r="F6" s="9" t="s">
        <v>101</v>
      </c>
      <c r="G6" s="9">
        <v>1</v>
      </c>
      <c r="H6" s="4" t="s">
        <v>342</v>
      </c>
      <c r="I6" s="5">
        <f t="shared" si="0"/>
        <v>1800000</v>
      </c>
    </row>
    <row r="7" spans="1:9" ht="15" customHeight="1" x14ac:dyDescent="0.25">
      <c r="A7" t="s">
        <v>98</v>
      </c>
      <c r="B7" s="4" t="s">
        <v>103</v>
      </c>
      <c r="C7" t="s">
        <v>104</v>
      </c>
      <c r="D7" s="9">
        <v>10</v>
      </c>
      <c r="E7" s="10">
        <v>100000</v>
      </c>
      <c r="F7" s="9" t="s">
        <v>101</v>
      </c>
      <c r="G7" s="9">
        <v>1</v>
      </c>
      <c r="H7" s="4" t="s">
        <v>105</v>
      </c>
      <c r="I7" s="5">
        <f t="shared" si="0"/>
        <v>1000000</v>
      </c>
    </row>
    <row r="8" spans="1:9" ht="27.75" customHeight="1" x14ac:dyDescent="0.25">
      <c r="A8" t="s">
        <v>98</v>
      </c>
      <c r="B8" s="4" t="s">
        <v>106</v>
      </c>
      <c r="C8" t="s">
        <v>107</v>
      </c>
      <c r="D8" s="9">
        <v>19</v>
      </c>
      <c r="E8" s="10">
        <v>200000</v>
      </c>
      <c r="F8" s="9" t="s">
        <v>101</v>
      </c>
      <c r="G8" s="9">
        <v>1</v>
      </c>
      <c r="H8" s="4" t="s">
        <v>108</v>
      </c>
      <c r="I8" s="5">
        <f t="shared" si="0"/>
        <v>3800000</v>
      </c>
    </row>
    <row r="9" spans="1:9" ht="15" customHeight="1" x14ac:dyDescent="0.25">
      <c r="A9" t="s">
        <v>98</v>
      </c>
      <c r="B9" s="4" t="s">
        <v>332</v>
      </c>
      <c r="C9" t="s">
        <v>104</v>
      </c>
      <c r="D9" s="9">
        <v>5</v>
      </c>
      <c r="E9" s="10">
        <v>500000</v>
      </c>
      <c r="F9" s="9" t="s">
        <v>101</v>
      </c>
      <c r="G9" s="9">
        <v>1</v>
      </c>
      <c r="H9" s="4" t="s">
        <v>109</v>
      </c>
      <c r="I9" s="5">
        <f t="shared" si="0"/>
        <v>2500000</v>
      </c>
    </row>
    <row r="10" spans="1:9" ht="15" customHeight="1" x14ac:dyDescent="0.25">
      <c r="A10" t="s">
        <v>98</v>
      </c>
      <c r="B10" s="4" t="s">
        <v>110</v>
      </c>
      <c r="C10" t="s">
        <v>104</v>
      </c>
      <c r="D10" s="9">
        <v>1</v>
      </c>
      <c r="E10" s="10">
        <v>800000</v>
      </c>
      <c r="F10" s="9" t="s">
        <v>101</v>
      </c>
      <c r="G10" s="9">
        <v>1</v>
      </c>
      <c r="H10" s="4"/>
      <c r="I10" s="5">
        <f t="shared" si="0"/>
        <v>800000</v>
      </c>
    </row>
    <row r="11" spans="1:9" ht="15" customHeight="1" x14ac:dyDescent="0.25">
      <c r="A11" t="s">
        <v>98</v>
      </c>
      <c r="B11" s="4" t="s">
        <v>399</v>
      </c>
      <c r="C11" t="s">
        <v>104</v>
      </c>
      <c r="D11" s="9">
        <v>1</v>
      </c>
      <c r="E11" s="10">
        <v>250000</v>
      </c>
      <c r="F11" s="9" t="s">
        <v>101</v>
      </c>
      <c r="G11" s="9">
        <v>1</v>
      </c>
      <c r="H11" s="4"/>
      <c r="I11" s="5">
        <f t="shared" si="0"/>
        <v>250000</v>
      </c>
    </row>
    <row r="12" spans="1:9" ht="15" customHeight="1" x14ac:dyDescent="0.25">
      <c r="A12" t="s">
        <v>98</v>
      </c>
      <c r="B12" s="4" t="s">
        <v>227</v>
      </c>
      <c r="C12" t="s">
        <v>104</v>
      </c>
      <c r="D12" s="9">
        <v>1</v>
      </c>
      <c r="E12" s="10">
        <v>450000</v>
      </c>
      <c r="F12" s="9" t="s">
        <v>101</v>
      </c>
      <c r="G12" s="9">
        <v>1</v>
      </c>
      <c r="H12" s="4" t="s">
        <v>228</v>
      </c>
      <c r="I12" s="5">
        <f t="shared" si="0"/>
        <v>450000</v>
      </c>
    </row>
    <row r="13" spans="1:9" ht="15" customHeight="1" x14ac:dyDescent="0.25">
      <c r="A13" t="s">
        <v>98</v>
      </c>
      <c r="B13" s="4" t="s">
        <v>226</v>
      </c>
      <c r="C13" t="s">
        <v>100</v>
      </c>
      <c r="D13" s="9">
        <v>2</v>
      </c>
      <c r="E13" s="10">
        <v>60000</v>
      </c>
      <c r="F13" s="9" t="s">
        <v>101</v>
      </c>
      <c r="G13" s="9">
        <v>1</v>
      </c>
      <c r="H13" s="4" t="s">
        <v>235</v>
      </c>
      <c r="I13" s="5">
        <f t="shared" si="0"/>
        <v>120000</v>
      </c>
    </row>
    <row r="14" spans="1:9" ht="15" customHeight="1" x14ac:dyDescent="0.25">
      <c r="A14" t="s">
        <v>98</v>
      </c>
      <c r="B14" s="4" t="s">
        <v>223</v>
      </c>
      <c r="C14" t="s">
        <v>104</v>
      </c>
      <c r="D14" s="9">
        <v>1</v>
      </c>
      <c r="E14" s="10">
        <f>(D8*E8+D9*E9+D10*E10+D11*E11+D12*E12+D13*E13)*Сборка_мебели_проц</f>
        <v>792000</v>
      </c>
      <c r="F14" s="9" t="s">
        <v>101</v>
      </c>
      <c r="G14" s="9">
        <v>1</v>
      </c>
      <c r="H14" s="4" t="s">
        <v>229</v>
      </c>
      <c r="I14" s="5">
        <f t="shared" si="0"/>
        <v>792000</v>
      </c>
    </row>
    <row r="15" spans="1:9" ht="27.75" customHeight="1" x14ac:dyDescent="0.25">
      <c r="A15" t="s">
        <v>98</v>
      </c>
      <c r="B15" s="4" t="s">
        <v>174</v>
      </c>
      <c r="C15" t="s">
        <v>100</v>
      </c>
      <c r="D15" s="9">
        <v>1</v>
      </c>
      <c r="E15" s="10">
        <v>2500000</v>
      </c>
      <c r="F15" s="9" t="s">
        <v>101</v>
      </c>
      <c r="G15" s="9">
        <v>1</v>
      </c>
      <c r="H15" s="4" t="s">
        <v>175</v>
      </c>
      <c r="I15" s="5">
        <f t="shared" si="0"/>
        <v>2500000</v>
      </c>
    </row>
    <row r="16" spans="1:9" ht="15" customHeight="1" x14ac:dyDescent="0.25">
      <c r="A16" t="s">
        <v>98</v>
      </c>
      <c r="B16" s="4" t="s">
        <v>176</v>
      </c>
      <c r="C16" t="s">
        <v>104</v>
      </c>
      <c r="D16" s="9">
        <v>1</v>
      </c>
      <c r="E16" s="10">
        <v>300000</v>
      </c>
      <c r="F16" s="9" t="s">
        <v>101</v>
      </c>
      <c r="G16" s="9">
        <v>1</v>
      </c>
      <c r="H16" s="4"/>
      <c r="I16" s="5">
        <f t="shared" si="0"/>
        <v>300000</v>
      </c>
    </row>
    <row r="17" spans="1:9" ht="15" customHeight="1" x14ac:dyDescent="0.25">
      <c r="A17" t="s">
        <v>98</v>
      </c>
      <c r="B17" s="4" t="s">
        <v>177</v>
      </c>
      <c r="C17" t="s">
        <v>100</v>
      </c>
      <c r="D17" s="9">
        <v>2</v>
      </c>
      <c r="E17" s="10">
        <v>280000</v>
      </c>
      <c r="F17" s="9" t="s">
        <v>101</v>
      </c>
      <c r="G17" s="9">
        <v>1</v>
      </c>
      <c r="H17" s="4" t="s">
        <v>236</v>
      </c>
      <c r="I17" s="5">
        <f t="shared" si="0"/>
        <v>560000</v>
      </c>
    </row>
    <row r="18" spans="1:9" ht="15" customHeight="1" x14ac:dyDescent="0.25">
      <c r="A18" t="s">
        <v>98</v>
      </c>
      <c r="B18" s="4" t="s">
        <v>178</v>
      </c>
      <c r="C18" t="s">
        <v>100</v>
      </c>
      <c r="D18" s="9">
        <v>4</v>
      </c>
      <c r="E18" s="10">
        <v>55000</v>
      </c>
      <c r="F18" s="9" t="s">
        <v>101</v>
      </c>
      <c r="G18" s="9">
        <v>1</v>
      </c>
      <c r="H18" s="4" t="s">
        <v>179</v>
      </c>
      <c r="I18" s="5">
        <f t="shared" si="0"/>
        <v>220000</v>
      </c>
    </row>
    <row r="19" spans="1:9" ht="15" customHeight="1" x14ac:dyDescent="0.25">
      <c r="A19" t="s">
        <v>98</v>
      </c>
      <c r="B19" s="4" t="s">
        <v>180</v>
      </c>
      <c r="C19" t="s">
        <v>104</v>
      </c>
      <c r="D19" s="9">
        <v>1</v>
      </c>
      <c r="E19" s="10">
        <v>300000</v>
      </c>
      <c r="F19" s="9" t="s">
        <v>101</v>
      </c>
      <c r="G19" s="9">
        <v>1</v>
      </c>
      <c r="H19" s="4" t="s">
        <v>181</v>
      </c>
      <c r="I19" s="5">
        <f t="shared" si="0"/>
        <v>300000</v>
      </c>
    </row>
    <row r="20" spans="1:9" ht="15" customHeight="1" x14ac:dyDescent="0.25">
      <c r="A20" t="s">
        <v>98</v>
      </c>
      <c r="B20" s="4" t="s">
        <v>237</v>
      </c>
      <c r="C20" t="s">
        <v>100</v>
      </c>
      <c r="D20" s="9">
        <v>1</v>
      </c>
      <c r="E20" s="10">
        <f>ROUND(42340/(1+НДС),0)</f>
        <v>36500</v>
      </c>
      <c r="F20" s="9" t="s">
        <v>101</v>
      </c>
      <c r="G20" s="9">
        <v>1</v>
      </c>
      <c r="H20" s="4" t="s">
        <v>238</v>
      </c>
      <c r="I20" s="5">
        <f t="shared" si="0"/>
        <v>36500</v>
      </c>
    </row>
    <row r="21" spans="1:9" ht="15" customHeight="1" x14ac:dyDescent="0.25">
      <c r="A21" t="s">
        <v>98</v>
      </c>
      <c r="B21" s="4" t="s">
        <v>239</v>
      </c>
      <c r="C21" t="s">
        <v>240</v>
      </c>
      <c r="D21" s="9">
        <v>1</v>
      </c>
      <c r="E21" s="10">
        <f>ROUND(6000/(1+НДС),0)</f>
        <v>5172</v>
      </c>
      <c r="F21" s="9" t="s">
        <v>101</v>
      </c>
      <c r="G21" s="9">
        <v>1</v>
      </c>
      <c r="H21" s="4" t="s">
        <v>241</v>
      </c>
      <c r="I21" s="5">
        <f t="shared" si="0"/>
        <v>5172</v>
      </c>
    </row>
    <row r="22" spans="1:9" ht="15" customHeight="1" x14ac:dyDescent="0.25">
      <c r="A22" t="s">
        <v>98</v>
      </c>
      <c r="B22" s="4" t="s">
        <v>242</v>
      </c>
      <c r="C22" t="s">
        <v>100</v>
      </c>
      <c r="D22" s="9">
        <v>1</v>
      </c>
      <c r="E22" s="10">
        <f>ROUND(114327/(1+НДС),0)</f>
        <v>98558</v>
      </c>
      <c r="F22" s="9" t="s">
        <v>101</v>
      </c>
      <c r="G22" s="9">
        <v>1</v>
      </c>
      <c r="H22" s="4" t="s">
        <v>243</v>
      </c>
      <c r="I22" s="5">
        <f t="shared" si="0"/>
        <v>98558</v>
      </c>
    </row>
    <row r="23" spans="1:9" ht="15" customHeight="1" x14ac:dyDescent="0.25">
      <c r="A23" t="s">
        <v>98</v>
      </c>
      <c r="B23" s="4" t="s">
        <v>244</v>
      </c>
      <c r="C23" t="s">
        <v>104</v>
      </c>
      <c r="D23" s="9">
        <v>1</v>
      </c>
      <c r="E23" s="10">
        <f>ROUND((100*55+100*68+100*26+100*37+100*57+100*244)/(1+НДС),0)</f>
        <v>41983</v>
      </c>
      <c r="F23" s="9" t="s">
        <v>101</v>
      </c>
      <c r="G23" s="9">
        <v>1</v>
      </c>
      <c r="H23" s="4" t="s">
        <v>245</v>
      </c>
      <c r="I23" s="5">
        <f t="shared" si="0"/>
        <v>41983</v>
      </c>
    </row>
    <row r="24" spans="1:9" ht="15" customHeight="1" x14ac:dyDescent="0.25">
      <c r="A24" t="s">
        <v>98</v>
      </c>
      <c r="B24" s="4" t="s">
        <v>278</v>
      </c>
      <c r="C24" t="s">
        <v>100</v>
      </c>
      <c r="D24" s="9">
        <v>16</v>
      </c>
      <c r="E24" s="10">
        <f>ROUND(4118/(1+НДС),0)</f>
        <v>3550</v>
      </c>
      <c r="F24" s="9" t="s">
        <v>101</v>
      </c>
      <c r="G24" s="9">
        <v>1</v>
      </c>
      <c r="H24" s="4" t="s">
        <v>400</v>
      </c>
      <c r="I24" s="5">
        <f t="shared" si="0"/>
        <v>56800</v>
      </c>
    </row>
    <row r="25" spans="1:9" ht="15" customHeight="1" x14ac:dyDescent="0.25">
      <c r="A25" t="s">
        <v>98</v>
      </c>
      <c r="B25" s="4" t="s">
        <v>277</v>
      </c>
      <c r="C25" t="s">
        <v>100</v>
      </c>
      <c r="D25" s="9">
        <v>3</v>
      </c>
      <c r="E25" s="10">
        <f>ROUND(6101/(1+НДС),0)</f>
        <v>5259</v>
      </c>
      <c r="F25" s="9" t="s">
        <v>101</v>
      </c>
      <c r="G25" s="9">
        <v>1</v>
      </c>
      <c r="H25" s="4" t="s">
        <v>401</v>
      </c>
      <c r="I25" s="5">
        <f t="shared" si="0"/>
        <v>15777</v>
      </c>
    </row>
    <row r="26" spans="1:9" ht="15" customHeight="1" x14ac:dyDescent="0.25">
      <c r="A26" t="s">
        <v>98</v>
      </c>
      <c r="B26" s="4" t="s">
        <v>279</v>
      </c>
      <c r="C26" t="s">
        <v>100</v>
      </c>
      <c r="D26" s="9">
        <v>4</v>
      </c>
      <c r="E26" s="10">
        <f>ROUND(7235/(1+НДС),0)</f>
        <v>6237</v>
      </c>
      <c r="F26" s="9" t="s">
        <v>101</v>
      </c>
      <c r="G26" s="9">
        <v>1</v>
      </c>
      <c r="H26" s="4" t="s">
        <v>280</v>
      </c>
      <c r="I26" s="5">
        <f t="shared" si="0"/>
        <v>24948</v>
      </c>
    </row>
    <row r="27" spans="1:9" ht="15" customHeight="1" x14ac:dyDescent="0.25">
      <c r="A27" t="s">
        <v>98</v>
      </c>
      <c r="B27" s="4" t="s">
        <v>281</v>
      </c>
      <c r="C27" t="s">
        <v>100</v>
      </c>
      <c r="D27" s="9">
        <v>5</v>
      </c>
      <c r="E27" s="10">
        <f>ROUND(9039/(1+НДС),0)</f>
        <v>7792</v>
      </c>
      <c r="F27" s="9" t="s">
        <v>101</v>
      </c>
      <c r="G27" s="9">
        <v>1</v>
      </c>
      <c r="H27" s="4" t="s">
        <v>282</v>
      </c>
      <c r="I27" s="5">
        <f t="shared" si="0"/>
        <v>38960</v>
      </c>
    </row>
    <row r="28" spans="1:9" ht="15" customHeight="1" x14ac:dyDescent="0.25">
      <c r="A28" t="s">
        <v>98</v>
      </c>
      <c r="B28" s="4" t="s">
        <v>340</v>
      </c>
      <c r="C28" t="s">
        <v>100</v>
      </c>
      <c r="D28" s="9">
        <v>10</v>
      </c>
      <c r="E28" s="10">
        <f>ROUND(89302/(1+НДС),0)</f>
        <v>76984</v>
      </c>
      <c r="F28" s="9" t="s">
        <v>101</v>
      </c>
      <c r="G28" s="9">
        <v>1</v>
      </c>
      <c r="H28" s="4" t="s">
        <v>341</v>
      </c>
      <c r="I28" s="5">
        <f t="shared" ref="I28" si="1">IF(F28="разово",IF(G28&lt;=3,D28*E28,0),IF(F28="мес",D28*E28*MAX(0,4-G28),D28*E28*MAX(0,4-G28)/12))</f>
        <v>769840</v>
      </c>
    </row>
    <row r="29" spans="1:9" ht="15" customHeight="1" x14ac:dyDescent="0.25">
      <c r="A29" t="s">
        <v>98</v>
      </c>
      <c r="B29" s="4" t="s">
        <v>343</v>
      </c>
      <c r="C29" t="s">
        <v>100</v>
      </c>
      <c r="D29" s="9">
        <v>1</v>
      </c>
      <c r="E29" s="10">
        <f>ROUND(989997/(1+НДС),0)</f>
        <v>853446</v>
      </c>
      <c r="F29" s="9" t="s">
        <v>101</v>
      </c>
      <c r="G29" s="9">
        <v>1</v>
      </c>
      <c r="H29" s="4" t="s">
        <v>344</v>
      </c>
      <c r="I29" s="5">
        <f t="shared" si="0"/>
        <v>853446</v>
      </c>
    </row>
    <row r="30" spans="1:9" ht="15" customHeight="1" x14ac:dyDescent="0.25">
      <c r="A30" t="s">
        <v>98</v>
      </c>
      <c r="B30" s="4" t="s">
        <v>345</v>
      </c>
      <c r="C30" t="s">
        <v>100</v>
      </c>
      <c r="D30" s="9">
        <v>1</v>
      </c>
      <c r="E30" s="10">
        <f>ROUND(49990/(1+НДС),0)</f>
        <v>43095</v>
      </c>
      <c r="F30" s="9" t="s">
        <v>101</v>
      </c>
      <c r="G30" s="9">
        <v>1</v>
      </c>
      <c r="H30" s="4" t="s">
        <v>346</v>
      </c>
      <c r="I30" s="5">
        <f t="shared" si="0"/>
        <v>43095</v>
      </c>
    </row>
    <row r="31" spans="1:9" ht="15" customHeight="1" x14ac:dyDescent="0.25">
      <c r="A31" t="s">
        <v>98</v>
      </c>
      <c r="B31" s="4" t="s">
        <v>111</v>
      </c>
      <c r="C31" t="s">
        <v>104</v>
      </c>
      <c r="D31" s="9">
        <v>1</v>
      </c>
      <c r="E31" s="10">
        <v>300000</v>
      </c>
      <c r="F31" s="9" t="s">
        <v>101</v>
      </c>
      <c r="G31" s="9">
        <v>1</v>
      </c>
      <c r="H31" s="4" t="s">
        <v>112</v>
      </c>
      <c r="I31" s="5">
        <f t="shared" si="0"/>
        <v>300000</v>
      </c>
    </row>
    <row r="32" spans="1:9" ht="15" customHeight="1" x14ac:dyDescent="0.25">
      <c r="A32" t="s">
        <v>98</v>
      </c>
      <c r="B32" s="4" t="s">
        <v>113</v>
      </c>
      <c r="C32" t="s">
        <v>104</v>
      </c>
      <c r="D32" s="9">
        <v>1</v>
      </c>
      <c r="E32" s="10">
        <v>800000</v>
      </c>
      <c r="F32" s="9" t="s">
        <v>101</v>
      </c>
      <c r="G32" s="9">
        <v>1</v>
      </c>
      <c r="H32" s="4" t="s">
        <v>109</v>
      </c>
      <c r="I32" s="5">
        <f t="shared" si="0"/>
        <v>800000</v>
      </c>
    </row>
    <row r="33" spans="1:9" ht="15" customHeight="1" x14ac:dyDescent="0.25">
      <c r="A33" t="s">
        <v>98</v>
      </c>
      <c r="B33" s="4" t="s">
        <v>114</v>
      </c>
      <c r="C33" t="s">
        <v>100</v>
      </c>
      <c r="D33" s="9">
        <v>1</v>
      </c>
      <c r="E33" s="10">
        <v>700000</v>
      </c>
      <c r="F33" s="9" t="s">
        <v>101</v>
      </c>
      <c r="G33" s="9">
        <v>1</v>
      </c>
      <c r="H33" s="4"/>
      <c r="I33" s="5">
        <f t="shared" si="0"/>
        <v>700000</v>
      </c>
    </row>
    <row r="34" spans="1:9" ht="27.75" customHeight="1" x14ac:dyDescent="0.25">
      <c r="A34" t="s">
        <v>98</v>
      </c>
      <c r="B34" s="4" t="s">
        <v>402</v>
      </c>
      <c r="C34" t="s">
        <v>115</v>
      </c>
      <c r="D34" s="9">
        <v>1</v>
      </c>
      <c r="E34" s="10">
        <f>'Смета фото-видео'!G24</f>
        <v>3591930</v>
      </c>
      <c r="F34" s="9" t="s">
        <v>101</v>
      </c>
      <c r="G34" s="9">
        <v>1</v>
      </c>
      <c r="H34" s="4" t="s">
        <v>403</v>
      </c>
      <c r="I34" s="5">
        <f t="shared" si="0"/>
        <v>3591930</v>
      </c>
    </row>
    <row r="35" spans="1:9" ht="15" customHeight="1" x14ac:dyDescent="0.25">
      <c r="A35" t="s">
        <v>98</v>
      </c>
      <c r="B35" s="4" t="s">
        <v>349</v>
      </c>
      <c r="C35" t="s">
        <v>104</v>
      </c>
      <c r="D35" s="9">
        <v>1</v>
      </c>
      <c r="E35" s="10">
        <v>400000</v>
      </c>
      <c r="F35" s="9" t="s">
        <v>101</v>
      </c>
      <c r="G35" s="9">
        <v>1</v>
      </c>
      <c r="H35" s="4"/>
      <c r="I35" s="5">
        <f t="shared" si="0"/>
        <v>400000</v>
      </c>
    </row>
    <row r="36" spans="1:9" ht="15" customHeight="1" x14ac:dyDescent="0.25">
      <c r="A36" t="s">
        <v>98</v>
      </c>
      <c r="B36" s="4" t="s">
        <v>350</v>
      </c>
      <c r="C36" t="s">
        <v>100</v>
      </c>
      <c r="D36" s="9">
        <v>1</v>
      </c>
      <c r="E36" s="10">
        <f>ROUND(35990/(1+НДС),0)</f>
        <v>31026</v>
      </c>
      <c r="F36" s="9" t="s">
        <v>101</v>
      </c>
      <c r="G36" s="9">
        <v>1</v>
      </c>
      <c r="H36" s="4" t="s">
        <v>351</v>
      </c>
      <c r="I36" s="5">
        <f t="shared" ref="I36" si="2">IF(F36="разово",IF(G36&lt;=3,D36*E36,0),IF(F36="мес",D36*E36*MAX(0,4-G36),D36*E36*MAX(0,4-G36)/12))</f>
        <v>31026</v>
      </c>
    </row>
    <row r="37" spans="1:9" ht="15" customHeight="1" x14ac:dyDescent="0.25">
      <c r="A37" t="s">
        <v>98</v>
      </c>
      <c r="B37" s="4" t="s">
        <v>116</v>
      </c>
      <c r="C37" t="s">
        <v>104</v>
      </c>
      <c r="D37" s="9">
        <v>1</v>
      </c>
      <c r="E37" s="10">
        <v>150000</v>
      </c>
      <c r="F37" s="9" t="s">
        <v>101</v>
      </c>
      <c r="G37" s="9">
        <v>1</v>
      </c>
      <c r="H37" s="4"/>
      <c r="I37" s="5">
        <f t="shared" si="0"/>
        <v>150000</v>
      </c>
    </row>
    <row r="38" spans="1:9" ht="15" customHeight="1" x14ac:dyDescent="0.25">
      <c r="A38" t="s">
        <v>98</v>
      </c>
      <c r="B38" s="4" t="s">
        <v>117</v>
      </c>
      <c r="C38" t="s">
        <v>104</v>
      </c>
      <c r="D38" s="9">
        <v>1</v>
      </c>
      <c r="E38" s="10">
        <v>400000</v>
      </c>
      <c r="F38" s="9" t="s">
        <v>101</v>
      </c>
      <c r="G38" s="9">
        <v>1</v>
      </c>
      <c r="H38" s="4"/>
      <c r="I38" s="5">
        <f t="shared" si="0"/>
        <v>400000</v>
      </c>
    </row>
    <row r="39" spans="1:9" ht="15" customHeight="1" x14ac:dyDescent="0.25">
      <c r="A39" t="s">
        <v>98</v>
      </c>
      <c r="B39" s="4" t="s">
        <v>404</v>
      </c>
      <c r="C39" t="s">
        <v>100</v>
      </c>
      <c r="D39" s="9">
        <v>2</v>
      </c>
      <c r="E39" s="10">
        <v>10000</v>
      </c>
      <c r="F39" s="9" t="s">
        <v>101</v>
      </c>
      <c r="G39" s="9">
        <v>1</v>
      </c>
      <c r="H39" s="4"/>
      <c r="I39" s="5">
        <f t="shared" si="0"/>
        <v>20000</v>
      </c>
    </row>
    <row r="40" spans="1:9" ht="27.75" customHeight="1" x14ac:dyDescent="0.25">
      <c r="A40" t="s">
        <v>118</v>
      </c>
      <c r="B40" s="4" t="s">
        <v>119</v>
      </c>
      <c r="C40" t="s">
        <v>120</v>
      </c>
      <c r="D40" s="9">
        <v>1</v>
      </c>
      <c r="E40" s="10">
        <f>Аренда_мес</f>
        <v>4909152.0999999996</v>
      </c>
      <c r="F40" s="9" t="s">
        <v>121</v>
      </c>
      <c r="G40" s="9">
        <v>1</v>
      </c>
      <c r="H40" s="4" t="s">
        <v>339</v>
      </c>
      <c r="I40" s="5">
        <f>D40*E40*Аренда_мес_2026</f>
        <v>11560261.396774193</v>
      </c>
    </row>
    <row r="41" spans="1:9" ht="15" customHeight="1" x14ac:dyDescent="0.25">
      <c r="A41" t="s">
        <v>118</v>
      </c>
      <c r="B41" s="4" t="s">
        <v>224</v>
      </c>
      <c r="C41" t="s">
        <v>122</v>
      </c>
      <c r="D41" s="9">
        <v>1</v>
      </c>
      <c r="E41" s="10">
        <f>Аренда_мес*Депозит_мес</f>
        <v>4909152.0999999996</v>
      </c>
      <c r="F41" s="9" t="s">
        <v>101</v>
      </c>
      <c r="G41" s="9">
        <v>1</v>
      </c>
      <c r="H41" s="4" t="s">
        <v>276</v>
      </c>
      <c r="I41" s="5">
        <f t="shared" ref="I41:I57" si="3">IF(F41="разово",IF(G41&lt;=3,D41*E41,0),IF(F41="мес",D41*E41*MAX(0,4-G41),D41*E41*MAX(0,4-G41)/12))</f>
        <v>4909152.0999999996</v>
      </c>
    </row>
    <row r="42" spans="1:9" ht="15" customHeight="1" x14ac:dyDescent="0.25">
      <c r="A42" t="s">
        <v>118</v>
      </c>
      <c r="B42" s="4" t="s">
        <v>123</v>
      </c>
      <c r="C42" t="s">
        <v>120</v>
      </c>
      <c r="D42" s="9">
        <v>1</v>
      </c>
      <c r="E42" s="10">
        <v>50000</v>
      </c>
      <c r="F42" s="9" t="s">
        <v>121</v>
      </c>
      <c r="G42" s="9">
        <v>1</v>
      </c>
      <c r="H42" s="4"/>
      <c r="I42" s="5">
        <f t="shared" si="3"/>
        <v>150000</v>
      </c>
    </row>
    <row r="43" spans="1:9" ht="15" customHeight="1" x14ac:dyDescent="0.25">
      <c r="A43" t="s">
        <v>118</v>
      </c>
      <c r="B43" s="4" t="s">
        <v>124</v>
      </c>
      <c r="C43" t="s">
        <v>120</v>
      </c>
      <c r="D43" s="9">
        <v>1</v>
      </c>
      <c r="E43" s="10">
        <v>60000</v>
      </c>
      <c r="F43" s="9" t="s">
        <v>121</v>
      </c>
      <c r="G43" s="9">
        <v>1</v>
      </c>
      <c r="H43" s="4"/>
      <c r="I43" s="5">
        <f t="shared" si="3"/>
        <v>180000</v>
      </c>
    </row>
    <row r="44" spans="1:9" ht="15" customHeight="1" x14ac:dyDescent="0.25">
      <c r="A44" t="s">
        <v>118</v>
      </c>
      <c r="B44" s="4" t="s">
        <v>125</v>
      </c>
      <c r="C44" t="s">
        <v>120</v>
      </c>
      <c r="D44" s="9">
        <v>1</v>
      </c>
      <c r="E44" s="10">
        <v>50000</v>
      </c>
      <c r="F44" s="9" t="s">
        <v>121</v>
      </c>
      <c r="G44" s="9">
        <v>1</v>
      </c>
      <c r="H44" s="4"/>
      <c r="I44" s="5">
        <f t="shared" si="3"/>
        <v>150000</v>
      </c>
    </row>
    <row r="45" spans="1:9" ht="15" customHeight="1" x14ac:dyDescent="0.25">
      <c r="A45" t="s">
        <v>118</v>
      </c>
      <c r="B45" s="4" t="s">
        <v>126</v>
      </c>
      <c r="C45" t="s">
        <v>120</v>
      </c>
      <c r="D45" s="9">
        <v>1</v>
      </c>
      <c r="E45" s="10">
        <v>30000</v>
      </c>
      <c r="F45" s="9" t="s">
        <v>121</v>
      </c>
      <c r="G45" s="9">
        <v>1</v>
      </c>
      <c r="H45" s="4"/>
      <c r="I45" s="5">
        <f t="shared" si="3"/>
        <v>90000</v>
      </c>
    </row>
    <row r="46" spans="1:9" ht="15" customHeight="1" x14ac:dyDescent="0.25">
      <c r="A46" t="s">
        <v>118</v>
      </c>
      <c r="B46" s="4" t="s">
        <v>413</v>
      </c>
      <c r="C46" t="s">
        <v>120</v>
      </c>
      <c r="D46" s="9">
        <v>1</v>
      </c>
      <c r="E46" s="10">
        <f>Канцелярия!F11</f>
        <v>37375</v>
      </c>
      <c r="F46" s="9" t="s">
        <v>121</v>
      </c>
      <c r="G46" s="9">
        <v>1</v>
      </c>
      <c r="H46" s="4" t="s">
        <v>414</v>
      </c>
      <c r="I46" s="5">
        <f t="shared" si="3"/>
        <v>112125</v>
      </c>
    </row>
    <row r="47" spans="1:9" ht="15" customHeight="1" x14ac:dyDescent="0.25">
      <c r="A47" t="s">
        <v>118</v>
      </c>
      <c r="B47" s="4" t="s">
        <v>415</v>
      </c>
      <c r="C47" t="s">
        <v>104</v>
      </c>
      <c r="D47" s="9">
        <v>1</v>
      </c>
      <c r="E47" s="10">
        <f>Канцелярия!F20</f>
        <v>78500</v>
      </c>
      <c r="F47" s="9" t="s">
        <v>101</v>
      </c>
      <c r="G47" s="9">
        <v>1</v>
      </c>
      <c r="H47" s="4" t="s">
        <v>416</v>
      </c>
      <c r="I47" s="5">
        <f t="shared" ref="I47" si="4">IF(F47="разово",IF(G47&lt;=3,D47*E47,0),IF(F47="мес",D47*E47*MAX(0,4-G47),D47*E47*MAX(0,4-G47)/12))</f>
        <v>78500</v>
      </c>
    </row>
    <row r="48" spans="1:9" ht="15" customHeight="1" x14ac:dyDescent="0.25">
      <c r="A48" t="s">
        <v>118</v>
      </c>
      <c r="B48" s="4" t="s">
        <v>127</v>
      </c>
      <c r="C48" t="s">
        <v>120</v>
      </c>
      <c r="D48" s="9">
        <v>1</v>
      </c>
      <c r="E48" s="10">
        <v>100000</v>
      </c>
      <c r="F48" s="9" t="s">
        <v>121</v>
      </c>
      <c r="G48" s="9">
        <v>1</v>
      </c>
      <c r="H48" s="4"/>
      <c r="I48" s="5">
        <f t="shared" si="3"/>
        <v>300000</v>
      </c>
    </row>
    <row r="49" spans="1:9" ht="15" customHeight="1" x14ac:dyDescent="0.25">
      <c r="A49" t="s">
        <v>128</v>
      </c>
      <c r="B49" s="4" t="s">
        <v>129</v>
      </c>
      <c r="C49" t="s">
        <v>130</v>
      </c>
      <c r="D49" s="9">
        <v>14</v>
      </c>
      <c r="E49" s="10">
        <v>7000</v>
      </c>
      <c r="F49" s="9" t="s">
        <v>121</v>
      </c>
      <c r="G49" s="9">
        <v>1</v>
      </c>
      <c r="H49" s="4" t="s">
        <v>405</v>
      </c>
      <c r="I49" s="5">
        <f t="shared" si="3"/>
        <v>294000</v>
      </c>
    </row>
    <row r="50" spans="1:9" ht="15" customHeight="1" x14ac:dyDescent="0.25">
      <c r="A50" t="s">
        <v>128</v>
      </c>
      <c r="B50" s="4" t="s">
        <v>131</v>
      </c>
      <c r="C50" t="s">
        <v>130</v>
      </c>
      <c r="D50" s="9">
        <v>3</v>
      </c>
      <c r="E50" s="10">
        <v>7500</v>
      </c>
      <c r="F50" s="9" t="s">
        <v>121</v>
      </c>
      <c r="G50" s="9">
        <v>1</v>
      </c>
      <c r="H50" s="4"/>
      <c r="I50" s="5">
        <f t="shared" si="3"/>
        <v>67500</v>
      </c>
    </row>
    <row r="51" spans="1:9" ht="15" customHeight="1" x14ac:dyDescent="0.25">
      <c r="A51" t="s">
        <v>128</v>
      </c>
      <c r="B51" s="4" t="s">
        <v>132</v>
      </c>
      <c r="C51" t="s">
        <v>133</v>
      </c>
      <c r="D51" s="9">
        <v>2</v>
      </c>
      <c r="E51" s="10">
        <v>30000</v>
      </c>
      <c r="F51" s="9" t="s">
        <v>121</v>
      </c>
      <c r="G51" s="9">
        <v>1</v>
      </c>
      <c r="H51" s="4" t="s">
        <v>134</v>
      </c>
      <c r="I51" s="5">
        <f t="shared" si="3"/>
        <v>180000</v>
      </c>
    </row>
    <row r="52" spans="1:9" ht="15" customHeight="1" x14ac:dyDescent="0.25">
      <c r="A52" t="s">
        <v>128</v>
      </c>
      <c r="B52" s="4" t="s">
        <v>135</v>
      </c>
      <c r="C52" t="s">
        <v>133</v>
      </c>
      <c r="D52" s="9">
        <v>2</v>
      </c>
      <c r="E52" s="10">
        <v>8000</v>
      </c>
      <c r="F52" s="9" t="s">
        <v>121</v>
      </c>
      <c r="G52" s="9">
        <v>1</v>
      </c>
      <c r="H52" s="4"/>
      <c r="I52" s="5">
        <f t="shared" si="3"/>
        <v>48000</v>
      </c>
    </row>
    <row r="53" spans="1:9" ht="15" customHeight="1" x14ac:dyDescent="0.25">
      <c r="A53" t="s">
        <v>136</v>
      </c>
      <c r="B53" s="4" t="s">
        <v>330</v>
      </c>
      <c r="C53" t="s">
        <v>248</v>
      </c>
      <c r="D53" s="9"/>
      <c r="E53" s="10"/>
      <c r="F53" s="9" t="s">
        <v>246</v>
      </c>
      <c r="G53" s="9"/>
      <c r="H53" s="4"/>
      <c r="I53" s="5">
        <v>2000000</v>
      </c>
    </row>
    <row r="54" spans="1:9" ht="15" customHeight="1" x14ac:dyDescent="0.25">
      <c r="A54" t="s">
        <v>136</v>
      </c>
      <c r="B54" s="4" t="s">
        <v>137</v>
      </c>
      <c r="C54" t="s">
        <v>120</v>
      </c>
      <c r="D54" s="9">
        <v>1</v>
      </c>
      <c r="E54" s="10">
        <v>150000</v>
      </c>
      <c r="F54" s="9" t="s">
        <v>121</v>
      </c>
      <c r="G54" s="9">
        <v>1</v>
      </c>
      <c r="H54" s="4"/>
      <c r="I54" s="5">
        <f t="shared" si="3"/>
        <v>450000</v>
      </c>
    </row>
    <row r="55" spans="1:9" ht="15" customHeight="1" x14ac:dyDescent="0.25">
      <c r="A55" t="s">
        <v>136</v>
      </c>
      <c r="B55" s="4" t="s">
        <v>139</v>
      </c>
      <c r="C55" t="s">
        <v>120</v>
      </c>
      <c r="D55" s="9">
        <v>1</v>
      </c>
      <c r="E55" s="10">
        <v>25000</v>
      </c>
      <c r="F55" s="9" t="s">
        <v>121</v>
      </c>
      <c r="G55" s="9">
        <v>1</v>
      </c>
      <c r="H55" s="4"/>
      <c r="I55" s="5">
        <f t="shared" si="3"/>
        <v>75000</v>
      </c>
    </row>
    <row r="56" spans="1:9" ht="15" customHeight="1" x14ac:dyDescent="0.25">
      <c r="A56" t="s">
        <v>140</v>
      </c>
      <c r="B56" s="4" t="s">
        <v>406</v>
      </c>
      <c r="C56" t="s">
        <v>104</v>
      </c>
      <c r="D56" s="9">
        <v>1</v>
      </c>
      <c r="E56" s="10">
        <v>50000</v>
      </c>
      <c r="F56" s="9" t="s">
        <v>101</v>
      </c>
      <c r="G56" s="9">
        <v>1</v>
      </c>
      <c r="H56" s="4"/>
      <c r="I56" s="5">
        <f t="shared" si="3"/>
        <v>50000</v>
      </c>
    </row>
    <row r="57" spans="1:9" ht="15" customHeight="1" x14ac:dyDescent="0.25">
      <c r="A57" t="s">
        <v>140</v>
      </c>
      <c r="B57" s="4" t="s">
        <v>407</v>
      </c>
      <c r="C57" t="s">
        <v>138</v>
      </c>
      <c r="D57" s="9">
        <v>1</v>
      </c>
      <c r="E57" s="10">
        <v>100000</v>
      </c>
      <c r="F57" s="9" t="s">
        <v>138</v>
      </c>
      <c r="G57" s="9">
        <v>1</v>
      </c>
      <c r="H57" s="4"/>
      <c r="I57" s="5">
        <f t="shared" si="3"/>
        <v>25000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13"/>
  <sheetViews>
    <sheetView workbookViewId="0">
      <selection activeCell="K23" sqref="K23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7" width="14.7109375" customWidth="1"/>
    <col min="8" max="12" width="8.7109375" customWidth="1"/>
  </cols>
  <sheetData>
    <row r="1" spans="1:7" ht="17.25" x14ac:dyDescent="0.3">
      <c r="A1" s="1" t="s">
        <v>378</v>
      </c>
    </row>
    <row r="2" spans="1:7" x14ac:dyDescent="0.25">
      <c r="A2" s="2"/>
    </row>
    <row r="4" spans="1:7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4" t="s">
        <v>91</v>
      </c>
    </row>
    <row r="5" spans="1:7" ht="30" x14ac:dyDescent="0.25">
      <c r="A5" t="s">
        <v>300</v>
      </c>
      <c r="B5" s="4" t="s">
        <v>301</v>
      </c>
      <c r="C5" t="s">
        <v>248</v>
      </c>
      <c r="D5" s="9"/>
      <c r="E5" s="10"/>
      <c r="F5" s="9" t="s">
        <v>246</v>
      </c>
      <c r="G5" s="5">
        <v>3600000</v>
      </c>
    </row>
    <row r="6" spans="1:7" x14ac:dyDescent="0.25">
      <c r="A6" t="s">
        <v>300</v>
      </c>
      <c r="B6" s="4" t="s">
        <v>250</v>
      </c>
      <c r="C6" t="s">
        <v>248</v>
      </c>
      <c r="D6" s="9"/>
      <c r="E6" s="10"/>
      <c r="F6" s="9" t="s">
        <v>246</v>
      </c>
      <c r="G6" s="5">
        <v>1200000</v>
      </c>
    </row>
    <row r="7" spans="1:7" x14ac:dyDescent="0.25">
      <c r="A7" t="s">
        <v>300</v>
      </c>
      <c r="B7" s="4" t="s">
        <v>348</v>
      </c>
      <c r="C7" t="s">
        <v>248</v>
      </c>
      <c r="D7" s="9"/>
      <c r="E7" s="10"/>
      <c r="F7" s="9" t="s">
        <v>246</v>
      </c>
      <c r="G7" s="5">
        <v>6100000</v>
      </c>
    </row>
    <row r="8" spans="1:7" ht="30" x14ac:dyDescent="0.25">
      <c r="A8" t="s">
        <v>300</v>
      </c>
      <c r="B8" s="4" t="s">
        <v>347</v>
      </c>
      <c r="C8" t="s">
        <v>248</v>
      </c>
      <c r="D8" s="9"/>
      <c r="E8" s="10"/>
      <c r="F8" s="9" t="s">
        <v>246</v>
      </c>
      <c r="G8" s="5">
        <v>18400000</v>
      </c>
    </row>
    <row r="9" spans="1:7" x14ac:dyDescent="0.25">
      <c r="A9" t="s">
        <v>300</v>
      </c>
      <c r="B9" s="4" t="s">
        <v>249</v>
      </c>
      <c r="C9" t="s">
        <v>248</v>
      </c>
      <c r="D9" s="9"/>
      <c r="E9" s="10"/>
      <c r="F9" s="9" t="s">
        <v>246</v>
      </c>
      <c r="G9" s="5">
        <v>9200000</v>
      </c>
    </row>
    <row r="10" spans="1:7" x14ac:dyDescent="0.25">
      <c r="A10" t="s">
        <v>300</v>
      </c>
      <c r="B10" s="4" t="s">
        <v>251</v>
      </c>
      <c r="C10" t="s">
        <v>248</v>
      </c>
      <c r="D10" s="9"/>
      <c r="E10" s="10"/>
      <c r="F10" s="9" t="s">
        <v>246</v>
      </c>
      <c r="G10" s="5">
        <v>31000271.420000002</v>
      </c>
    </row>
    <row r="11" spans="1:7" x14ac:dyDescent="0.25">
      <c r="A11" t="s">
        <v>300</v>
      </c>
      <c r="B11" s="4" t="s">
        <v>247</v>
      </c>
      <c r="C11" t="s">
        <v>248</v>
      </c>
      <c r="D11" s="9"/>
      <c r="E11" s="10"/>
      <c r="F11" s="9" t="s">
        <v>246</v>
      </c>
      <c r="G11" s="5">
        <v>18400000</v>
      </c>
    </row>
    <row r="12" spans="1:7" x14ac:dyDescent="0.25">
      <c r="G12" s="5"/>
    </row>
    <row r="13" spans="1:7" x14ac:dyDescent="0.25">
      <c r="B13" s="7" t="s">
        <v>379</v>
      </c>
      <c r="C13" s="7"/>
      <c r="D13" s="7"/>
      <c r="E13" s="7"/>
      <c r="F13" s="7"/>
      <c r="G13" s="6">
        <f>SUM(G5:G11)</f>
        <v>87900271.420000002</v>
      </c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0"/>
  <sheetViews>
    <sheetView workbookViewId="0">
      <selection activeCell="A13" sqref="A13:G20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412</v>
      </c>
    </row>
    <row r="4" spans="1:7" s="7" customFormat="1" x14ac:dyDescent="0.25">
      <c r="A4" s="7" t="s">
        <v>182</v>
      </c>
      <c r="B4" s="7" t="s">
        <v>183</v>
      </c>
      <c r="C4" s="7" t="s">
        <v>94</v>
      </c>
      <c r="D4" s="7" t="s">
        <v>184</v>
      </c>
      <c r="E4" s="7" t="s">
        <v>95</v>
      </c>
      <c r="F4" s="7" t="s">
        <v>185</v>
      </c>
      <c r="G4" s="7" t="s">
        <v>97</v>
      </c>
    </row>
    <row r="5" spans="1:7" x14ac:dyDescent="0.25">
      <c r="A5" t="s">
        <v>186</v>
      </c>
      <c r="B5" t="s">
        <v>187</v>
      </c>
      <c r="C5" t="s">
        <v>188</v>
      </c>
      <c r="D5" s="13">
        <v>3.5</v>
      </c>
      <c r="E5" s="5">
        <v>3000</v>
      </c>
      <c r="F5" s="5">
        <f t="shared" ref="F5:F10" si="0">D5*E5</f>
        <v>10500</v>
      </c>
      <c r="G5" t="s">
        <v>331</v>
      </c>
    </row>
    <row r="6" spans="1:7" x14ac:dyDescent="0.25">
      <c r="A6" t="s">
        <v>186</v>
      </c>
      <c r="B6" t="s">
        <v>189</v>
      </c>
      <c r="C6" t="s">
        <v>188</v>
      </c>
      <c r="D6" s="13">
        <v>0.25</v>
      </c>
      <c r="E6" s="5">
        <v>6500</v>
      </c>
      <c r="F6" s="5">
        <f t="shared" si="0"/>
        <v>1625</v>
      </c>
      <c r="G6" t="s">
        <v>190</v>
      </c>
    </row>
    <row r="7" spans="1:7" x14ac:dyDescent="0.25">
      <c r="A7" t="s">
        <v>186</v>
      </c>
      <c r="B7" t="s">
        <v>191</v>
      </c>
      <c r="C7" t="s">
        <v>192</v>
      </c>
      <c r="D7" s="13">
        <v>0.5</v>
      </c>
      <c r="E7" s="5">
        <v>6000</v>
      </c>
      <c r="F7" s="5">
        <f t="shared" si="0"/>
        <v>3000</v>
      </c>
      <c r="G7" t="s">
        <v>193</v>
      </c>
    </row>
    <row r="8" spans="1:7" x14ac:dyDescent="0.25">
      <c r="A8" t="s">
        <v>186</v>
      </c>
      <c r="B8" t="s">
        <v>194</v>
      </c>
      <c r="C8" t="s">
        <v>104</v>
      </c>
      <c r="D8" s="13">
        <v>0.25</v>
      </c>
      <c r="E8" s="5">
        <v>5000</v>
      </c>
      <c r="F8" s="5">
        <f t="shared" si="0"/>
        <v>1250</v>
      </c>
      <c r="G8" t="s">
        <v>195</v>
      </c>
    </row>
    <row r="9" spans="1:7" x14ac:dyDescent="0.25">
      <c r="A9" t="s">
        <v>196</v>
      </c>
      <c r="B9" t="s">
        <v>197</v>
      </c>
      <c r="C9" t="s">
        <v>104</v>
      </c>
      <c r="D9" s="13">
        <v>10</v>
      </c>
      <c r="E9" s="5">
        <v>1200</v>
      </c>
      <c r="F9" s="5">
        <f t="shared" si="0"/>
        <v>12000</v>
      </c>
      <c r="G9" t="s">
        <v>198</v>
      </c>
    </row>
    <row r="10" spans="1:7" x14ac:dyDescent="0.25">
      <c r="A10" t="s">
        <v>196</v>
      </c>
      <c r="B10" t="s">
        <v>199</v>
      </c>
      <c r="C10" t="s">
        <v>104</v>
      </c>
      <c r="D10" s="13">
        <v>10</v>
      </c>
      <c r="E10" s="5">
        <v>900</v>
      </c>
      <c r="F10" s="5">
        <f t="shared" si="0"/>
        <v>9000</v>
      </c>
      <c r="G10" t="s">
        <v>198</v>
      </c>
    </row>
    <row r="11" spans="1:7" s="7" customFormat="1" x14ac:dyDescent="0.25">
      <c r="B11" s="7" t="s">
        <v>211</v>
      </c>
      <c r="D11" s="32"/>
      <c r="E11" s="6"/>
      <c r="F11" s="6">
        <f>SUM(F5:F10)</f>
        <v>37375</v>
      </c>
    </row>
    <row r="13" spans="1:7" x14ac:dyDescent="0.25">
      <c r="A13" s="7" t="s">
        <v>410</v>
      </c>
      <c r="B13" s="7"/>
      <c r="C13" s="7"/>
      <c r="D13" s="32" t="s">
        <v>72</v>
      </c>
      <c r="E13" s="6"/>
      <c r="F13" s="6" t="s">
        <v>146</v>
      </c>
      <c r="G13" s="7"/>
    </row>
    <row r="14" spans="1:7" x14ac:dyDescent="0.25">
      <c r="A14" t="s">
        <v>196</v>
      </c>
      <c r="B14" t="s">
        <v>200</v>
      </c>
      <c r="C14" t="s">
        <v>104</v>
      </c>
      <c r="D14" s="47">
        <v>15</v>
      </c>
      <c r="E14" s="5">
        <v>1500</v>
      </c>
      <c r="F14" s="5">
        <f>D14*E14</f>
        <v>22500</v>
      </c>
      <c r="G14" t="s">
        <v>201</v>
      </c>
    </row>
    <row r="15" spans="1:7" x14ac:dyDescent="0.25">
      <c r="A15" t="s">
        <v>196</v>
      </c>
      <c r="B15" t="s">
        <v>202</v>
      </c>
      <c r="C15" t="s">
        <v>104</v>
      </c>
      <c r="D15" s="47">
        <v>1</v>
      </c>
      <c r="E15" s="5">
        <v>8000</v>
      </c>
      <c r="F15" s="5">
        <f>D15*E15</f>
        <v>8000</v>
      </c>
      <c r="G15" t="s">
        <v>203</v>
      </c>
    </row>
    <row r="16" spans="1:7" x14ac:dyDescent="0.25">
      <c r="A16" t="s">
        <v>196</v>
      </c>
      <c r="B16" t="s">
        <v>204</v>
      </c>
      <c r="C16" t="s">
        <v>104</v>
      </c>
      <c r="D16" s="47">
        <v>1</v>
      </c>
      <c r="E16" s="5">
        <v>10000</v>
      </c>
      <c r="F16" s="5">
        <f>D16*E16</f>
        <v>10000</v>
      </c>
      <c r="G16" t="s">
        <v>205</v>
      </c>
    </row>
    <row r="17" spans="1:7" x14ac:dyDescent="0.25">
      <c r="A17" t="s">
        <v>196</v>
      </c>
      <c r="B17" t="s">
        <v>206</v>
      </c>
      <c r="C17" t="s">
        <v>104</v>
      </c>
      <c r="D17" s="47">
        <v>1</v>
      </c>
      <c r="E17" s="5">
        <v>6000</v>
      </c>
      <c r="F17" s="5">
        <f>D17*E17</f>
        <v>6000</v>
      </c>
    </row>
    <row r="18" spans="1:7" x14ac:dyDescent="0.25">
      <c r="A18" t="s">
        <v>196</v>
      </c>
      <c r="B18" t="s">
        <v>207</v>
      </c>
      <c r="C18" t="s">
        <v>104</v>
      </c>
      <c r="D18" s="47">
        <v>2</v>
      </c>
      <c r="E18" s="5">
        <v>12000</v>
      </c>
      <c r="F18" s="5">
        <f>D18*E18</f>
        <v>24000</v>
      </c>
      <c r="G18" t="s">
        <v>208</v>
      </c>
    </row>
    <row r="19" spans="1:7" x14ac:dyDescent="0.25">
      <c r="A19" t="s">
        <v>196</v>
      </c>
      <c r="B19" t="s">
        <v>209</v>
      </c>
      <c r="C19" t="s">
        <v>104</v>
      </c>
      <c r="D19" s="47">
        <v>1</v>
      </c>
      <c r="E19" s="5">
        <v>8000</v>
      </c>
      <c r="F19" s="5">
        <f>D19*E19</f>
        <v>8000</v>
      </c>
      <c r="G19" t="s">
        <v>210</v>
      </c>
    </row>
    <row r="20" spans="1:7" x14ac:dyDescent="0.25">
      <c r="A20" s="7"/>
      <c r="B20" s="7" t="s">
        <v>411</v>
      </c>
      <c r="C20" s="7"/>
      <c r="D20" s="32"/>
      <c r="E20" s="6"/>
      <c r="F20" s="6">
        <f>SUM(F14:F19)</f>
        <v>78500</v>
      </c>
      <c r="G20" s="7"/>
    </row>
  </sheetData>
  <pageMargins left="0.7" right="0.7" top="0.75" bottom="0.75" header="0.3" footer="0.3"/>
  <pageSetup paperSize="9" scale="6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141</v>
      </c>
    </row>
    <row r="2" spans="1:7" ht="15" customHeight="1" x14ac:dyDescent="0.25">
      <c r="A2" s="2" t="s">
        <v>142</v>
      </c>
    </row>
    <row r="4" spans="1:7" ht="27.75" customHeight="1" x14ac:dyDescent="0.25">
      <c r="A4" s="3" t="s">
        <v>66</v>
      </c>
      <c r="B4" s="3" t="s">
        <v>143</v>
      </c>
      <c r="C4" s="3" t="s">
        <v>144</v>
      </c>
      <c r="D4" s="3" t="s">
        <v>145</v>
      </c>
      <c r="E4" s="3" t="s">
        <v>72</v>
      </c>
      <c r="F4" s="3" t="s">
        <v>95</v>
      </c>
      <c r="G4" s="3" t="s">
        <v>146</v>
      </c>
    </row>
    <row r="5" spans="1:7" ht="15" customHeight="1" x14ac:dyDescent="0.25">
      <c r="A5" s="7" t="s">
        <v>147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148</v>
      </c>
      <c r="C6">
        <v>5659</v>
      </c>
      <c r="D6" t="s">
        <v>149</v>
      </c>
      <c r="E6">
        <v>1</v>
      </c>
      <c r="F6" s="5">
        <v>1669990</v>
      </c>
      <c r="G6" s="5">
        <f t="shared" ref="G6:G12" si="0">E6*F6</f>
        <v>1669990</v>
      </c>
    </row>
    <row r="7" spans="1:7" ht="15" customHeight="1" x14ac:dyDescent="0.25">
      <c r="A7">
        <v>2</v>
      </c>
      <c r="B7" t="s">
        <v>150</v>
      </c>
      <c r="C7">
        <v>2584</v>
      </c>
      <c r="D7" t="s">
        <v>151</v>
      </c>
      <c r="E7">
        <v>1</v>
      </c>
      <c r="F7" s="5">
        <v>485990</v>
      </c>
      <c r="G7" s="5">
        <f t="shared" si="0"/>
        <v>485990</v>
      </c>
    </row>
    <row r="8" spans="1:7" ht="15" customHeight="1" x14ac:dyDescent="0.25">
      <c r="A8">
        <v>4</v>
      </c>
      <c r="B8" t="s">
        <v>152</v>
      </c>
      <c r="C8">
        <v>6218</v>
      </c>
      <c r="D8" t="s">
        <v>151</v>
      </c>
      <c r="E8">
        <v>1</v>
      </c>
      <c r="F8" s="5">
        <v>479990</v>
      </c>
      <c r="G8" s="5">
        <f t="shared" si="0"/>
        <v>479990</v>
      </c>
    </row>
    <row r="9" spans="1:7" ht="15" customHeight="1" x14ac:dyDescent="0.25">
      <c r="A9">
        <v>6</v>
      </c>
      <c r="B9" t="s">
        <v>153</v>
      </c>
      <c r="C9">
        <v>4240</v>
      </c>
      <c r="D9" t="s">
        <v>151</v>
      </c>
      <c r="E9">
        <v>1</v>
      </c>
      <c r="F9" s="5">
        <v>104990</v>
      </c>
      <c r="G9" s="5">
        <f t="shared" si="0"/>
        <v>104990</v>
      </c>
    </row>
    <row r="10" spans="1:7" ht="15" customHeight="1" x14ac:dyDescent="0.25">
      <c r="A10">
        <v>7</v>
      </c>
      <c r="B10" t="s">
        <v>154</v>
      </c>
      <c r="C10">
        <v>6976</v>
      </c>
      <c r="D10" t="s">
        <v>151</v>
      </c>
      <c r="E10">
        <v>1</v>
      </c>
      <c r="F10" s="5">
        <v>119990</v>
      </c>
      <c r="G10" s="5">
        <f t="shared" si="0"/>
        <v>119990</v>
      </c>
    </row>
    <row r="11" spans="1:7" ht="15" customHeight="1" x14ac:dyDescent="0.25">
      <c r="A11">
        <v>9</v>
      </c>
      <c r="B11" t="s">
        <v>155</v>
      </c>
      <c r="C11">
        <v>3288</v>
      </c>
      <c r="D11" t="s">
        <v>151</v>
      </c>
      <c r="E11">
        <v>1</v>
      </c>
      <c r="F11" s="5">
        <v>58990</v>
      </c>
      <c r="G11" s="5">
        <f t="shared" si="0"/>
        <v>58990</v>
      </c>
    </row>
    <row r="12" spans="1:7" ht="15" customHeight="1" x14ac:dyDescent="0.25">
      <c r="A12">
        <v>10</v>
      </c>
      <c r="B12" t="s">
        <v>156</v>
      </c>
      <c r="C12">
        <v>1756</v>
      </c>
      <c r="D12" t="s">
        <v>151</v>
      </c>
      <c r="E12">
        <v>1</v>
      </c>
      <c r="F12" s="5">
        <v>31990</v>
      </c>
      <c r="G12" s="5">
        <f t="shared" si="0"/>
        <v>31990</v>
      </c>
    </row>
    <row r="13" spans="1:7" ht="15" customHeight="1" x14ac:dyDescent="0.25">
      <c r="A13" s="7"/>
      <c r="B13" s="7" t="s">
        <v>157</v>
      </c>
      <c r="C13" s="7"/>
      <c r="D13" s="7"/>
      <c r="E13" s="7"/>
      <c r="F13" s="6"/>
      <c r="G13" s="6">
        <f>SUM(G6:G12)</f>
        <v>2951930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398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158</v>
      </c>
      <c r="D16" t="s">
        <v>159</v>
      </c>
      <c r="E16">
        <v>1</v>
      </c>
      <c r="F16" s="5">
        <v>240000</v>
      </c>
      <c r="G16" s="5">
        <f t="shared" ref="G16" si="1">E16*F16</f>
        <v>240000</v>
      </c>
    </row>
    <row r="17" spans="1:7" ht="15" customHeight="1" x14ac:dyDescent="0.25">
      <c r="A17" s="7"/>
      <c r="B17" s="7" t="s">
        <v>160</v>
      </c>
      <c r="C17" s="7"/>
      <c r="D17" s="7"/>
      <c r="E17" s="7"/>
      <c r="F17" s="6"/>
      <c r="G17" s="6">
        <f>SUM(G16:G16)</f>
        <v>240000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161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162</v>
      </c>
      <c r="D20" t="s">
        <v>159</v>
      </c>
      <c r="E20">
        <v>1</v>
      </c>
      <c r="F20" s="5">
        <v>250000</v>
      </c>
      <c r="G20" s="5">
        <f>E20*F20</f>
        <v>250000</v>
      </c>
    </row>
    <row r="21" spans="1:7" ht="15" customHeight="1" x14ac:dyDescent="0.25">
      <c r="A21">
        <v>3.4</v>
      </c>
      <c r="B21" t="s">
        <v>163</v>
      </c>
      <c r="D21" t="s">
        <v>159</v>
      </c>
      <c r="E21">
        <v>1</v>
      </c>
      <c r="F21" s="5">
        <v>150000</v>
      </c>
      <c r="G21" s="5">
        <f>E21*F21</f>
        <v>150000</v>
      </c>
    </row>
    <row r="22" spans="1:7" ht="15" customHeight="1" x14ac:dyDescent="0.25">
      <c r="A22" s="7"/>
      <c r="B22" s="7" t="s">
        <v>164</v>
      </c>
      <c r="C22" s="7"/>
      <c r="D22" s="7"/>
      <c r="E22" s="7"/>
      <c r="F22" s="6"/>
      <c r="G22" s="6">
        <f>SUM(G20:G21)</f>
        <v>400000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165</v>
      </c>
      <c r="C24" s="11"/>
      <c r="D24" s="11"/>
      <c r="E24" s="11"/>
      <c r="F24" s="12"/>
      <c r="G24" s="12">
        <f>G13+G17+G22</f>
        <v>3591930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41</vt:i4>
      </vt:variant>
    </vt:vector>
  </HeadingPairs>
  <TitlesOfParts>
    <vt:vector size="50" baseType="lpstr">
      <vt:lpstr>Свод</vt:lpstr>
      <vt:lpstr>Параметры</vt:lpstr>
      <vt:lpstr>Штат</vt:lpstr>
      <vt:lpstr>Аутсорс</vt:lpstr>
      <vt:lpstr>Командировки</vt:lpstr>
      <vt:lpstr>Оснащение и офис</vt:lpstr>
      <vt:lpstr>Проекты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2026-10-12T09:35:47Z</dcterms:modified>
  <dc:language>en-US</dc:language>
</cp:coreProperties>
</file>