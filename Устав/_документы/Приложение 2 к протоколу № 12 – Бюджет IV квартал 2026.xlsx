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Устав\9 Протокол № 12 – Стратегия, штатное расписание, бюджет (2026-10-30)\Приложения к протоколу № 12\"/>
    </mc:Choice>
  </mc:AlternateContent>
  <bookViews>
    <workbookView xWindow="0" yWindow="0" windowWidth="28800" windowHeight="12315" tabRatio="500"/>
  </bookViews>
  <sheets>
    <sheet name="Свод" sheetId="1" r:id="rId1"/>
    <sheet name="Параметры" sheetId="2" r:id="rId2"/>
    <sheet name="Штат" sheetId="3" r:id="rId3"/>
    <sheet name="Аутсорс" sheetId="9" r:id="rId4"/>
    <sheet name="Комиссия Antal" sheetId="16" r:id="rId5"/>
    <sheet name="Командировки" sheetId="4" r:id="rId6"/>
    <sheet name="Оснащение и офис" sheetId="5" r:id="rId7"/>
    <sheet name="Проекты" sheetId="8" r:id="rId8"/>
    <sheet name="Taza talqy" sheetId="10" r:id="rId9"/>
    <sheet name="Презентация офисе" sheetId="11" r:id="rId10"/>
    <sheet name="креативные проекты" sheetId="12" r:id="rId11"/>
    <sheet name="Информ сопровождение" sheetId="13" r:id="rId12"/>
    <sheet name="Соц исследования" sheetId="14" r:id="rId13"/>
    <sheet name="Разработка платформы" sheetId="15" r:id="rId14"/>
    <sheet name="Канцелярия" sheetId="7" r:id="rId15"/>
    <sheet name="Смета фото-видео" sheetId="6" r:id="rId16"/>
    <sheet name="Февраль 2027" sheetId="17" r:id="rId17"/>
  </sheets>
  <definedNames>
    <definedName name="Авиа_межд" localSheetId="8">#REF!</definedName>
    <definedName name="Авиа_межд" localSheetId="11">#REF!</definedName>
    <definedName name="Авиа_межд" localSheetId="10">#REF!</definedName>
    <definedName name="Авиа_межд" localSheetId="9">#REF!</definedName>
    <definedName name="Авиа_межд" localSheetId="13">#REF!</definedName>
    <definedName name="Авиа_межд" localSheetId="12">#REF!</definedName>
    <definedName name="Авиа_межд">Параметры!$B$25</definedName>
    <definedName name="Авиа_РК" localSheetId="8">#REF!</definedName>
    <definedName name="Авиа_РК" localSheetId="11">#REF!</definedName>
    <definedName name="Авиа_РК" localSheetId="10">#REF!</definedName>
    <definedName name="Авиа_РК" localSheetId="9">#REF!</definedName>
    <definedName name="Авиа_РК" localSheetId="13">#REF!</definedName>
    <definedName name="Авиа_РК" localSheetId="12">#REF!</definedName>
    <definedName name="Авиа_РК">Параметры!$B$18</definedName>
    <definedName name="Аренда_депозит" localSheetId="8">#REF!</definedName>
    <definedName name="Аренда_депозит" localSheetId="11">#REF!</definedName>
    <definedName name="Аренда_депозит" localSheetId="10">#REF!</definedName>
    <definedName name="Аренда_депозит" localSheetId="9">#REF!</definedName>
    <definedName name="Аренда_депозит" localSheetId="13">#REF!</definedName>
    <definedName name="Аренда_депозит" localSheetId="12">#REF!</definedName>
    <definedName name="Аренда_депозит">Параметры!$B$48</definedName>
    <definedName name="Аренда_мес" localSheetId="8">#REF!</definedName>
    <definedName name="Аренда_мес" localSheetId="11">#REF!</definedName>
    <definedName name="Аренда_мес" localSheetId="10">#REF!</definedName>
    <definedName name="Аренда_мес" localSheetId="9">#REF!</definedName>
    <definedName name="Аренда_мес" localSheetId="13">#REF!</definedName>
    <definedName name="Аренда_мес" localSheetId="12">#REF!</definedName>
    <definedName name="Аренда_мес">Параметры!$B$32</definedName>
    <definedName name="Аренда_мес_2026" localSheetId="8">#REF!</definedName>
    <definedName name="Аренда_мес_2026" localSheetId="11">#REF!</definedName>
    <definedName name="Аренда_мес_2026" localSheetId="10">#REF!</definedName>
    <definedName name="Аренда_мес_2026" localSheetId="9">#REF!</definedName>
    <definedName name="Аренда_мес_2026" localSheetId="13">#REF!</definedName>
    <definedName name="Аренда_мес_2026" localSheetId="12">#REF!</definedName>
    <definedName name="Аренда_мес_2026">Параметры!$B$49</definedName>
    <definedName name="Аренда_с_НДС" localSheetId="8">#REF!</definedName>
    <definedName name="Аренда_с_НДС" localSheetId="11">#REF!</definedName>
    <definedName name="Аренда_с_НДС" localSheetId="10">#REF!</definedName>
    <definedName name="Аренда_с_НДС" localSheetId="9">#REF!</definedName>
    <definedName name="Аренда_с_НДС" localSheetId="13">#REF!</definedName>
    <definedName name="Аренда_с_НДС" localSheetId="12">#REF!</definedName>
    <definedName name="Аренда_с_НДС">Параметры!$B$47</definedName>
    <definedName name="Депозит_мес" localSheetId="8">#REF!</definedName>
    <definedName name="Депозит_мес" localSheetId="11">#REF!</definedName>
    <definedName name="Депозит_мес" localSheetId="10">#REF!</definedName>
    <definedName name="Депозит_мес" localSheetId="9">#REF!</definedName>
    <definedName name="Депозит_мес" localSheetId="13">#REF!</definedName>
    <definedName name="Депозит_мес" localSheetId="12">#REF!</definedName>
    <definedName name="Депозит_мес">Параметры!$B$33</definedName>
    <definedName name="Дней_межд" localSheetId="8">#REF!</definedName>
    <definedName name="Дней_межд" localSheetId="11">#REF!</definedName>
    <definedName name="Дней_межд" localSheetId="10">#REF!</definedName>
    <definedName name="Дней_межд" localSheetId="9">#REF!</definedName>
    <definedName name="Дней_межд" localSheetId="13">#REF!</definedName>
    <definedName name="Дней_межд" localSheetId="12">#REF!</definedName>
    <definedName name="Дней_межд">Параметры!$B$28</definedName>
    <definedName name="Дней_РК" localSheetId="8">#REF!</definedName>
    <definedName name="Дней_РК" localSheetId="11">#REF!</definedName>
    <definedName name="Дней_РК" localSheetId="10">#REF!</definedName>
    <definedName name="Дней_РК" localSheetId="9">#REF!</definedName>
    <definedName name="Дней_РК" localSheetId="13">#REF!</definedName>
    <definedName name="Дней_РК" localSheetId="12">#REF!</definedName>
    <definedName name="Дней_РК">Параметры!$B$21</definedName>
    <definedName name="Долг_ЗП" hidden="1">Параметры!$B$55</definedName>
    <definedName name="Долг_НДС" hidden="1">Параметры!$B$56</definedName>
    <definedName name="Долг_прочие" hidden="1">Параметры!$B$57</definedName>
    <definedName name="Кап_ООСМС" localSheetId="8">#REF!</definedName>
    <definedName name="Кап_ООСМС" localSheetId="11">#REF!</definedName>
    <definedName name="Кап_ООСМС" localSheetId="10">#REF!</definedName>
    <definedName name="Кап_ООСМС" localSheetId="9">#REF!</definedName>
    <definedName name="Кап_ООСМС" localSheetId="13">#REF!</definedName>
    <definedName name="Кап_ООСМС" localSheetId="12">#REF!</definedName>
    <definedName name="Кап_ООСМС">Параметры!$B$11</definedName>
    <definedName name="Кап_СО" localSheetId="8">#REF!</definedName>
    <definedName name="Кап_СО" localSheetId="11">#REF!</definedName>
    <definedName name="Кап_СО" localSheetId="10">#REF!</definedName>
    <definedName name="Кап_СО" localSheetId="9">#REF!</definedName>
    <definedName name="Кап_СО" localSheetId="13">#REF!</definedName>
    <definedName name="Кап_СО" localSheetId="12">#REF!</definedName>
    <definedName name="Кап_СО">Параметры!$B$9</definedName>
    <definedName name="Коммун_мес" localSheetId="8">#REF!</definedName>
    <definedName name="Коммун_мес" localSheetId="11">#REF!</definedName>
    <definedName name="Коммун_мес" localSheetId="10">#REF!</definedName>
    <definedName name="Коммун_мес" localSheetId="9">#REF!</definedName>
    <definedName name="Коммун_мес" localSheetId="13">#REF!</definedName>
    <definedName name="Коммун_мес" localSheetId="12">#REF!</definedName>
    <definedName name="Коммун_мес">Параметры!$B$44</definedName>
    <definedName name="Курс" localSheetId="8">#REF!</definedName>
    <definedName name="Курс" localSheetId="11">#REF!</definedName>
    <definedName name="Курс" localSheetId="10">#REF!</definedName>
    <definedName name="Курс" localSheetId="9">#REF!</definedName>
    <definedName name="Курс" localSheetId="13">#REF!</definedName>
    <definedName name="Курс" localSheetId="12">#REF!</definedName>
    <definedName name="Курс">Параметры!$B$16</definedName>
    <definedName name="Мес_2026_новые" localSheetId="8">#REF!</definedName>
    <definedName name="Мес_2026_новые" localSheetId="11">#REF!</definedName>
    <definedName name="Мес_2026_новые" localSheetId="10">#REF!</definedName>
    <definedName name="Мес_2026_новые" localSheetId="9">#REF!</definedName>
    <definedName name="Мес_2026_новые" localSheetId="13">#REF!</definedName>
    <definedName name="Мес_2026_новые" localSheetId="12">#REF!</definedName>
    <definedName name="Мес_2026_новые">Параметры!$B$52</definedName>
    <definedName name="МЗП" localSheetId="8">#REF!</definedName>
    <definedName name="МЗП" localSheetId="11">#REF!</definedName>
    <definedName name="МЗП" localSheetId="10">#REF!</definedName>
    <definedName name="МЗП" localSheetId="9">#REF!</definedName>
    <definedName name="МЗП" localSheetId="13">#REF!</definedName>
    <definedName name="МЗП" localSheetId="12">#REF!</definedName>
    <definedName name="МЗП">Параметры!$B$4</definedName>
    <definedName name="МРП" localSheetId="8">#REF!</definedName>
    <definedName name="МРП" localSheetId="11">#REF!</definedName>
    <definedName name="МРП" localSheetId="10">#REF!</definedName>
    <definedName name="МРП" localSheetId="9">#REF!</definedName>
    <definedName name="МРП" localSheetId="13">#REF!</definedName>
    <definedName name="МРП" localSheetId="12">#REF!</definedName>
    <definedName name="МРП">Параметры!$B$5</definedName>
    <definedName name="НДС" localSheetId="8">#REF!</definedName>
    <definedName name="НДС" localSheetId="11">#REF!</definedName>
    <definedName name="НДС" localSheetId="10">#REF!</definedName>
    <definedName name="НДС" localSheetId="9">#REF!</definedName>
    <definedName name="НДС" localSheetId="13">#REF!</definedName>
    <definedName name="НДС" localSheetId="12">#REF!</definedName>
    <definedName name="НДС">Параметры!$B$35</definedName>
    <definedName name="Ночей_межд" localSheetId="8">#REF!</definedName>
    <definedName name="Ночей_межд" localSheetId="11">#REF!</definedName>
    <definedName name="Ночей_межд" localSheetId="10">#REF!</definedName>
    <definedName name="Ночей_межд" localSheetId="9">#REF!</definedName>
    <definedName name="Ночей_межд" localSheetId="13">#REF!</definedName>
    <definedName name="Ночей_межд" localSheetId="12">#REF!</definedName>
    <definedName name="Ночей_межд">Параметры!$B$29</definedName>
    <definedName name="Ночей_РК" localSheetId="8">#REF!</definedName>
    <definedName name="Ночей_РК" localSheetId="11">#REF!</definedName>
    <definedName name="Ночей_РК" localSheetId="10">#REF!</definedName>
    <definedName name="Ночей_РК" localSheetId="9">#REF!</definedName>
    <definedName name="Ночей_РК" localSheetId="13">#REF!</definedName>
    <definedName name="Ночей_РК" localSheetId="12">#REF!</definedName>
    <definedName name="Ночей_РК">Параметры!$B$22</definedName>
    <definedName name="Обязательства_ЗП">Параметры!$B$55</definedName>
    <definedName name="Обязательства_НДС">Параметры!$B$56</definedName>
    <definedName name="Обязательства_прочие">Параметры!$B$57</definedName>
    <definedName name="ОСНС" localSheetId="8">#REF!</definedName>
    <definedName name="ОСНС" localSheetId="11">#REF!</definedName>
    <definedName name="ОСНС" localSheetId="10">#REF!</definedName>
    <definedName name="ОСНС" localSheetId="9">#REF!</definedName>
    <definedName name="ОСНС" localSheetId="13">#REF!</definedName>
    <definedName name="ОСНС" localSheetId="12">#REF!</definedName>
    <definedName name="ОСНС">Параметры!$B$14</definedName>
    <definedName name="ОСНС_полис" localSheetId="8">#REF!</definedName>
    <definedName name="ОСНС_полис" localSheetId="11">#REF!</definedName>
    <definedName name="ОСНС_полис" localSheetId="10">#REF!</definedName>
    <definedName name="ОСНС_полис" localSheetId="9">#REF!</definedName>
    <definedName name="ОСНС_полис" localSheetId="13">#REF!</definedName>
    <definedName name="ОСНС_полис" localSheetId="12">#REF!</definedName>
    <definedName name="ОСНС_полис">Параметры!$B$15</definedName>
    <definedName name="Отель_межд" localSheetId="8">#REF!</definedName>
    <definedName name="Отель_межд" localSheetId="11">#REF!</definedName>
    <definedName name="Отель_межд" localSheetId="10">#REF!</definedName>
    <definedName name="Отель_межд" localSheetId="9">#REF!</definedName>
    <definedName name="Отель_межд" localSheetId="13">#REF!</definedName>
    <definedName name="Отель_межд" localSheetId="12">#REF!</definedName>
    <definedName name="Отель_межд">Параметры!$B$26</definedName>
    <definedName name="Отель_РК" localSheetId="8">#REF!</definedName>
    <definedName name="Отель_РК" localSheetId="11">#REF!</definedName>
    <definedName name="Отель_РК" localSheetId="10">#REF!</definedName>
    <definedName name="Отель_РК" localSheetId="9">#REF!</definedName>
    <definedName name="Отель_РК" localSheetId="13">#REF!</definedName>
    <definedName name="Отель_РК" localSheetId="12">#REF!</definedName>
    <definedName name="Отель_РК">Параметры!$B$19</definedName>
    <definedName name="Парковка_мест" localSheetId="8">#REF!</definedName>
    <definedName name="Парковка_мест" localSheetId="11">#REF!</definedName>
    <definedName name="Парковка_мест" localSheetId="10">#REF!</definedName>
    <definedName name="Парковка_мест" localSheetId="9">#REF!</definedName>
    <definedName name="Парковка_мест" localSheetId="13">#REF!</definedName>
    <definedName name="Парковка_мест" localSheetId="12">#REF!</definedName>
    <definedName name="Парковка_мест">Параметры!$B$45</definedName>
    <definedName name="Парковка_цена" localSheetId="8">#REF!</definedName>
    <definedName name="Парковка_цена" localSheetId="11">#REF!</definedName>
    <definedName name="Парковка_цена" localSheetId="10">#REF!</definedName>
    <definedName name="Парковка_цена" localSheetId="9">#REF!</definedName>
    <definedName name="Парковка_цена" localSheetId="13">#REF!</definedName>
    <definedName name="Парковка_цена" localSheetId="12">#REF!</definedName>
    <definedName name="Парковка_цена">Параметры!$B$46</definedName>
    <definedName name="Площадь_офиса" localSheetId="8">#REF!</definedName>
    <definedName name="Площадь_офиса" localSheetId="11">#REF!</definedName>
    <definedName name="Площадь_офиса" localSheetId="10">#REF!</definedName>
    <definedName name="Площадь_офиса" localSheetId="9">#REF!</definedName>
    <definedName name="Площадь_офиса" localSheetId="13">#REF!</definedName>
    <definedName name="Площадь_офиса" localSheetId="12">#REF!</definedName>
    <definedName name="Площадь_офиса">Параметры!$B$42</definedName>
    <definedName name="Поездка_межд" localSheetId="8">#REF!</definedName>
    <definedName name="Поездка_межд" localSheetId="11">#REF!</definedName>
    <definedName name="Поездка_межд" localSheetId="10">#REF!</definedName>
    <definedName name="Поездка_межд" localSheetId="9">#REF!</definedName>
    <definedName name="Поездка_межд" localSheetId="13">#REF!</definedName>
    <definedName name="Поездка_межд" localSheetId="12">#REF!</definedName>
    <definedName name="Поездка_межд">Параметры!$B$31</definedName>
    <definedName name="Поездка_местн" localSheetId="8">#REF!</definedName>
    <definedName name="Поездка_местн" localSheetId="11">#REF!</definedName>
    <definedName name="Поездка_местн" localSheetId="10">#REF!</definedName>
    <definedName name="Поездка_местн" localSheetId="9">#REF!</definedName>
    <definedName name="Поездка_местн" localSheetId="13">#REF!</definedName>
    <definedName name="Поездка_местн" localSheetId="12">#REF!</definedName>
    <definedName name="Поездка_местн">Параметры!$B$24</definedName>
    <definedName name="Поездка_РК" localSheetId="8">#REF!</definedName>
    <definedName name="Поездка_РК" localSheetId="11">#REF!</definedName>
    <definedName name="Поездка_РК" localSheetId="10">#REF!</definedName>
    <definedName name="Поездка_РК" localSheetId="9">#REF!</definedName>
    <definedName name="Поездка_РК" localSheetId="13">#REF!</definedName>
    <definedName name="Поездка_РК" localSheetId="12">#REF!</definedName>
    <definedName name="Поездка_РК">Параметры!$B$23</definedName>
    <definedName name="Резерв" localSheetId="8">#REF!</definedName>
    <definedName name="Резерв" localSheetId="11">#REF!</definedName>
    <definedName name="Резерв" localSheetId="10">#REF!</definedName>
    <definedName name="Резерв" localSheetId="9">#REF!</definedName>
    <definedName name="Резерв" localSheetId="13">#REF!</definedName>
    <definedName name="Резерв" localSheetId="12">#REF!</definedName>
    <definedName name="Резерв">Параметры!$B$34</definedName>
    <definedName name="Сборка_мебели_проц" localSheetId="8">#REF!</definedName>
    <definedName name="Сборка_мебели_проц" localSheetId="11">#REF!</definedName>
    <definedName name="Сборка_мебели_проц" localSheetId="10">#REF!</definedName>
    <definedName name="Сборка_мебели_проц" localSheetId="9">#REF!</definedName>
    <definedName name="Сборка_мебели_проц" localSheetId="13">#REF!</definedName>
    <definedName name="Сборка_мебели_проц" localSheetId="12">#REF!</definedName>
    <definedName name="Сборка_мебели_проц">Параметры!$B$51</definedName>
    <definedName name="Ставка_аренды_м2" localSheetId="8">#REF!</definedName>
    <definedName name="Ставка_аренды_м2" localSheetId="11">#REF!</definedName>
    <definedName name="Ставка_аренды_м2" localSheetId="10">#REF!</definedName>
    <definedName name="Ставка_аренды_м2" localSheetId="9">#REF!</definedName>
    <definedName name="Ставка_аренды_м2" localSheetId="13">#REF!</definedName>
    <definedName name="Ставка_аренды_м2" localSheetId="12">#REF!</definedName>
    <definedName name="Ставка_аренды_м2">Параметры!$B$43</definedName>
    <definedName name="Ставка_ВОСМС" localSheetId="8">#REF!</definedName>
    <definedName name="Ставка_ВОСМС" localSheetId="11">#REF!</definedName>
    <definedName name="Ставка_ВОСМС" localSheetId="10">#REF!</definedName>
    <definedName name="Ставка_ВОСМС" localSheetId="9">#REF!</definedName>
    <definedName name="Ставка_ВОСМС" localSheetId="13">#REF!</definedName>
    <definedName name="Ставка_ВОСМС" localSheetId="12">#REF!</definedName>
    <definedName name="Ставка_ВОСМС">Параметры!$B$13</definedName>
    <definedName name="Ставка_ООСМС" localSheetId="8">#REF!</definedName>
    <definedName name="Ставка_ООСМС" localSheetId="11">#REF!</definedName>
    <definedName name="Ставка_ООСМС" localSheetId="10">#REF!</definedName>
    <definedName name="Ставка_ООСМС" localSheetId="9">#REF!</definedName>
    <definedName name="Ставка_ООСМС" localSheetId="13">#REF!</definedName>
    <definedName name="Ставка_ООСМС" localSheetId="12">#REF!</definedName>
    <definedName name="Ставка_ООСМС">Параметры!$B$10</definedName>
    <definedName name="Ставка_ОПВ" localSheetId="8">#REF!</definedName>
    <definedName name="Ставка_ОПВ" localSheetId="11">#REF!</definedName>
    <definedName name="Ставка_ОПВ" localSheetId="10">#REF!</definedName>
    <definedName name="Ставка_ОПВ" localSheetId="9">#REF!</definedName>
    <definedName name="Ставка_ОПВ" localSheetId="13">#REF!</definedName>
    <definedName name="Ставка_ОПВ" localSheetId="12">#REF!</definedName>
    <definedName name="Ставка_ОПВ">Параметры!$B$12</definedName>
    <definedName name="Ставка_ОПВР" localSheetId="8">#REF!</definedName>
    <definedName name="Ставка_ОПВР" localSheetId="11">#REF!</definedName>
    <definedName name="Ставка_ОПВР" localSheetId="10">#REF!</definedName>
    <definedName name="Ставка_ОПВР" localSheetId="9">#REF!</definedName>
    <definedName name="Ставка_ОПВР" localSheetId="13">#REF!</definedName>
    <definedName name="Ставка_ОПВР" localSheetId="12">#REF!</definedName>
    <definedName name="Ставка_ОПВР">Параметры!$B$7</definedName>
    <definedName name="Ставка_СН" localSheetId="8">#REF!</definedName>
    <definedName name="Ставка_СН" localSheetId="11">#REF!</definedName>
    <definedName name="Ставка_СН" localSheetId="10">#REF!</definedName>
    <definedName name="Ставка_СН" localSheetId="9">#REF!</definedName>
    <definedName name="Ставка_СН" localSheetId="13">#REF!</definedName>
    <definedName name="Ставка_СН" localSheetId="12">#REF!</definedName>
    <definedName name="Ставка_СН">Параметры!$B$6</definedName>
    <definedName name="Ставка_СО" localSheetId="8">#REF!</definedName>
    <definedName name="Ставка_СО" localSheetId="11">#REF!</definedName>
    <definedName name="Ставка_СО" localSheetId="10">#REF!</definedName>
    <definedName name="Ставка_СО" localSheetId="9">#REF!</definedName>
    <definedName name="Ставка_СО" localSheetId="13">#REF!</definedName>
    <definedName name="Ставка_СО" localSheetId="12">#REF!</definedName>
    <definedName name="Ставка_СО">Параметры!$B$8</definedName>
    <definedName name="Страх_межд" localSheetId="8">#REF!</definedName>
    <definedName name="Страх_межд" localSheetId="11">#REF!</definedName>
    <definedName name="Страх_межд" localSheetId="10">#REF!</definedName>
    <definedName name="Страх_межд" localSheetId="9">#REF!</definedName>
    <definedName name="Страх_межд" localSheetId="13">#REF!</definedName>
    <definedName name="Страх_межд" localSheetId="12">#REF!</definedName>
    <definedName name="Страх_межд">Параметры!$B$30</definedName>
    <definedName name="Сут_межд" localSheetId="8">#REF!</definedName>
    <definedName name="Сут_межд" localSheetId="11">#REF!</definedName>
    <definedName name="Сут_межд" localSheetId="10">#REF!</definedName>
    <definedName name="Сут_межд" localSheetId="9">#REF!</definedName>
    <definedName name="Сут_межд" localSheetId="13">#REF!</definedName>
    <definedName name="Сут_межд" localSheetId="12">#REF!</definedName>
    <definedName name="Сут_межд">Параметры!$B$27</definedName>
    <definedName name="Сут_РК" localSheetId="8">#REF!</definedName>
    <definedName name="Сут_РК" localSheetId="11">#REF!</definedName>
    <definedName name="Сут_РК" localSheetId="10">#REF!</definedName>
    <definedName name="Сут_РК" localSheetId="9">#REF!</definedName>
    <definedName name="Сут_РК" localSheetId="13">#REF!</definedName>
    <definedName name="Сут_РК" localSheetId="12">#REF!</definedName>
    <definedName name="Сут_РК">Параметры!$B$17</definedName>
    <definedName name="Трансп_РК" localSheetId="8">#REF!</definedName>
    <definedName name="Трансп_РК" localSheetId="11">#REF!</definedName>
    <definedName name="Трансп_РК" localSheetId="10">#REF!</definedName>
    <definedName name="Трансп_РК" localSheetId="9">#REF!</definedName>
    <definedName name="Трансп_РК" localSheetId="13">#REF!</definedName>
    <definedName name="Трансп_РК" localSheetId="12">#REF!</definedName>
    <definedName name="Трансп_РК">Параметры!$B$20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F20" i="1" l="1"/>
  <c r="E22" i="17"/>
  <c r="F22" i="17" s="1"/>
  <c r="D11" i="17"/>
  <c r="F23" i="17" s="1"/>
  <c r="E9" i="1" s="1"/>
  <c r="E10" i="17"/>
  <c r="F10" i="17" s="1"/>
  <c r="E9" i="17"/>
  <c r="F9" i="17" s="1"/>
  <c r="E8" i="17"/>
  <c r="F8" i="17" s="1"/>
  <c r="E7" i="17"/>
  <c r="F7" i="17" s="1"/>
  <c r="E6" i="17"/>
  <c r="F6" i="17" s="1"/>
  <c r="E5" i="17"/>
  <c r="F5" i="17" s="1"/>
  <c r="E4" i="17"/>
  <c r="F4" i="17" s="1"/>
  <c r="F11" i="17" l="1"/>
  <c r="E11" i="17"/>
  <c r="D4" i="1"/>
  <c r="E4" i="1" s="1"/>
  <c r="C4" i="1"/>
  <c r="B4" i="1"/>
  <c r="L76" i="5"/>
  <c r="K76" i="5"/>
  <c r="L75" i="5"/>
  <c r="K75" i="5"/>
  <c r="J75" i="5"/>
  <c r="L74" i="5"/>
  <c r="K74" i="5"/>
  <c r="J74" i="5"/>
  <c r="L73" i="5"/>
  <c r="K73" i="5"/>
  <c r="J73" i="5"/>
  <c r="L72" i="5"/>
  <c r="K72" i="5"/>
  <c r="J72" i="5"/>
  <c r="L71" i="5"/>
  <c r="K71" i="5"/>
  <c r="L70" i="5"/>
  <c r="K70" i="5"/>
  <c r="J70" i="5"/>
  <c r="L69" i="5"/>
  <c r="K69" i="5"/>
  <c r="J69" i="5"/>
  <c r="L68" i="5"/>
  <c r="K68" i="5"/>
  <c r="J68" i="5"/>
  <c r="L67" i="5"/>
  <c r="K67" i="5"/>
  <c r="J67" i="5"/>
  <c r="L66" i="5"/>
  <c r="K66" i="5"/>
  <c r="L64" i="5"/>
  <c r="K64" i="5"/>
  <c r="J64" i="5"/>
  <c r="L62" i="5"/>
  <c r="K62" i="5"/>
  <c r="J62" i="5"/>
  <c r="L61" i="5"/>
  <c r="K61" i="5"/>
  <c r="J61" i="5"/>
  <c r="L60" i="5"/>
  <c r="K60" i="5"/>
  <c r="J60" i="5"/>
  <c r="L59" i="5"/>
  <c r="K59" i="5"/>
  <c r="L57" i="5"/>
  <c r="K57" i="5"/>
  <c r="L56" i="5"/>
  <c r="J56" i="5"/>
  <c r="L55" i="5"/>
  <c r="K55" i="5"/>
  <c r="L54" i="5"/>
  <c r="J54" i="5"/>
  <c r="L53" i="5"/>
  <c r="K53" i="5"/>
  <c r="L52" i="5"/>
  <c r="K52" i="5"/>
  <c r="L51" i="5"/>
  <c r="K51" i="5"/>
  <c r="L50" i="5"/>
  <c r="K50" i="5"/>
  <c r="L49" i="5"/>
  <c r="J49" i="5"/>
  <c r="L48" i="5"/>
  <c r="K48" i="5"/>
  <c r="L47" i="5"/>
  <c r="K47" i="5"/>
  <c r="L46" i="5"/>
  <c r="J46" i="5"/>
  <c r="L45" i="5"/>
  <c r="J45" i="5"/>
  <c r="L44" i="5"/>
  <c r="K44" i="5"/>
  <c r="L43" i="5"/>
  <c r="K43" i="5"/>
  <c r="L42" i="5"/>
  <c r="K42" i="5"/>
  <c r="L41" i="5"/>
  <c r="K41" i="5"/>
  <c r="L40" i="5"/>
  <c r="K40" i="5"/>
  <c r="L39" i="5"/>
  <c r="K39" i="5"/>
  <c r="L38" i="5"/>
  <c r="K38" i="5"/>
  <c r="L37" i="5"/>
  <c r="K37" i="5"/>
  <c r="L36" i="5"/>
  <c r="K36" i="5"/>
  <c r="L35" i="5"/>
  <c r="K35" i="5"/>
  <c r="L34" i="5"/>
  <c r="K34" i="5"/>
  <c r="L33" i="5"/>
  <c r="K33" i="5"/>
  <c r="L32" i="5"/>
  <c r="J32" i="5"/>
  <c r="L31" i="5"/>
  <c r="J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C14" i="1" l="1"/>
  <c r="D14" i="1"/>
  <c r="E14" i="1" s="1"/>
  <c r="D11" i="1"/>
  <c r="C13" i="1"/>
  <c r="D13" i="1"/>
  <c r="E13" i="1" s="1"/>
  <c r="B14" i="1"/>
  <c r="E63" i="5"/>
  <c r="E42" i="5"/>
  <c r="I42" i="5" s="1"/>
  <c r="J42" i="5" s="1"/>
  <c r="F14" i="1" l="1"/>
  <c r="I63" i="5"/>
  <c r="L63" i="5"/>
  <c r="K63" i="5"/>
  <c r="J63" i="5"/>
  <c r="E20" i="7"/>
  <c r="F20" i="7" s="1"/>
  <c r="E71" i="5" l="1"/>
  <c r="E18" i="5" l="1"/>
  <c r="E11" i="9" l="1"/>
  <c r="B19" i="16" s="1"/>
  <c r="F10" i="9"/>
  <c r="G10" i="9" s="1"/>
  <c r="H10" i="9" s="1"/>
  <c r="F9" i="9"/>
  <c r="G9" i="9" s="1"/>
  <c r="H9" i="9" s="1"/>
  <c r="F8" i="9"/>
  <c r="G8" i="9" s="1"/>
  <c r="H8" i="9" s="1"/>
  <c r="F7" i="9"/>
  <c r="G7" i="9" s="1"/>
  <c r="H7" i="9" s="1"/>
  <c r="F6" i="9"/>
  <c r="G6" i="9" s="1"/>
  <c r="H6" i="9" s="1"/>
  <c r="F5" i="9"/>
  <c r="G5" i="9" s="1"/>
  <c r="H5" i="9" s="1"/>
  <c r="F4" i="9"/>
  <c r="F11" i="9" l="1"/>
  <c r="G4" i="9"/>
  <c r="H4" i="9" s="1"/>
  <c r="I4" i="9" s="1"/>
  <c r="I5" i="9"/>
  <c r="I9" i="9"/>
  <c r="I7" i="9"/>
  <c r="I6" i="9"/>
  <c r="I10" i="9"/>
  <c r="I8" i="9"/>
  <c r="I72" i="5"/>
  <c r="B8" i="1" l="1"/>
  <c r="D8" i="1"/>
  <c r="E8" i="1" s="1"/>
  <c r="C8" i="1"/>
  <c r="G11" i="9"/>
  <c r="B20" i="16"/>
  <c r="B21" i="16"/>
  <c r="B22" i="16" s="1"/>
  <c r="I11" i="9"/>
  <c r="H11" i="9"/>
  <c r="B5" i="16"/>
  <c r="B11" i="16" s="1"/>
  <c r="C11" i="16" s="1"/>
  <c r="D11" i="16" s="1"/>
  <c r="F8" i="1" l="1"/>
  <c r="G11" i="16"/>
  <c r="E11" i="16"/>
  <c r="F11" i="16" s="1"/>
  <c r="B10" i="16"/>
  <c r="C10" i="16" s="1"/>
  <c r="D10" i="16" s="1"/>
  <c r="B14" i="16"/>
  <c r="B15" i="16"/>
  <c r="B8" i="16"/>
  <c r="C8" i="16" s="1"/>
  <c r="D8" i="16" s="1"/>
  <c r="B9" i="16"/>
  <c r="C9" i="16" s="1"/>
  <c r="D9" i="16" s="1"/>
  <c r="E16" i="5"/>
  <c r="I16" i="5" s="1"/>
  <c r="J16" i="5" s="1"/>
  <c r="E8" i="16" l="1"/>
  <c r="F8" i="16" s="1"/>
  <c r="G8" i="16"/>
  <c r="G9" i="16"/>
  <c r="E9" i="16"/>
  <c r="F9" i="16" s="1"/>
  <c r="E10" i="16"/>
  <c r="F10" i="16" s="1"/>
  <c r="G10" i="16"/>
  <c r="I18" i="5"/>
  <c r="J18" i="5" s="1"/>
  <c r="E17" i="5" l="1"/>
  <c r="E20" i="5" l="1"/>
  <c r="E13" i="5" l="1"/>
  <c r="E45" i="5" l="1"/>
  <c r="I45" i="5" s="1"/>
  <c r="K45" i="5" s="1"/>
  <c r="E15" i="5" l="1"/>
  <c r="E14" i="5" l="1"/>
  <c r="H42" i="3" l="1"/>
  <c r="I17" i="5" l="1"/>
  <c r="J17" i="5" s="1"/>
  <c r="E44" i="5"/>
  <c r="E52" i="5"/>
  <c r="E27" i="5" l="1"/>
  <c r="I27" i="5" s="1"/>
  <c r="J27" i="5" s="1"/>
  <c r="E21" i="5"/>
  <c r="I21" i="5" s="1"/>
  <c r="J21" i="5" s="1"/>
  <c r="I20" i="5"/>
  <c r="J20" i="5" s="1"/>
  <c r="E19" i="5" l="1"/>
  <c r="I19" i="5" s="1"/>
  <c r="J19" i="5" s="1"/>
  <c r="I14" i="5" l="1"/>
  <c r="J14" i="5" s="1"/>
  <c r="I13" i="5"/>
  <c r="J13" i="5" s="1"/>
  <c r="I15" i="5" l="1"/>
  <c r="J15" i="5" s="1"/>
  <c r="E12" i="5"/>
  <c r="E11" i="5" l="1"/>
  <c r="I11" i="5" s="1"/>
  <c r="J11" i="5" s="1"/>
  <c r="E10" i="5" l="1"/>
  <c r="I10" i="5" s="1"/>
  <c r="J10" i="5" s="1"/>
  <c r="E9" i="5" l="1"/>
  <c r="E16" i="17" s="1"/>
  <c r="F16" i="17" s="1"/>
  <c r="E8" i="5"/>
  <c r="E26" i="5" l="1"/>
  <c r="E15" i="17"/>
  <c r="F15" i="17" s="1"/>
  <c r="I9" i="5"/>
  <c r="J9" i="5" s="1"/>
  <c r="L33" i="3"/>
  <c r="J33" i="3"/>
  <c r="K33" i="3" s="1"/>
  <c r="L34" i="3"/>
  <c r="J34" i="3"/>
  <c r="K34" i="3" s="1"/>
  <c r="F18" i="17" l="1"/>
  <c r="M34" i="3"/>
  <c r="M33" i="3"/>
  <c r="F5" i="15"/>
  <c r="F6" i="15" s="1"/>
  <c r="F6" i="14"/>
  <c r="F5" i="14"/>
  <c r="F11" i="13"/>
  <c r="F10" i="13"/>
  <c r="F9" i="13"/>
  <c r="F8" i="13"/>
  <c r="F7" i="13"/>
  <c r="F6" i="13"/>
  <c r="F5" i="13"/>
  <c r="F7" i="12"/>
  <c r="F6" i="12"/>
  <c r="F5" i="12"/>
  <c r="F13" i="11"/>
  <c r="F12" i="11"/>
  <c r="F11" i="11"/>
  <c r="F10" i="11"/>
  <c r="F9" i="11"/>
  <c r="F8" i="11"/>
  <c r="F7" i="11"/>
  <c r="F6" i="11"/>
  <c r="F5" i="11"/>
  <c r="F10" i="10"/>
  <c r="F9" i="10"/>
  <c r="F8" i="10"/>
  <c r="F7" i="10"/>
  <c r="F6" i="10"/>
  <c r="F5" i="10"/>
  <c r="F12" i="13" l="1"/>
  <c r="F13" i="13" s="1"/>
  <c r="G8" i="8" s="1"/>
  <c r="F11" i="10"/>
  <c r="F12" i="10" s="1"/>
  <c r="G5" i="8" s="1"/>
  <c r="F8" i="12"/>
  <c r="F9" i="12" s="1"/>
  <c r="G7" i="8" s="1"/>
  <c r="F14" i="11"/>
  <c r="F4" i="11" s="1"/>
  <c r="F7" i="14"/>
  <c r="F4" i="14" s="1"/>
  <c r="F7" i="15"/>
  <c r="G10" i="8" s="1"/>
  <c r="F4" i="15"/>
  <c r="F4" i="10"/>
  <c r="J10" i="8" l="1"/>
  <c r="I10" i="8"/>
  <c r="H10" i="8"/>
  <c r="H5" i="8"/>
  <c r="I5" i="8"/>
  <c r="J5" i="8"/>
  <c r="I7" i="8"/>
  <c r="J7" i="8"/>
  <c r="H7" i="8"/>
  <c r="H8" i="8"/>
  <c r="I8" i="8"/>
  <c r="J8" i="8"/>
  <c r="F4" i="13"/>
  <c r="F15" i="11"/>
  <c r="G6" i="8" s="1"/>
  <c r="F4" i="12"/>
  <c r="F8" i="14"/>
  <c r="G9" i="8" s="1"/>
  <c r="E54" i="5"/>
  <c r="I54" i="5" s="1"/>
  <c r="K54" i="5" s="1"/>
  <c r="E53" i="5"/>
  <c r="I53" i="5" s="1"/>
  <c r="J53" i="5" s="1"/>
  <c r="I52" i="5"/>
  <c r="J52" i="5" s="1"/>
  <c r="H6" i="8" l="1"/>
  <c r="J6" i="8"/>
  <c r="I6" i="8"/>
  <c r="I9" i="8"/>
  <c r="J9" i="8"/>
  <c r="H9" i="8"/>
  <c r="H13" i="8" s="1"/>
  <c r="B19" i="1" s="1"/>
  <c r="G13" i="8"/>
  <c r="F25" i="17" s="1"/>
  <c r="E19" i="1" s="1"/>
  <c r="B15" i="2"/>
  <c r="N33" i="3" s="1"/>
  <c r="O33" i="3" s="1"/>
  <c r="C9" i="4"/>
  <c r="C8" i="4"/>
  <c r="N11" i="3"/>
  <c r="J11" i="3"/>
  <c r="K11" i="3" s="1"/>
  <c r="J10" i="3"/>
  <c r="K10" i="3" s="1"/>
  <c r="J9" i="3"/>
  <c r="K9" i="3" s="1"/>
  <c r="L18" i="3"/>
  <c r="J18" i="3"/>
  <c r="K18" i="3" s="1"/>
  <c r="L17" i="3"/>
  <c r="J17" i="3"/>
  <c r="K17" i="3" s="1"/>
  <c r="I13" i="8" l="1"/>
  <c r="C19" i="1" s="1"/>
  <c r="J13" i="8"/>
  <c r="D19" i="1" s="1"/>
  <c r="F19" i="1"/>
  <c r="N9" i="3"/>
  <c r="N34" i="3"/>
  <c r="O34" i="3" s="1"/>
  <c r="N17" i="3"/>
  <c r="N18" i="3"/>
  <c r="N10" i="3"/>
  <c r="M18" i="3"/>
  <c r="M17" i="3"/>
  <c r="N36" i="3"/>
  <c r="N35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6" i="3"/>
  <c r="N15" i="3"/>
  <c r="N14" i="3"/>
  <c r="N13" i="3"/>
  <c r="N12" i="3"/>
  <c r="N8" i="3"/>
  <c r="N7" i="3"/>
  <c r="N6" i="3"/>
  <c r="N5" i="3"/>
  <c r="O17" i="3" l="1"/>
  <c r="O18" i="3"/>
  <c r="F19" i="7"/>
  <c r="F18" i="7"/>
  <c r="F17" i="7"/>
  <c r="F16" i="7"/>
  <c r="F15" i="7"/>
  <c r="F14" i="7"/>
  <c r="F21" i="7" l="1"/>
  <c r="E66" i="5" s="1"/>
  <c r="I66" i="5" s="1"/>
  <c r="J66" i="5" s="1"/>
  <c r="E51" i="5" l="1"/>
  <c r="I51" i="5" s="1"/>
  <c r="J51" i="5" s="1"/>
  <c r="E43" i="5" l="1"/>
  <c r="E41" i="5" l="1"/>
  <c r="I41" i="5" s="1"/>
  <c r="J41" i="5" s="1"/>
  <c r="B44" i="2"/>
  <c r="B42" i="2"/>
  <c r="C11" i="4" l="1"/>
  <c r="C10" i="4"/>
  <c r="C7" i="4"/>
  <c r="A7" i="4"/>
  <c r="C6" i="4"/>
  <c r="A6" i="4"/>
  <c r="C5" i="4"/>
  <c r="A5" i="4"/>
  <c r="H38" i="3" l="1"/>
  <c r="H43" i="3" s="1"/>
  <c r="G38" i="3"/>
  <c r="F5" i="1" s="1"/>
  <c r="H44" i="3" l="1"/>
  <c r="E40" i="5"/>
  <c r="I40" i="5" s="1"/>
  <c r="J40" i="5" s="1"/>
  <c r="E39" i="5"/>
  <c r="I39" i="5" s="1"/>
  <c r="J39" i="5" s="1"/>
  <c r="E37" i="5"/>
  <c r="E17" i="17" s="1"/>
  <c r="F17" i="17" s="1"/>
  <c r="F19" i="17" s="1"/>
  <c r="E11" i="1" s="1"/>
  <c r="C7" i="1" l="1"/>
  <c r="F7" i="1" s="1"/>
  <c r="I44" i="5"/>
  <c r="J44" i="5" s="1"/>
  <c r="E38" i="5" l="1"/>
  <c r="I38" i="5" s="1"/>
  <c r="J38" i="5" s="1"/>
  <c r="I37" i="5"/>
  <c r="J37" i="5" s="1"/>
  <c r="J20" i="3" l="1"/>
  <c r="K20" i="3" l="1"/>
  <c r="J25" i="3"/>
  <c r="J13" i="3"/>
  <c r="K25" i="3" l="1"/>
  <c r="K13" i="3"/>
  <c r="L7" i="3" l="1"/>
  <c r="L6" i="3"/>
  <c r="F6" i="4" s="1"/>
  <c r="L5" i="3"/>
  <c r="F5" i="4" s="1"/>
  <c r="B49" i="2" l="1"/>
  <c r="L11" i="3" l="1"/>
  <c r="M11" i="3" s="1"/>
  <c r="O11" i="3" s="1"/>
  <c r="L9" i="3"/>
  <c r="L10" i="3"/>
  <c r="M10" i="3" s="1"/>
  <c r="O10" i="3" s="1"/>
  <c r="K9" i="9"/>
  <c r="L9" i="9" s="1"/>
  <c r="K7" i="9"/>
  <c r="L7" i="9" s="1"/>
  <c r="K5" i="9"/>
  <c r="L5" i="9" s="1"/>
  <c r="K4" i="9"/>
  <c r="L4" i="9" s="1"/>
  <c r="K10" i="9"/>
  <c r="L10" i="9" s="1"/>
  <c r="K8" i="9"/>
  <c r="L8" i="9" s="1"/>
  <c r="K6" i="9"/>
  <c r="L6" i="9" s="1"/>
  <c r="L20" i="3"/>
  <c r="F10" i="4" s="1"/>
  <c r="L8" i="3"/>
  <c r="F7" i="4" s="1"/>
  <c r="L25" i="3"/>
  <c r="L13" i="3"/>
  <c r="L36" i="3"/>
  <c r="L30" i="3"/>
  <c r="L26" i="3"/>
  <c r="L21" i="3"/>
  <c r="L15" i="3"/>
  <c r="L14" i="3"/>
  <c r="L35" i="3"/>
  <c r="L29" i="3"/>
  <c r="L24" i="3"/>
  <c r="L32" i="3"/>
  <c r="L28" i="3"/>
  <c r="L23" i="3"/>
  <c r="L19" i="3"/>
  <c r="L12" i="3"/>
  <c r="L31" i="3"/>
  <c r="L27" i="3"/>
  <c r="L22" i="3"/>
  <c r="F11" i="4" s="1"/>
  <c r="L16" i="3"/>
  <c r="E36" i="5"/>
  <c r="I36" i="5" s="1"/>
  <c r="J36" i="5" s="1"/>
  <c r="E35" i="5"/>
  <c r="I35" i="5" s="1"/>
  <c r="J35" i="5" s="1"/>
  <c r="E34" i="5"/>
  <c r="I34" i="5" s="1"/>
  <c r="J34" i="5" s="1"/>
  <c r="E33" i="5"/>
  <c r="I33" i="5" s="1"/>
  <c r="J33" i="5" s="1"/>
  <c r="L11" i="9" l="1"/>
  <c r="B23" i="16" s="1"/>
  <c r="F9" i="4"/>
  <c r="F8" i="4"/>
  <c r="M9" i="3"/>
  <c r="O9" i="3" s="1"/>
  <c r="M20" i="3"/>
  <c r="M13" i="3"/>
  <c r="O13" i="3" s="1"/>
  <c r="M25" i="3"/>
  <c r="O25" i="3" s="1"/>
  <c r="I25" i="5"/>
  <c r="J25" i="5" s="1"/>
  <c r="O20" i="3" l="1"/>
  <c r="B32" i="2"/>
  <c r="I26" i="5" l="1"/>
  <c r="J26" i="5" s="1"/>
  <c r="J36" i="3" l="1"/>
  <c r="J35" i="3"/>
  <c r="J32" i="3"/>
  <c r="J31" i="3"/>
  <c r="J30" i="3"/>
  <c r="J29" i="3"/>
  <c r="J28" i="3"/>
  <c r="K28" i="3" l="1"/>
  <c r="K29" i="3"/>
  <c r="K30" i="3"/>
  <c r="K31" i="3"/>
  <c r="K32" i="3"/>
  <c r="K35" i="3"/>
  <c r="K36" i="3"/>
  <c r="F10" i="7"/>
  <c r="F9" i="7"/>
  <c r="F8" i="7"/>
  <c r="F7" i="7"/>
  <c r="F6" i="7"/>
  <c r="F5" i="7"/>
  <c r="I32" i="5"/>
  <c r="K32" i="5" s="1"/>
  <c r="I31" i="5"/>
  <c r="K31" i="5" s="1"/>
  <c r="I30" i="5"/>
  <c r="J30" i="5" s="1"/>
  <c r="B48" i="2"/>
  <c r="F11" i="7" l="1"/>
  <c r="E65" i="5" s="1"/>
  <c r="M31" i="3"/>
  <c r="O31" i="3" s="1"/>
  <c r="M30" i="3"/>
  <c r="O30" i="3" s="1"/>
  <c r="M36" i="3"/>
  <c r="O36" i="3" s="1"/>
  <c r="M35" i="3"/>
  <c r="O35" i="3" s="1"/>
  <c r="M29" i="3"/>
  <c r="O29" i="3" s="1"/>
  <c r="M32" i="3"/>
  <c r="O32" i="3" s="1"/>
  <c r="M28" i="3"/>
  <c r="O28" i="3" s="1"/>
  <c r="B47" i="2"/>
  <c r="G21" i="6"/>
  <c r="G20" i="6"/>
  <c r="G16" i="6"/>
  <c r="G12" i="6"/>
  <c r="G11" i="6"/>
  <c r="G10" i="6"/>
  <c r="G9" i="6"/>
  <c r="G8" i="6"/>
  <c r="G7" i="6"/>
  <c r="G6" i="6"/>
  <c r="I76" i="5"/>
  <c r="J76" i="5" s="1"/>
  <c r="I75" i="5"/>
  <c r="I74" i="5"/>
  <c r="I71" i="5"/>
  <c r="J71" i="5" s="1"/>
  <c r="B13" i="1" s="1"/>
  <c r="F13" i="1" s="1"/>
  <c r="I70" i="5"/>
  <c r="I69" i="5"/>
  <c r="I68" i="5"/>
  <c r="I67" i="5"/>
  <c r="I64" i="5"/>
  <c r="I62" i="5"/>
  <c r="I61" i="5"/>
  <c r="I60" i="5"/>
  <c r="E59" i="5"/>
  <c r="I59" i="5" s="1"/>
  <c r="J59" i="5" s="1"/>
  <c r="E58" i="5"/>
  <c r="I57" i="5"/>
  <c r="J57" i="5" s="1"/>
  <c r="I56" i="5"/>
  <c r="K56" i="5" s="1"/>
  <c r="I55" i="5"/>
  <c r="J55" i="5" s="1"/>
  <c r="I50" i="5"/>
  <c r="J50" i="5" s="1"/>
  <c r="I48" i="5"/>
  <c r="J48" i="5" s="1"/>
  <c r="I47" i="5"/>
  <c r="J47" i="5" s="1"/>
  <c r="I46" i="5"/>
  <c r="K46" i="5" s="1"/>
  <c r="I43" i="5"/>
  <c r="J43" i="5" s="1"/>
  <c r="I29" i="5"/>
  <c r="J29" i="5" s="1"/>
  <c r="I28" i="5"/>
  <c r="J28" i="5" s="1"/>
  <c r="I24" i="5"/>
  <c r="J24" i="5" s="1"/>
  <c r="I23" i="5"/>
  <c r="J23" i="5" s="1"/>
  <c r="I22" i="5"/>
  <c r="J22" i="5" s="1"/>
  <c r="I12" i="5"/>
  <c r="J12" i="5" s="1"/>
  <c r="I8" i="5"/>
  <c r="J8" i="5" s="1"/>
  <c r="I7" i="5"/>
  <c r="J7" i="5" s="1"/>
  <c r="I6" i="5"/>
  <c r="J6" i="5" s="1"/>
  <c r="I5" i="5"/>
  <c r="J5" i="5" s="1"/>
  <c r="H37" i="3"/>
  <c r="H39" i="3" s="1"/>
  <c r="G37" i="3"/>
  <c r="G39" i="3" s="1"/>
  <c r="J27" i="3"/>
  <c r="J26" i="3"/>
  <c r="J24" i="3"/>
  <c r="J23" i="3"/>
  <c r="J22" i="3"/>
  <c r="J21" i="3"/>
  <c r="J19" i="3"/>
  <c r="J16" i="3"/>
  <c r="J15" i="3"/>
  <c r="J14" i="3"/>
  <c r="J12" i="3"/>
  <c r="J8" i="3"/>
  <c r="J7" i="3"/>
  <c r="J6" i="3"/>
  <c r="J5" i="3"/>
  <c r="B31" i="2"/>
  <c r="B24" i="2"/>
  <c r="B23" i="2"/>
  <c r="B11" i="1" l="1"/>
  <c r="D10" i="1"/>
  <c r="F24" i="17"/>
  <c r="K58" i="5"/>
  <c r="J58" i="5"/>
  <c r="B12" i="1" s="1"/>
  <c r="L58" i="5"/>
  <c r="J65" i="5"/>
  <c r="K65" i="5"/>
  <c r="L65" i="5"/>
  <c r="G8" i="4"/>
  <c r="G9" i="4"/>
  <c r="G6" i="4"/>
  <c r="G5" i="4"/>
  <c r="G10" i="4"/>
  <c r="G11" i="4"/>
  <c r="G7" i="4"/>
  <c r="I58" i="5"/>
  <c r="I65" i="5"/>
  <c r="G22" i="6"/>
  <c r="G13" i="6"/>
  <c r="G17" i="6"/>
  <c r="K16" i="3"/>
  <c r="K21" i="3"/>
  <c r="K14" i="3"/>
  <c r="K19" i="3"/>
  <c r="K6" i="3"/>
  <c r="K12" i="3"/>
  <c r="K22" i="3"/>
  <c r="K24" i="3"/>
  <c r="K7" i="3"/>
  <c r="K26" i="3"/>
  <c r="K5" i="3"/>
  <c r="K8" i="3"/>
  <c r="K15" i="3"/>
  <c r="K23" i="3"/>
  <c r="K27" i="3"/>
  <c r="B6" i="1" l="1"/>
  <c r="B17" i="1"/>
  <c r="D12" i="1"/>
  <c r="D17" i="1" s="1"/>
  <c r="E10" i="1"/>
  <c r="D6" i="1"/>
  <c r="C6" i="1"/>
  <c r="C12" i="1"/>
  <c r="M7" i="3"/>
  <c r="O7" i="3" s="1"/>
  <c r="M6" i="3"/>
  <c r="O6" i="3" s="1"/>
  <c r="N37" i="3"/>
  <c r="G24" i="6"/>
  <c r="E49" i="5" s="1"/>
  <c r="I49" i="5" s="1"/>
  <c r="M15" i="3"/>
  <c r="O15" i="3" s="1"/>
  <c r="M24" i="3"/>
  <c r="O24" i="3" s="1"/>
  <c r="G12" i="4"/>
  <c r="M27" i="3"/>
  <c r="O27" i="3" s="1"/>
  <c r="M21" i="3"/>
  <c r="O21" i="3" s="1"/>
  <c r="M26" i="3"/>
  <c r="O26" i="3" s="1"/>
  <c r="M14" i="3"/>
  <c r="O14" i="3" s="1"/>
  <c r="M12" i="3"/>
  <c r="O12" i="3" s="1"/>
  <c r="M23" i="3"/>
  <c r="O23" i="3" s="1"/>
  <c r="M8" i="3"/>
  <c r="O8" i="3" s="1"/>
  <c r="M22" i="3"/>
  <c r="O22" i="3" s="1"/>
  <c r="M16" i="3"/>
  <c r="O16" i="3" s="1"/>
  <c r="K37" i="3"/>
  <c r="M5" i="3"/>
  <c r="M19" i="3"/>
  <c r="O19" i="3" s="1"/>
  <c r="E12" i="1" l="1"/>
  <c r="E17" i="1" s="1"/>
  <c r="F12" i="1"/>
  <c r="D15" i="1"/>
  <c r="E6" i="1"/>
  <c r="E15" i="1" s="1"/>
  <c r="C10" i="1"/>
  <c r="B10" i="1"/>
  <c r="B9" i="1"/>
  <c r="F9" i="1" s="1"/>
  <c r="K49" i="5"/>
  <c r="C11" i="1" s="1"/>
  <c r="C17" i="1" s="1"/>
  <c r="O5" i="3"/>
  <c r="M37" i="3"/>
  <c r="D16" i="1" l="1"/>
  <c r="D18" i="1" s="1"/>
  <c r="D21" i="1" s="1"/>
  <c r="F11" i="1"/>
  <c r="F10" i="1"/>
  <c r="E16" i="1"/>
  <c r="E18" i="1" s="1"/>
  <c r="E21" i="1" s="1"/>
  <c r="F6" i="1"/>
  <c r="C15" i="1"/>
  <c r="C16" i="1" s="1"/>
  <c r="B15" i="1"/>
  <c r="B16" i="1" s="1"/>
  <c r="F17" i="1"/>
  <c r="O37" i="3"/>
  <c r="F16" i="1" l="1"/>
  <c r="F15" i="1"/>
  <c r="C18" i="1"/>
  <c r="C21" i="1" s="1"/>
  <c r="B18" i="1" l="1"/>
  <c r="B21" i="1" l="1"/>
  <c r="F18" i="1"/>
  <c r="F21" i="1" s="1"/>
  <c r="B23" i="1"/>
  <c r="C23" i="1" l="1"/>
  <c r="B25" i="1"/>
  <c r="F25" i="1"/>
  <c r="D23" i="1" l="1"/>
  <c r="C25" i="1"/>
  <c r="D25" i="1" l="1"/>
  <c r="E23" i="1"/>
  <c r="E25" i="1" s="1"/>
</calcChain>
</file>

<file path=xl/comments1.xml><?xml version="1.0" encoding="utf-8"?>
<comments xmlns="http://schemas.openxmlformats.org/spreadsheetml/2006/main">
  <authors>
    <author>Unknown Author</author>
  </authors>
  <commentList>
    <comment ref="B11" authorId="0" shapeId="0">
      <text>
        <r>
          <rPr>
            <sz val="10"/>
            <rFont val="Arial"/>
            <family val="2"/>
          </rPr>
          <t>Исправлено 12.09.2026: было 10 МЗП (устаревшее значение до 2026 г.). С 1 января 2026 года предел для исчисления отчислений работодателя на ОСМС увеличен до 40 МЗП (лимит по взносам работника/ВОСМС — 20 МЗП, это другая величина и здесь не используется).</t>
        </r>
      </text>
    </comment>
    <comment ref="B17" authorId="0" shapeId="0">
      <text>
        <r>
          <rPr>
            <sz val="10"/>
            <rFont val="Arial"/>
            <family val="2"/>
          </rPr>
          <t>Исправлено 12.09.2026: было 6 МРП. Суточные в размере 2 МРП/день — прямая норма п.3 Правил возмещения командировочных расходов (пост. Правительства РК №256 от 11.05.2018 в ред. пост. №934 от 29.12.2018). 6 МРП — это лимит, при котором суточные НЕ облагаются ИПН (ст.319 НК РК), это другая величина.</t>
        </r>
      </text>
    </comment>
    <comment ref="B34" authorId="0" shapeId="0">
      <text>
        <r>
          <rPr>
            <sz val="10"/>
            <rFont val="Arial"/>
            <family val="2"/>
          </rPr>
          <t>Изменено 12.09.2026 по запросу: было 5%, стало 10% от ПРЯМЫХ ЗАТРАТ.</t>
        </r>
      </text>
    </comment>
  </commentList>
</comments>
</file>

<file path=xl/sharedStrings.xml><?xml version="1.0" encoding="utf-8"?>
<sst xmlns="http://schemas.openxmlformats.org/spreadsheetml/2006/main" count="1050" uniqueCount="561">
  <si>
    <t>Статья</t>
  </si>
  <si>
    <t>Параметры расчёта (меняйте значения в колонке B — всё пересчитается)</t>
  </si>
  <si>
    <t>Имя</t>
  </si>
  <si>
    <t>Значение</t>
  </si>
  <si>
    <t>Пояснение</t>
  </si>
  <si>
    <t>МЗП</t>
  </si>
  <si>
    <t>МЗП 2026, ₸</t>
  </si>
  <si>
    <t>МРП</t>
  </si>
  <si>
    <t>МРП 2026, ₸</t>
  </si>
  <si>
    <t>Ставка_СН</t>
  </si>
  <si>
    <t>Социальный налог — 6% (НК с 01.01.2026), база: оклад − ОПВ 10% − ВОСМС 2%</t>
  </si>
  <si>
    <t>Ставка_ОПВР</t>
  </si>
  <si>
    <t>Пенсионные взносы работодателя — 3,5% (2026)</t>
  </si>
  <si>
    <t>Ставка_СО</t>
  </si>
  <si>
    <t>Социальные отчисления — 5%, база до 7 МЗП</t>
  </si>
  <si>
    <t>Кап_СО</t>
  </si>
  <si>
    <t>Предел базы СО, в МЗП</t>
  </si>
  <si>
    <t>Ставка_ООСМС</t>
  </si>
  <si>
    <t>Отчисления на ОСМС работодателя — 3%</t>
  </si>
  <si>
    <t>Кап_ООСМС</t>
  </si>
  <si>
    <t>Предел базы ООСМС, в МЗП (с 01.01.2026 предел вырос с 10 до 40 МЗП — изм. в Закон РК "Об обязательном соц. мед. страховании"; было 10 МЗП — это предел до 2025 г.)</t>
  </si>
  <si>
    <t>Ставка_ОПВ</t>
  </si>
  <si>
    <t>ОПВ работника 10% — удерживается из оклада (для базы СН и СО)</t>
  </si>
  <si>
    <t>Ставка_ВОСМС</t>
  </si>
  <si>
    <t>ВОСМС работника 2% — удерживается из оклада</t>
  </si>
  <si>
    <t>ОСНС</t>
  </si>
  <si>
    <t>ОСНС на штатного сотрудника в год, ₸</t>
  </si>
  <si>
    <t>Курс</t>
  </si>
  <si>
    <t>₸ за 1 $</t>
  </si>
  <si>
    <t>Сут_РК</t>
  </si>
  <si>
    <t>Суточные по РК, МРП в день (норма 2 МРП/день — п.3 Правил, утв. пост. Правительства РК от 11.05.2018 № 256, с изм. от 29.12.2018 № 934; было 6 МРП — это порог необлагаемости суточных по ст.319 НК РК, а не норма возмещения)</t>
  </si>
  <si>
    <t>Авиа_РК</t>
  </si>
  <si>
    <t>Авиабилет Астана — областной центр, туда-обратно, ₸</t>
  </si>
  <si>
    <t>Отель_РК</t>
  </si>
  <si>
    <t>Гостиница в регионе, ₸ за ночь</t>
  </si>
  <si>
    <t>Трансп_РК</t>
  </si>
  <si>
    <t>Местный транспорт в поездке, ₸</t>
  </si>
  <si>
    <t>Дней_РК</t>
  </si>
  <si>
    <t>Длительность типовой поездки по РК, дней</t>
  </si>
  <si>
    <t>Ночей_РК</t>
  </si>
  <si>
    <t>Ночей в типовой поездке</t>
  </si>
  <si>
    <t>Поездка_РК</t>
  </si>
  <si>
    <t>Одна поездка по РК на человека, ₸</t>
  </si>
  <si>
    <t>Поездка_местн</t>
  </si>
  <si>
    <t>Выезд регионального координатора внутри макрорегиона (1 день), ₸</t>
  </si>
  <si>
    <t>Авиа_межд</t>
  </si>
  <si>
    <t>Международный перелёт эконом, $</t>
  </si>
  <si>
    <t>Отель_межд</t>
  </si>
  <si>
    <t>Гостиница за рубежом, $ за ночь</t>
  </si>
  <si>
    <t>Сут_межд</t>
  </si>
  <si>
    <t>Суточные за рубежом, $ в день</t>
  </si>
  <si>
    <t>Дней_межд</t>
  </si>
  <si>
    <t>Длительность загранпоездки, дней</t>
  </si>
  <si>
    <t>Ночей_межд</t>
  </si>
  <si>
    <t>Ночей</t>
  </si>
  <si>
    <t>Страх_межд</t>
  </si>
  <si>
    <t>Страховка/виза, $</t>
  </si>
  <si>
    <t>Поездка_межд</t>
  </si>
  <si>
    <t>Одна загранпоездка на человека, ₸</t>
  </si>
  <si>
    <t>Аренда_мес</t>
  </si>
  <si>
    <t>Депозит_мес</t>
  </si>
  <si>
    <t>Резерв</t>
  </si>
  <si>
    <t>Резерв на непредвиденные расходы (10% — по требованию, было 5%)</t>
  </si>
  <si>
    <t>НДС</t>
  </si>
  <si>
    <t>НДС 16% — для аутсорса (ТОО — плательщик НДС) и справочно для договора услуг</t>
  </si>
  <si>
    <t>№</t>
  </si>
  <si>
    <t>Блок</t>
  </si>
  <si>
    <t>Должность</t>
  </si>
  <si>
    <t>Подчиняется</t>
  </si>
  <si>
    <t>Форма</t>
  </si>
  <si>
    <t>Статус</t>
  </si>
  <si>
    <t>Кол-во</t>
  </si>
  <si>
    <t>Оклад за ед., гросс в мес. (аутсорс — без НДС)</t>
  </si>
  <si>
    <t>Отчисления работодателя / НДС на ед. в мес.</t>
  </si>
  <si>
    <t>Стоимость строки в мес.</t>
  </si>
  <si>
    <t>Мес. 2026</t>
  </si>
  <si>
    <t>ФОТ+отчисл. окт–дек 2026</t>
  </si>
  <si>
    <t>Итого окт–дек 2026</t>
  </si>
  <si>
    <t>—</t>
  </si>
  <si>
    <t>штат</t>
  </si>
  <si>
    <t>действующий</t>
  </si>
  <si>
    <t>ГИД</t>
  </si>
  <si>
    <t>новая</t>
  </si>
  <si>
    <t>Финансовый директор</t>
  </si>
  <si>
    <t>Бухгалтер</t>
  </si>
  <si>
    <t>Роль</t>
  </si>
  <si>
    <t>Строка «Штат»</t>
  </si>
  <si>
    <t>Кол-во чел.</t>
  </si>
  <si>
    <t>Поездок по РК в год на чел.</t>
  </si>
  <si>
    <t>Выездов по макрорегиону в мес. на чел.</t>
  </si>
  <si>
    <t>Окт–дек 2026</t>
  </si>
  <si>
    <t>ИТОГО</t>
  </si>
  <si>
    <t>Раздел</t>
  </si>
  <si>
    <t>Ед.</t>
  </si>
  <si>
    <t>Цена, ₸</t>
  </si>
  <si>
    <t>Тип</t>
  </si>
  <si>
    <t>Примечание</t>
  </si>
  <si>
    <t>Оснащение</t>
  </si>
  <si>
    <t>Ноутбук стандартный (Core i5 / Ryzen 5, 16 ГБ, SSD 512 ГБ)</t>
  </si>
  <si>
    <t>шт.</t>
  </si>
  <si>
    <t>разово</t>
  </si>
  <si>
    <t>Ноутбук производительный</t>
  </si>
  <si>
    <t>Монитор 24" + клавиатура, мышь, гарнитура</t>
  </si>
  <si>
    <t>компл.</t>
  </si>
  <si>
    <t>Переговорная: стол + 12 стульев</t>
  </si>
  <si>
    <t>Сетевое оборудование и СКС (роутер, коммутатор, Wi-Fi, монтаж)</t>
  </si>
  <si>
    <t>Сетевой накопитель (NAS) с дисками — архив фото/видео и документов</t>
  </si>
  <si>
    <t>смета</t>
  </si>
  <si>
    <t>Лицензии 1С на дополнительные рабочие места</t>
  </si>
  <si>
    <t>Вывеска и брендирование офиса</t>
  </si>
  <si>
    <t>Офис</t>
  </si>
  <si>
    <t>Аренда офиса</t>
  </si>
  <si>
    <t>мес.</t>
  </si>
  <si>
    <t>мес</t>
  </si>
  <si>
    <t>депозит</t>
  </si>
  <si>
    <t>Текущий мелкий ремонт и хозяйственные расходы</t>
  </si>
  <si>
    <t>Курьерские и почтовые услуги (МЭПР, акиматы, партнёры)</t>
  </si>
  <si>
    <t>Интернет (выделенный канал)</t>
  </si>
  <si>
    <t>Обслуживание МФУ и расходники</t>
  </si>
  <si>
    <t>Представительские расходы (встречи, кофе-брейки)</t>
  </si>
  <si>
    <t>Цифровые</t>
  </si>
  <si>
    <t>Microsoft 365 Business Standard (почта, Teams, OneDrive)</t>
  </si>
  <si>
    <t>польз.</t>
  </si>
  <si>
    <t>Power BI Pro (дашборды)</t>
  </si>
  <si>
    <t>Canva Teams / Adobe CC (дизайн)</t>
  </si>
  <si>
    <t>лиц.</t>
  </si>
  <si>
    <t>Медиа</t>
  </si>
  <si>
    <t>Полиграфия и брендированная продукция</t>
  </si>
  <si>
    <t>Фотобанк, музыка (подписки)</t>
  </si>
  <si>
    <t>Смета фото- и видеооборудования, ₸</t>
  </si>
  <si>
    <t>Наименование</t>
  </si>
  <si>
    <t>Артикул</t>
  </si>
  <si>
    <t>Наличие / источник цены</t>
  </si>
  <si>
    <t>Сумма, ₸</t>
  </si>
  <si>
    <t>1. Оборудование по КП PSP Digital / Photo Plus</t>
  </si>
  <si>
    <t>Кинокамера Canon EOS C70 Cinema Camera</t>
  </si>
  <si>
    <t>Предзаказ</t>
  </si>
  <si>
    <t>Объектив Canon RF 24-105mm f/4L IS USM</t>
  </si>
  <si>
    <t>В наличии</t>
  </si>
  <si>
    <t>Электронный стабилизатор DJI RS 4 Pro Combo</t>
  </si>
  <si>
    <t>Карта памяти Sony 128GB SF-G Tough UHS-II SDXC 299Mb/s</t>
  </si>
  <si>
    <t>DJI Mic 3 2-Person Compact Digital Wireless Microphone System</t>
  </si>
  <si>
    <t>Монопод E-Image MA600+610FH</t>
  </si>
  <si>
    <t>Сумка для видеокамер E-Image OSCAR S50 (EB0925)</t>
  </si>
  <si>
    <t>Итого раздел 1</t>
  </si>
  <si>
    <t>Аккумулятор Canon BP-A30 для Canon EOS C70 — запасной</t>
  </si>
  <si>
    <t>Итого раздел 2</t>
  </si>
  <si>
    <t>3. Дополнительное оборудование</t>
  </si>
  <si>
    <t>Видеоштатив с видеоголовой</t>
  </si>
  <si>
    <t>Внешний SSD 2 ТБ для исходников</t>
  </si>
  <si>
    <t>Итого раздел 3</t>
  </si>
  <si>
    <t>ИТОГО смета (1 + 2 + 3)</t>
  </si>
  <si>
    <t>Площадь_офиса</t>
  </si>
  <si>
    <t>Ставка_аренды_м2</t>
  </si>
  <si>
    <t>Парковка_мест</t>
  </si>
  <si>
    <t>Парковка_цена</t>
  </si>
  <si>
    <t>Аренда_с_НДС</t>
  </si>
  <si>
    <t>Справочно: аренда с коммунальными и парковкой, ₸ в месяц с НДС 16%</t>
  </si>
  <si>
    <t>Аренда_депозит</t>
  </si>
  <si>
    <t>Справочно: гарантийный депозит (возвратный), ₸</t>
  </si>
  <si>
    <t>МФУ цветное А3 (класс Kyocera TASKalfa 2554ci) с Wi-Fi, тумбой, доставкой и установкой</t>
  </si>
  <si>
    <t>Стартовый комплект тонеров CMYK для МФУ А3</t>
  </si>
  <si>
    <t>МФУ А4 чёрно-белое с Wi-Fi, дуплексом и автоподатчиком (класс HP LaserJet Pro MFP 4103fdw / Kyocera ECOSYS MA4000fx)</t>
  </si>
  <si>
    <t>Резервные картриджи для МФУ А4 (по 2 на аппарат)</t>
  </si>
  <si>
    <t>Резервный комплект тонеров CMYK для МФУ А3</t>
  </si>
  <si>
    <t>Группа</t>
  </si>
  <si>
    <t>Позиция</t>
  </si>
  <si>
    <t>Кол-во в месяц</t>
  </si>
  <si>
    <t>Сумма в месяц, ₸</t>
  </si>
  <si>
    <t>Бумага и печать</t>
  </si>
  <si>
    <t>Бумага А4, 80 г/м² (пачка 500 л.)</t>
  </si>
  <si>
    <t>пачка</t>
  </si>
  <si>
    <t>Бумага А3 (пачка 500 л.)</t>
  </si>
  <si>
    <t>схемы, плакаты, раздаточные материалы</t>
  </si>
  <si>
    <t>Бумага для флипчарта (блок)</t>
  </si>
  <si>
    <t>блок</t>
  </si>
  <si>
    <t>совещания, семинары</t>
  </si>
  <si>
    <t>Плотная бумага и обложки для брошюровки</t>
  </si>
  <si>
    <t>отчёты, методические материалы</t>
  </si>
  <si>
    <t>Канцелярия</t>
  </si>
  <si>
    <t>Ручки, карандаши, маркеры, текстовыделители</t>
  </si>
  <si>
    <t>на сотрудника в офисе</t>
  </si>
  <si>
    <t>Блокноты, стикеры, закладки</t>
  </si>
  <si>
    <t>Папки-регистраторы, скоросшиватели, файлы А4</t>
  </si>
  <si>
    <t>делопроизводство, договоры, кадры</t>
  </si>
  <si>
    <t>Конверты, почтовые пакеты, бумага для заметок</t>
  </si>
  <si>
    <t>переписка с МЭПР и акиматами</t>
  </si>
  <si>
    <t>Скобы, скрепки, клей, ножницы, ножи, линейки</t>
  </si>
  <si>
    <t>пополнение</t>
  </si>
  <si>
    <t>Степлеры, дыроколы, лотки, органайзеры (пополнение)</t>
  </si>
  <si>
    <t>Архивные короба и файлы для архива</t>
  </si>
  <si>
    <t>хранение документов проекта</t>
  </si>
  <si>
    <t>Батарейки, удлинители, мелкая электрика</t>
  </si>
  <si>
    <t>техника, пульты, микрофоны</t>
  </si>
  <si>
    <t>ИТОГО в месяц</t>
  </si>
  <si>
    <t>Финансовому директору</t>
  </si>
  <si>
    <t>[вакансия] Первичные документы, платежи, зарплата, авансовые отчёты, учёт основных средств</t>
  </si>
  <si>
    <t>Заместителю ГИД (адм.-хоз.)</t>
  </si>
  <si>
    <t>Проектный офис — руководство</t>
  </si>
  <si>
    <t>Руководителю группы</t>
  </si>
  <si>
    <t>Коммун_мес</t>
  </si>
  <si>
    <t>Оснащение офиса</t>
  </si>
  <si>
    <t>Сборка_мебели_проц</t>
  </si>
  <si>
    <t>Сборка, доставка и подъём мебели</t>
  </si>
  <si>
    <t>Гарантийный депозит по аренде (1 месячная ставка, возвратный)</t>
  </si>
  <si>
    <t>Стеллажи для складов и архивов (склад техники, архив документов, архив основного блока)</t>
  </si>
  <si>
    <t>Аренда_мес_2026</t>
  </si>
  <si>
    <t>Мес_2026_новые</t>
  </si>
  <si>
    <t>Ламинатор Deli ET104, А3, 300 мм/мин</t>
  </si>
  <si>
    <t>Плёнка для ламинирования А4, 100 мкм, 100 шт. в упаковке (OfficeSpace)</t>
  </si>
  <si>
    <t>уп.</t>
  </si>
  <si>
    <t>Переплётная машина Deli 3873 для пластиковой пружины (перфорирует до 18 л., сшивает до 425 л.)</t>
  </si>
  <si>
    <t>Расходники для переплёта: обложки А4 картонные и пластиковые, пружины 6, 10, 14 и 51 мм (по 100 шт.)</t>
  </si>
  <si>
    <t>по ПО</t>
  </si>
  <si>
    <t>сумма</t>
  </si>
  <si>
    <t>Реализация специальных / креативных проектов</t>
  </si>
  <si>
    <t>Департамент социологических исследований и аналитики</t>
  </si>
  <si>
    <t>Руководитель департамента</t>
  </si>
  <si>
    <t>Главный специалист — социолог</t>
  </si>
  <si>
    <t>Руководителю департамента</t>
  </si>
  <si>
    <t>Департамент проектного управления и региональной координации</t>
  </si>
  <si>
    <t>Главный специалист</t>
  </si>
  <si>
    <t>Директору департамента</t>
  </si>
  <si>
    <t>Ведущий специалист</t>
  </si>
  <si>
    <t>Департамент цифрового развития</t>
  </si>
  <si>
    <t>аутсорс</t>
  </si>
  <si>
    <t>Группа «Коммуникация и креатив»</t>
  </si>
  <si>
    <t>Руководитель группы</t>
  </si>
  <si>
    <t>Главный специалист — PR, пресс-секретарь</t>
  </si>
  <si>
    <t>Ведущий специалист — фотограф, рилсмейкер</t>
  </si>
  <si>
    <t>Ведущий специалист — менеджер по блогерам</t>
  </si>
  <si>
    <t>[Дутбаева] Работа с блогерами и лидерами мнений</t>
  </si>
  <si>
    <t>Режиссёр, видеограф-монтажёр — аутсорс</t>
  </si>
  <si>
    <t>Копирайтер — аутсорс</t>
  </si>
  <si>
    <t>Менеджер по креаторам и креативным проектам — аутсорс</t>
  </si>
  <si>
    <t>Заместитель ГИД (адм.-хоз. вопросы, закупки, кадры, проекты)</t>
  </si>
  <si>
    <t>Сетевые фильтры на общие зоны: 6 розеток, 5 м (Defender DFS 155)</t>
  </si>
  <si>
    <t>Сетевые фильтры на рабочие места: 5 розеток, 3 м, с заземлением (Defender ES)</t>
  </si>
  <si>
    <t>Удлинители-магистрали 10 м, 3 розетки, с заземлением, ПВС 3×1 мм², 16 А (ЭРА U-3e-10m-3x1)</t>
  </si>
  <si>
    <t>Кабель-канал напольный ПВХ 70×16 мм, секция 2 м (IEK)</t>
  </si>
  <si>
    <t>ЦАКФ — руководство Фонда</t>
  </si>
  <si>
    <t>Главный исполнительный директор (ГИД)</t>
  </si>
  <si>
    <t>Заместитель директора (МЭПР, ЦГО, регионы)</t>
  </si>
  <si>
    <t>Взаимодействие с МЭПР, ЦГО и регионами</t>
  </si>
  <si>
    <t>Разработчик (ИИ, ГИС), платформа — аутсорс</t>
  </si>
  <si>
    <t>Административный персонал</t>
  </si>
  <si>
    <t>Юрист (МФЦА) — аутсорс</t>
  </si>
  <si>
    <t>Администратор (сис.админ) — аутсорс</t>
  </si>
  <si>
    <t>Департамент цифрового развития (1 чел., разработчик — аутсорс)</t>
  </si>
  <si>
    <t>Проекты</t>
  </si>
  <si>
    <t>Функции</t>
  </si>
  <si>
    <t>Ставка в мес. без НДС</t>
  </si>
  <si>
    <t>НДС 16%</t>
  </si>
  <si>
    <t>В мес. с НДС</t>
  </si>
  <si>
    <t>Договоры и соглашения, право МФЦА, сопровождение закупок и кадровых документов</t>
  </si>
  <si>
    <t>ИТ-инфраструктура, сеть и техника; делопроизводство, хоз. администрирование, ассистирование</t>
  </si>
  <si>
    <t>Разработчик (ИИ, ГИС), платформа</t>
  </si>
  <si>
    <t>Руководителю цифрового развития</t>
  </si>
  <si>
    <t>Разработка и сопровождение ИИ- и ГИС-инструментов, цифровой платформы</t>
  </si>
  <si>
    <t>Режиссёр, видеограф-монтажёр</t>
  </si>
  <si>
    <t>Руководителю группы «Коммуникация и креатив»</t>
  </si>
  <si>
    <t>Съёмка и монтаж видео, ролики</t>
  </si>
  <si>
    <t>Копирайтер</t>
  </si>
  <si>
    <t>Тексты для соцсетей, сайта, СМИ</t>
  </si>
  <si>
    <t>Менеджер по креаторам и креативным проектам</t>
  </si>
  <si>
    <t>Работа с креаторами, креативные проекты</t>
  </si>
  <si>
    <t>ИТОГО аутсорс</t>
  </si>
  <si>
    <t>[аутсорс] Разработка и сопровождение ИИ- и ГИС-инструментов, цифровой платформы</t>
  </si>
  <si>
    <t>[аутсорс] Съёмка и монтаж видео, ролики</t>
  </si>
  <si>
    <t>[аутсорс] Тексты для соцсетей, сайта, СМИ</t>
  </si>
  <si>
    <t>[аутсорс] Работа с креаторами, креативные проекты</t>
  </si>
  <si>
    <t>[аутсорс] Договоры и соглашения, право МФЦА, сопровождение закупок и кадровых документов</t>
  </si>
  <si>
    <t>[аутсорс] ИТ-инфраструктура, сеть и техника; делопроизводство, хоз. администрирование, ассистирование</t>
  </si>
  <si>
    <t>Таргетированная реклама (продвижение в соцсетях)</t>
  </si>
  <si>
    <t>≈3 500 страниц в месяц</t>
  </si>
  <si>
    <t>Ставка аренды со скидкой, ₸ за 1 м² в месяц без НДС и без коммунальных (условия БЦ от 22.09.2026)</t>
  </si>
  <si>
    <t>Парковка, ₸ за 1 место в месяц без НДС – 40 000, уточнено у БЦ</t>
  </si>
  <si>
    <t>Аренда – БЦ «Сыганак», ул. Сыганак, 70, 7 этаж: 701–702 + зона 710</t>
  </si>
  <si>
    <t>Площадь к оплате, м²: 701 (52,2) + 701а (21,4) + 701б (12,4) + 702 (33,7) = 119,7 по плану БЦ; зона 710 – 190,0 по экспликации БЦ; итого 309,7 полезной + 10% мест общего пользования</t>
  </si>
  <si>
    <t>Аренда офисов с коммунальными и парковкой, ₸ в месяц без НДС (БЦ «Сыганак», 7 этаж: 701–702 + зона 710 – расчёт ниже)</t>
  </si>
  <si>
    <t>Источник бесперебойного питания 1200 ВА / 650 Вт, линейно-интерактивный (APC Back-UPS BX1200MI-GR)</t>
  </si>
  <si>
    <t>Интерактивная панель 75" (доска-экран) для зала совещаний: 4K, сенсорная, Android (класс Iiyama ProLite TE7515A-B2AG)</t>
  </si>
  <si>
    <t>Бытовая техника (кулер для воды, холодильник, микроволновка, кофемашина)</t>
  </si>
  <si>
    <t>Второй кулер для воды, напольный, нагрев и охлаждение (класс Midea MK-32H)</t>
  </si>
  <si>
    <t>Командировки по РК на октябрь–декабрь 2026 года, ₸</t>
  </si>
  <si>
    <t>Старт (1 – октябрь, 2 – ноябрь, 3 – декабрь)</t>
  </si>
  <si>
    <t>Функционал и опыт</t>
  </si>
  <si>
    <t>ИТОГО (штат)</t>
  </si>
  <si>
    <t xml:space="preserve">  в т.ч. проектный офис</t>
  </si>
  <si>
    <t xml:space="preserve">  в т.ч. Фонд</t>
  </si>
  <si>
    <t>[Тленчиева Ш.] Исследования восприятия акции, опросы. Опыт: PhD по социологии.</t>
  </si>
  <si>
    <t>[Оразбаева М.К.] Бюджет проекта, раздельный учёт, работа со спонсорами, финансовая отчётность, налоги. Опыт: 30+ лет в финансах, бухгалтерском и налоговом учёте – главный бухгалтер АО «Международный аэропорт Нурсултан Назарбаев», аудит BDO Qazaqstan (МФЦА); профессиональный бухгалтер РК, ДипИФР ACCA, налоговый консультант.</t>
  </si>
  <si>
    <t>Аутсорс-услуги: расчёт на октябрь–декабрь 2026 года, ₸</t>
  </si>
  <si>
    <t>Тип: разово – в месяц старта; мес – ежемесячно с месяца старта; год – годовая сумма × 3/12.</t>
  </si>
  <si>
    <t>Старт (1 – октябрь)</t>
  </si>
  <si>
    <t>Первоочередные проекты на октябрь–декабрь 2026 года, ₸</t>
  </si>
  <si>
    <t>ИТОГО первоочередные проекты</t>
  </si>
  <si>
    <t>Период: октябрь–декабрь 2026 (3 мес.).</t>
  </si>
  <si>
    <t>Старт позиции/расхода: 1 – октябрь, 2 – ноябрь, 3 – декабрь 2026.</t>
  </si>
  <si>
    <t>Штатная численность, чел.</t>
  </si>
  <si>
    <t xml:space="preserve">  в т.ч. проектный офис «Таза Қазақстан», чел.</t>
  </si>
  <si>
    <t>4. Командировки по РК</t>
  </si>
  <si>
    <t>5. Оснащение (разово): ноутбуки, мебель, МФУ, интерактивная панель, ИБП, фото-видео, сеть</t>
  </si>
  <si>
    <t>7. Цифровые инструменты</t>
  </si>
  <si>
    <t>8. Медиа: таргет, полиграфия, подписки</t>
  </si>
  <si>
    <t>Прямые затраты</t>
  </si>
  <si>
    <t>А. ИТОГО организационное обеспечение</t>
  </si>
  <si>
    <t>Б. Первоочередные проекты (лист «Проекты»)</t>
  </si>
  <si>
    <t>2. Аккумуляторы</t>
  </si>
  <si>
    <t>Стойка ресепшн</t>
  </si>
  <si>
    <t>Фото- и видеооборудование – базовый комплект (КП PSP Digital)</t>
  </si>
  <si>
    <t>Аптечки</t>
  </si>
  <si>
    <t>Разово при открытии офиса</t>
  </si>
  <si>
    <t>ИТОГО разово</t>
  </si>
  <si>
    <t>Канцелярия и бумага, ₸</t>
  </si>
  <si>
    <t>Канцелярия и бумага – ежемесячно (лист «Канцелярия»)</t>
  </si>
  <si>
    <t>Канцелярские принадлежности при открытии офиса (лист «Канцелярия»)</t>
  </si>
  <si>
    <t>ОСНС_полис</t>
  </si>
  <si>
    <t>ОСНС (годовой полис новым сотрудникам)</t>
  </si>
  <si>
    <t>3. ОСНС: годовой полис на новых сотрудников</t>
  </si>
  <si>
    <t>Международные и страновые проекты Фонда</t>
  </si>
  <si>
    <t>[Темирбеков М.Е.] Наём, закупки, офис, договоры с поставщиками. Опыт: международные экономические отношения (диплом с отличием); акиматы Костанайской области и Астаны; руководитель аппарата холдинга (3 000+ сотрудников); проекты МЗ РК и Всемирного банка; руководитель в общественных организациях, структур в квазигоссекторе; в ЦАКФ с 02.2025, член Управляющего совета.</t>
  </si>
  <si>
    <t>Проектный офис для Центральной Азии по изменению климата и зеленой энергетике</t>
  </si>
  <si>
    <t>Руководитель проектного офиса «Таза Қазақстан»</t>
  </si>
  <si>
    <t>[Серикжанова Айгерим] Руководитель проектного офиса: руководство командой, календарь мероприятий, работа с акиматами и госорганами. Опыт: директор Департамента развития талантов, образовательных программ и экспертного сопровождения КФ «Фонд развития креативных индустрий»; PhD, постдокторантура «Политология» (ЕНУ им. Л.Н. Гумилёва), магистр права LLM (РУДН), магистр юридических наук (КазНУ им. аль-Фараби).</t>
  </si>
  <si>
    <t>[Қуандық Жасұлан] Проектный менеджер: ведение проектов, координация регионов, молодёжные проекты. Опыт: президент благотворительного фонда «Dauletten», основатель портала для молодёжи jastar.online; КазНУ им. аль-Фараби – бакалавр «Государственное и местное управление», MBA, докторантура (PhD).</t>
  </si>
  <si>
    <t>[Жандилдаев Бакдаулет] Проектный менеджер: координация регионов, взаимодействие с госорганами и общественными организациями. Опыт: исполнительный директор ОЮЛ «Конгресс молодежи Казахстана»; бакалавр «Государственное и местное управление» (КазУТБ), «Финансы» (Тұран-Астана), магистр юриспруденции («Синергия»).</t>
  </si>
  <si>
    <t>[Шербаева Бибинур] Проектный менеджер: ведение проектов календаря, планы и отчёты, взаимодействие с акиматами. Опыт: председатель ОСО «За будущее Казахстана»; бакалавр «Профессиональное обучение», магистр «Казахский язык и литература» (Казахский национальный женский педагогический университет).</t>
  </si>
  <si>
    <t>[Тастан Нұрбол] IT-специалист: платформа TAZA.KZ, цифровой мониторинг, информационная безопасность, работа с подрядчиком платформы. Опыт: советник председателя по информационной безопасности НАО «ННПЦ Тіл-Қазына»; бакалавр «Вычислительная техника и программное обеспечение» (ЕНУ им. Л.Н. Гумилёва), магистр юриспруденции.</t>
  </si>
  <si>
    <t>[Талғат Айман] PR-менеджер: пресс-служба, тексты и материалы для СМИ и соцсетей. Опыт: ведущий специалист КФ «Фонд развития креативных индустрий»; бакалавр журналистики (ЕНУ им. Л.Н. Гумилёва).</t>
  </si>
  <si>
    <t>[Сағынұлы С.] Коммуникационная стратегия, медиаплан, работа со СМИ</t>
  </si>
  <si>
    <t>[Жумабай Б.] Фотосъёмка, короткие видео</t>
  </si>
  <si>
    <t>Ведущий специалист — дизайнер</t>
  </si>
  <si>
    <t>[Найла] Визуалы, инфографика, макеты, фирменный стиль</t>
  </si>
  <si>
    <t>[Тулесова А.] Ведение проектов и закреплённых регионов, мониторинг мероприятий, отчётность</t>
  </si>
  <si>
    <t>[Өміртай А.] Руководитель департамента социологии: программа исследований, методология измерения поведения, ежегодный доклад</t>
  </si>
  <si>
    <t>Главный специалист — аналитик</t>
  </si>
  <si>
    <t>[Абенов Алибек] Аналитик: большие данные, дашборды, расчёт KPI, аналитическое сопровождение проектов. Опыт: руководитель управления развития кадров и документооборота АО «Центр международных программ»; бакалавр «Метрология, стандартизация и сертификация» (Карагандинский экономический университет).</t>
  </si>
  <si>
    <t>Социолог — аутсорс</t>
  </si>
  <si>
    <t>[Нурканат А.] Социолог (аутсорс): опросы, полевые работы, обработка данных</t>
  </si>
  <si>
    <t>Социолог (Нурканат А.)</t>
  </si>
  <si>
    <t>Руководителю департамента социологии</t>
  </si>
  <si>
    <t>Опросы и полевые работы, обработка данных</t>
  </si>
  <si>
    <t>Департамент социологических исследований и аналитики (3 чел.)</t>
  </si>
  <si>
    <t>Группа «Коммуникация и креатив» (5 чел.): съёмки и освещение мероприятий в регионах</t>
  </si>
  <si>
    <t>Годовой полис ОСНС на новых сотрудников 2026 года: 0,29% от их годового ФОТ (тариф по КП сентября 2026), ₸</t>
  </si>
  <si>
    <t>2. Аутсорс-услуги: юрист МФЦА, сис.админ, разработчик, режиссёр, копирайтер, социолог, менеджер по креаторам (с НДС исполнителя)</t>
  </si>
  <si>
    <t>Месяцев 2026 для новых сотрудников (зарплата, отчисления): приём с 01.11.2026, 2 мес. Действующие – 3 мес. Аренда – с 21.10.2026 (Аренда_мес_2026)</t>
  </si>
  <si>
    <t>Мес. 2026 (новые – с 01.11)</t>
  </si>
  <si>
    <t>Декоративное растение напольное в высоком кашпо</t>
  </si>
  <si>
    <t>Мес. 2026 (поездки – с ноября)</t>
  </si>
  <si>
    <t>Смета расходов по реализации проекта «TAZA TALQY» 
(в 6 регионах:ноябрь-январь)</t>
  </si>
  <si>
    <t>Статьи затрат</t>
  </si>
  <si>
    <t>Единица измерения</t>
  </si>
  <si>
    <t>Количество</t>
  </si>
  <si>
    <t>Сумма за единицу, тенге</t>
  </si>
  <si>
    <t>Общая сумма, тыс.тенге</t>
  </si>
  <si>
    <t>Всего расходов</t>
  </si>
  <si>
    <t>1.</t>
  </si>
  <si>
    <t>Проезд организаоторов и спикеров (туда и обратно) 4 человек*6 региона</t>
  </si>
  <si>
    <t>человек</t>
  </si>
  <si>
    <t>2.</t>
  </si>
  <si>
    <t>Услуга по проживанию в гостинице 4 человек*8 региона*2 ночь</t>
  </si>
  <si>
    <t xml:space="preserve">услуга </t>
  </si>
  <si>
    <t>3.</t>
  </si>
  <si>
    <t>Услуга по фото и видеосъёмке мероприятия</t>
  </si>
  <si>
    <t>4.</t>
  </si>
  <si>
    <t>Продвижение в соцсетях (привлечение инфлюенсеров)</t>
  </si>
  <si>
    <t>5.</t>
  </si>
  <si>
    <t>Амбассадор-модератор проекта</t>
  </si>
  <si>
    <t>6.</t>
  </si>
  <si>
    <t>Обед/ужин спикеров</t>
  </si>
  <si>
    <t>ИТОГО без НДС</t>
  </si>
  <si>
    <t>Всего расходов с НДС</t>
  </si>
  <si>
    <r>
      <t>Смета расходов по проведению презентации/старта работы Проектного офиса 
(Астана, на 100 человек, нояб</t>
    </r>
    <r>
      <rPr>
        <sz val="10"/>
        <color theme="1"/>
        <rFont val="Times New Roman"/>
        <family val="1"/>
      </rPr>
      <t>рь</t>
    </r>
    <r>
      <rPr>
        <b/>
        <sz val="10"/>
        <color theme="1"/>
        <rFont val="Times New Roman"/>
        <family val="1"/>
        <charset val="204"/>
      </rPr>
      <t>)</t>
    </r>
  </si>
  <si>
    <t>Аренда площадки</t>
  </si>
  <si>
    <t>день</t>
  </si>
  <si>
    <t xml:space="preserve">Аренда оборудования, ЛЭД, колонки и усилитель (комплект),световое оборудование,кликер, доставка, монтаж, микрофоны,  петличные микрофоны для спикеров </t>
  </si>
  <si>
    <t xml:space="preserve">Видеозапись и фото мероприятия </t>
  </si>
  <si>
    <t xml:space="preserve">Декорации и оформление фотозоны (фотозона размером 3м*6м с установкой, арт-зона с демонтажом и доставкой) </t>
  </si>
  <si>
    <t>услуга</t>
  </si>
  <si>
    <t>Печатная продукция (TAZA KIT: стикерпаки, букмарк, Карточка «5 привычек чистоты» и др.)</t>
  </si>
  <si>
    <t>штук</t>
  </si>
  <si>
    <t>Услуга по организации кофе-брейка (100 участников* 8 500 тг)</t>
  </si>
  <si>
    <t>Фотобудка (3 часа, classic)</t>
  </si>
  <si>
    <t>7.</t>
  </si>
  <si>
    <t>Ведущий</t>
  </si>
  <si>
    <t>Смета расходов по реализации  специальных / креативных проектов (ноябрь-январь)</t>
  </si>
  <si>
    <t>YouTube-проект «Taza niet»</t>
  </si>
  <si>
    <t>выпуск</t>
  </si>
  <si>
    <t xml:space="preserve">Совместный проект с амбассадором ByDastan </t>
  </si>
  <si>
    <t>проект</t>
  </si>
  <si>
    <t>Совместный проект с амбассадором Алия Ашим</t>
  </si>
  <si>
    <t>Информационное сопровождение проектов и деятельности (ноябрь-январь)</t>
  </si>
  <si>
    <t xml:space="preserve">Продвижение проекта Таза пакет в соцсетях (привлечение инфлюенсеров) </t>
  </si>
  <si>
    <t>Изготовление видеороликов (ИИ ролики, промо, отчетные, интервью/подкаст в студии: съемки, монтаж, продвижение)</t>
  </si>
  <si>
    <t>Изготовление печатной продукции (бомберы, кепки, жилетки и др)</t>
  </si>
  <si>
    <t>Ведение специальных инстаграм/тикток/тредс страниц (3 страницы*3 месяца)</t>
  </si>
  <si>
    <t>Проект "Менің таза әдетім" c UGC блогерами (4 блогера*4 публикаций*2 месяца)</t>
  </si>
  <si>
    <t xml:space="preserve">Продвижение проекта Taza team в соцсетях (привлечение инфлюенсеров) </t>
  </si>
  <si>
    <t>Изготовление маскота Tazabek (ростовая кукла)</t>
  </si>
  <si>
    <t>Проведение социологического исследования (ноябрь-декабрь)</t>
  </si>
  <si>
    <t>Проведение комплексного социологического исследования</t>
  </si>
  <si>
    <t xml:space="preserve">Аналитическая обработка результатов и подготовка итогового отчёта </t>
  </si>
  <si>
    <t>Разработка цифровой платформы (ноябрь-декабрь)</t>
  </si>
  <si>
    <t>Первый этап разработки цифровой платформы</t>
  </si>
  <si>
    <t>Реализация проекта «TAZA TALQY» (проведение встреч в регионах с жителями, молодежью)</t>
  </si>
  <si>
    <t>Презентация / запуск деятельности Проектного офиса</t>
  </si>
  <si>
    <t>Информационное сопровождение проектов и деятельности</t>
  </si>
  <si>
    <t>Проведение социологического исследования</t>
  </si>
  <si>
    <t>Советник ГИД по стратегии и науке</t>
  </si>
  <si>
    <t>[Кононец А.В.] Стратегия и научное направление Фонда, аналитические и экспертные материалы, международные партнёры; поручения ГИД. Опыт: 20 лет в медиа и госкоммуникациях – руководитель пресс-службы, советник министра труда и социальной защиты, главный редактор Казправды, Total.kz и др.; в ЦАКФ с 07.2025.</t>
  </si>
  <si>
    <t>Администратор (сис.админ), на руки 350 000</t>
  </si>
  <si>
    <t>ГИД (Руководитель Проектного офиса для Центральной Азии)</t>
  </si>
  <si>
    <t>[Қаражан Е.Н.] Общее руководство Фондом и проектным офисом, руководство Проектным офисом для Центральной Азии, соглашение с МЭПР, отчётность перед органами Фонда. Опыт: к.э.н. (PhD), MSc LSE («Болашақ»), Chevening; ГИД ЦАКФ с 02.2025 (Региональный экологический саммит 2026); председатель Правления ИЭИ, советник Министра национальной экономики, консультант АБР, директор по устойчивому развитию ФНБ «Самрук-Қазына».</t>
  </si>
  <si>
    <t>[Загирова Анастасия] Экологическая экспертиза, данные о состоянии окружающей среды, методические материалы</t>
  </si>
  <si>
    <t>[Абулхан А.] Молодёжь, волонтёры, НПО, школы и вузы; экспертиза молодёжных и общественных проектов</t>
  </si>
  <si>
    <t>Заместитель руководителя ПО для ЦА</t>
  </si>
  <si>
    <t>[Арманов Р.] Ведение проектов и закреплённых регионов, мониторинг мероприятий</t>
  </si>
  <si>
    <t>[Мирам А.] Ведение проектов и закреплённых регионов, сбор данных</t>
  </si>
  <si>
    <t>Департамент проектного управления и региональной координации (5 чел.)</t>
  </si>
  <si>
    <t xml:space="preserve">Шкафы для документов </t>
  </si>
  <si>
    <t>Стол рабочий с подкатной тумбой (ZETA Лофт, 140×70×77,7 см, ЛДСП, каркас металл, тумба на колёсах с 3 ящиками)</t>
  </si>
  <si>
    <t>Кресло рабочее (МИ-6 Z, спинка-сетка, подлокотники, крестовина с колёсами, регулировка высоты, нагрузка 120 кг)</t>
  </si>
  <si>
    <t>Кресло руководителя (ZETA Гермес, высокая спинка, механизм качания, подлокотники, нагрузка 120 кг)</t>
  </si>
  <si>
    <t>Кресло Главного исполнительного директора (ZETA мод. 2338, экокожа, высокая спинка, нагрузка 120 кг)</t>
  </si>
  <si>
    <t>Стол руководителя (ZETA Тейлор, 140×70×75 см, светло-серый)</t>
  </si>
  <si>
    <t>Стул представительский (ZETA Shugyla, 87×55×57 см, металл, обивка велюр, бежевый)</t>
  </si>
  <si>
    <t>Кухонный гарнитур ZETA Денвер, 200×215×60 см, ЛДСП, серый / бежевый</t>
  </si>
  <si>
    <t>Мойка врезная HALI со смесителем, 60×45×22 см, нерж. сталь 3 мм, графит</t>
  </si>
  <si>
    <t>Врезка мойки, подключение воды и канализации на кухонной зоне</t>
  </si>
  <si>
    <t>Стул офисный для посетителей (ZETA СМ 6 серый, скруглённая спинка, каркас металл, обивка рогожка)</t>
  </si>
  <si>
    <t>Мобильная стойка на колёсах под ТВ 40″ (Onkron TS1351, сталь SPCC, нагрузка 45,5 кг, 32–65″)</t>
  </si>
  <si>
    <t>Премия по итогам работы в октябре 2026 года (выплата в декабре)</t>
  </si>
  <si>
    <t>Отчисления работодателя на премию (ОПВР 3,5% + ООСМС 3% + СН 6% от дохода за вычетом ОПВ и ВОСМС)</t>
  </si>
  <si>
    <t>ИТОГО премия с отчислениями работодателя</t>
  </si>
  <si>
    <t>Социальные отчисления на премию не добавлены: по большинству окладов предел базы (7 МЗП) выбран самим окладом. По низким окладам бухгалтерия добавит СО – ставка отчислений вырастет с 11,78% до 16%.</t>
  </si>
  <si>
    <t>Руководителю проектного офиса «Таза Қазақстан»</t>
  </si>
  <si>
    <t>Премия за октябрь (1 – да)</t>
  </si>
  <si>
    <t>База: оклады 8 работников проектного офиса «Таза Қазақстан» (столбец Q) за один месяц, гросс</t>
  </si>
  <si>
    <t>1а. Премия 8 работникам проектного офиса по итогам работы в октябре (1 оклад с отчислениями, выплата в декабре)</t>
  </si>
  <si>
    <t>Тумба офисная подкатная в кабинет руководителя (ZETA OZ9134000000ST, 44×61×40 см, на колёсиках, ящик и дверца)</t>
  </si>
  <si>
    <t>Шкаф-гардероб офисный в кабинет руководителя (со штангой и полкой, высота от 190 см)</t>
  </si>
  <si>
    <t>Мобильная стойка на колёсах под тяжёлый телевизор (SK-200, нагрузка 101 кг, 55–86″, VESA до 800×600)</t>
  </si>
  <si>
    <t>Комплект мебели кабинетов ГИД и руководителя проектного офиса (ILMER Рук: стол овальный 180×80, приставка 140×65, тумба 120×40, шкаф и стеллаж 210×180 – 6 предметов)</t>
  </si>
  <si>
    <t>Вешалка-стойка напольная на крестовине, 7 крючков (ZETA Кактус, металл, 50×50×175 см)</t>
  </si>
  <si>
    <t>Вознаграждение Antal Kazakhstan за аутстаффинг: сколько Фонд платит за посредничество</t>
  </si>
  <si>
    <t>Источник – КП «Аутстаффинг» для ЦАКФ и проект договора (п. 6.1): вознаграждение 10% не от оклада, а от «окончательной суммы» – фонда оплаты труда вместе с налогами работодателя; НДС начисляется сверху на всё, включая само вознаграждение. Ставки налогов берутся с листа «Параметры».</t>
  </si>
  <si>
    <t>Ставка вознаграждения Antal</t>
  </si>
  <si>
    <t>п. 6.1 договора; фиксируется на срок контракта 3 года</t>
  </si>
  <si>
    <t>Эффективная ставка налогов работодателя</t>
  </si>
  <si>
    <t>ОПВР + ООСМС + социальный налог от дохода за вычетом ОПВ и ВОСМС. Социальные отчисления не прибавляются: на них уменьшается социальный налог и при окладе выше 564 тыс. ₸ они гасятся полностью</t>
  </si>
  <si>
    <t>Оклад начисленный (гросс), ₸/мес</t>
  </si>
  <si>
    <t>Налоги работодателя, ₸</t>
  </si>
  <si>
    <t>База вознаграждения, ₸</t>
  </si>
  <si>
    <t>Вознаграждение Antal, ₸</t>
  </si>
  <si>
    <t>НДС на вознаграждение, ₸</t>
  </si>
  <si>
    <t>Вознаграждение с НДС, ₸</t>
  </si>
  <si>
    <t>Без НДС, % от оклада</t>
  </si>
  <si>
    <t>Правило в одну строку</t>
  </si>
  <si>
    <t>Вознаграждение без НДС, % от оклада</t>
  </si>
  <si>
    <t>Реальные расходы Фонда: входной НДС берётся в зачёт</t>
  </si>
  <si>
    <t>Вознаграждение с НДС, % от оклада</t>
  </si>
  <si>
    <t>Столько видно в счёте Antal</t>
  </si>
  <si>
    <t>Вознаграждение Antal по аутсорс-блоку бюджета (лист «Аутсорс», октябрь–декабрь 2026)</t>
  </si>
  <si>
    <t>Вознаграждение Antal за квартал без НДС, ₸</t>
  </si>
  <si>
    <t>Вознаграждение Antal за квартал с НДС, ₸</t>
  </si>
  <si>
    <t>Битрикс24, тариф «Стандартный» (до 50 пользователей): CRM, задачи, проекты, диск, чат</t>
  </si>
  <si>
    <t>подписка</t>
  </si>
  <si>
    <t>Вознаграждение Antal 10%, ₸/мес</t>
  </si>
  <si>
    <t>Стоимость с вознаграждением, ₸/мес без НДС</t>
  </si>
  <si>
    <t>Вознаграждение Antal по аутсорс-блоку бюджета (лист «Аутсорс», колонка «Вознаграждение Antal 10%»)</t>
  </si>
  <si>
    <t>Стоимость специалистов (зарплата и налоги), ₸/мес</t>
  </si>
  <si>
    <t>Вознаграждение Antal, ₸/мес без НДС</t>
  </si>
  <si>
    <t>Аутсорс за период всего с вознаграждением и НДС, ₸</t>
  </si>
  <si>
    <t>Вознаграждение посчитано по каждому аутсорс-специалисту на листе «Аутсорс», колонка F. Подробный расчёт с рекрутингом – D:\Закупки\1 Процедуры закупок\9 Реестры и списки\Расчёт – аутстаффинг через Antal по тарифам КП (проект 2026-10-23).xlsx</t>
  </si>
  <si>
    <t>Юрист (МФЦА), на руки 700 000</t>
  </si>
  <si>
    <t>Вознаграждение Antal – 10% от суммы «зарплата и налоги работодателя» (п. 6.1 договора), ставка берётся с листа «Комиссия Antal», ячейка B4. НДС 16% начисляется на стоимость вместе с вознаграждением по всем специалистам: решение 24.10.2026 – все оформляются через Antal Kazakhstan, ТОО на общеустановленном режиме и плательщик НДС.</t>
  </si>
  <si>
    <t>Комплект мебели кабинетов заместителя ГИД и финансового директора (АТЛАНТИК К103, коричневый: шкаф плательный 800×400×1950, шкаф для документов 800×400×1950, стол 1100×600×750, стол с полкой для клавиатуры 800×600×750, приставка угловая 600×600 – 5 предметов)</t>
  </si>
  <si>
    <t>Шкаф для документов финансовому директору, полностью закрытый, с замком (ZETA ШММ-1, металл, 42,5×37×176 см, 4 полки)</t>
  </si>
  <si>
    <t>Конференц-камера и спикерфон для зала совещаний, с установкой и настройкой</t>
  </si>
  <si>
    <t>Жалюзи вертикальные тканевые с установкой (зона 710)</t>
  </si>
  <si>
    <t>Нотариальные расходы и пострегистрационные услуги МФЦА</t>
  </si>
  <si>
    <t>Zoom, тариф «Профессиональный» – годовая подписка (ВКС с регионами)</t>
  </si>
  <si>
    <t>Датер автоматический (Trodat 4810) и краска штемпельная</t>
  </si>
  <si>
    <t>Парковка – 1 платное место. БЦ предоставляет одно место бесплатно, в расчёте остаётся одно платное</t>
  </si>
  <si>
    <t>штамп для проставления даты на входящих и исходящих. Kaspi.kz – датер Trodat 4810 ленточный русский 3 676 ₸ и краска штемпельная Trodat 28 мл 1 600 ₸, вместе 5 276 ₸ с НДС; в бюджете без НДС (÷1,16). У b2bcompany.kz датеров нет</t>
  </si>
  <si>
    <t>Wi-Fi роутер 5G с SIM-картой (ALTEL 5G H155-380)</t>
  </si>
  <si>
    <t>Мобильный интернет для двух Wi-Fi роутеров, безлимит на максимальной скорости (ALTEL, тариф «Шаңырақ»)</t>
  </si>
  <si>
    <t>роутер</t>
  </si>
  <si>
    <t>Ноябрь 2026</t>
  </si>
  <si>
    <t>Декабрь 2026</t>
  </si>
  <si>
    <t>Январь 2027</t>
  </si>
  <si>
    <t>Месяц оплаты разовых (11 / 12)</t>
  </si>
  <si>
    <t>Нарастающим итогом</t>
  </si>
  <si>
    <t>Финансирование</t>
  </si>
  <si>
    <t>1. Оплата труда и отчисления работодателя</t>
  </si>
  <si>
    <t>ВСЕГО (А + Б)</t>
  </si>
  <si>
    <t>Февраль 2027 года: дополнение штата и расходы на новых сотрудников, ₸</t>
  </si>
  <si>
    <t>Подразделение</t>
  </si>
  <si>
    <t>Работник</t>
  </si>
  <si>
    <t>Оклад, гросс</t>
  </si>
  <si>
    <t>Отчисления работодателя</t>
  </si>
  <si>
    <t>Стоимость в месяц</t>
  </si>
  <si>
    <t>Директор департамента</t>
  </si>
  <si>
    <t>Проектное управление и региональная координация</t>
  </si>
  <si>
    <t>Доскалиева</t>
  </si>
  <si>
    <t>Арманов Р.</t>
  </si>
  <si>
    <t>Мирам А.</t>
  </si>
  <si>
    <t>Бекжанова Нагима</t>
  </si>
  <si>
    <t>Нуржау М.</t>
  </si>
  <si>
    <t>Ведущий специалист – аналитик</t>
  </si>
  <si>
    <t>Социологические исследования и аналитика</t>
  </si>
  <si>
    <t>Мукашев Дархан</t>
  </si>
  <si>
    <t>Проектный офис для Центральной Азии</t>
  </si>
  <si>
    <t>вакансия</t>
  </si>
  <si>
    <t>ИТОГО новые сотрудники (7 чел.)</t>
  </si>
  <si>
    <t>Разово при приходе новых сотрудников (цены без НДС)</t>
  </si>
  <si>
    <t>Основание</t>
  </si>
  <si>
    <t>Цена</t>
  </si>
  <si>
    <t>Сумма</t>
  </si>
  <si>
    <t>Стол рабочий с подкатной тумбой (ZETA Лофт)</t>
  </si>
  <si>
    <t>в бюджете 20 столов на 18 новых сотрудников 2026 года – запас 2</t>
  </si>
  <si>
    <t>Кресло рабочее (МИ-6 Z)</t>
  </si>
  <si>
    <t>в бюджете 26 кресел на 18 сотрудников и 7 аутсорсеров – запас 1</t>
  </si>
  <si>
    <t>Сетевые фильтры на рабочие места</t>
  </si>
  <si>
    <t>по 1 на нового сотрудника</t>
  </si>
  <si>
    <t>доля от стоимости столов и кресел (лист «Параметры»)</t>
  </si>
  <si>
    <t>ИТОГО оснащение</t>
  </si>
  <si>
    <t>Ежемесячно и прочее</t>
  </si>
  <si>
    <t>Microsoft 365 для новых сотрудников, в месяц</t>
  </si>
  <si>
    <t>ОСНС: годовой полис на новых сотрудников</t>
  </si>
  <si>
    <t>0,29% годового ФОТ, как в «Параметрах»</t>
  </si>
  <si>
    <t>Командировки новых сотрудников, в месяц</t>
  </si>
  <si>
    <t>нормы листа «Командировки»: проектное управление – 6 поездок в год, социология – 3 в год и 3 выезда в месяц</t>
  </si>
  <si>
    <t>среднемесячно за ноябрь 2026 – январь 2027</t>
  </si>
  <si>
    <t>Бюджет ЦАКФ на ноябрь 2026 – февраль 2027 года, ₸</t>
  </si>
  <si>
    <t>Февраль 2027</t>
  </si>
  <si>
    <t>Итого ноябрь 2026 – февраль 2027</t>
  </si>
  <si>
    <t>Оплата труда за июль–октябрь 2026 с налогами – в строке «Оплата труда»</t>
  </si>
  <si>
    <t>Оснащение, офис, цифровые инструменты и медиа на октябрь–декабрь 2026 года, ₸</t>
  </si>
  <si>
    <t>Разница с 250 млн (+ остаток / − дефицит)</t>
  </si>
  <si>
    <t>НДС: 16% на закупки, аренду, услуги, подписки и первоочередные проекты; расчёты с бюджетом по НДС</t>
  </si>
  <si>
    <t>6. Офис: аренда, депозит, текущие хозрасходы, курьер, интернет, обслуживание МФУ, канцелярия, представительские, нотариус и услуги МФЦА, расчёты с поставщиками за прошлые периоды</t>
  </si>
  <si>
    <t>Резерв 10% на непредвиденные расходы</t>
  </si>
  <si>
    <t>В. Обязательства по оплате труда и налогам за июль–октябрь 2026</t>
  </si>
  <si>
    <t>Обязательства_ЗП</t>
  </si>
  <si>
    <t>Обязательства_НДС</t>
  </si>
  <si>
    <t>Обязательства_прочие</t>
  </si>
  <si>
    <t>Обязательства Фонда на 01.11.2026 (погашение в ноябре)</t>
  </si>
  <si>
    <t>Обязательства по НДС – в строке НДС</t>
  </si>
  <si>
    <t>Прочие обязательства – в строке «Офис» (без резерва и НДС)</t>
  </si>
  <si>
    <t>Октябрь-ноябрь 2026</t>
  </si>
  <si>
    <t>Менеджер проектов</t>
  </si>
  <si>
    <t>Гарантийный депозит по аренде, в месячных ставках (возвратный)</t>
  </si>
  <si>
    <t>Коммунальные, ₸ в месяц без НДС: 743 ₸/м² × 309,7 м² полезной площади (без МОП)</t>
  </si>
  <si>
    <t>Месяцев аренды в 2026: 11 дней октября + ноябрь + декабрь ≈ 2,35 мес.</t>
  </si>
  <si>
    <t>Сборка, доставка и подъём мебели — доля от стоимости мебели</t>
  </si>
  <si>
    <t>Штатная структура ЦАКФ и проектного офиса «Таза Қазақстан» и расходы на персонал, ₸</t>
  </si>
  <si>
    <t>Первоочередные проекты</t>
  </si>
  <si>
    <t>Нормы поездок — на человека; стоимость поездки — лист «Параметры»; количество и старт — с листа «Штат».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</si>
</sst>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####"/>
    <numFmt numFmtId="165" formatCode="#,##0.0"/>
    <numFmt numFmtId="166" formatCode="#,##0.000"/>
  </numFmts>
  <fonts count="15" x14ac:knownFonts="1"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0"/>
      <name val="Arial"/>
      <family val="2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  <charset val="204"/>
    </font>
    <font>
      <b/>
      <sz val="12"/>
      <color theme="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6E3EF"/>
        <bgColor rgb="FFCCF2CC"/>
      </patternFill>
    </fill>
    <fill>
      <patternFill patternType="solid">
        <fgColor rgb="FFFFFFCC"/>
        <bgColor rgb="FFFFFFFF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E3EF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8" fillId="0" borderId="0"/>
    <xf numFmtId="0" fontId="1" fillId="0" borderId="0"/>
    <xf numFmtId="0" fontId="1" fillId="0" borderId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3" fontId="4" fillId="0" borderId="0" xfId="0" applyNumberFormat="1" applyFont="1"/>
    <xf numFmtId="0" fontId="4" fillId="0" borderId="0" xfId="0" applyFont="1"/>
    <xf numFmtId="164" fontId="0" fillId="3" borderId="0" xfId="0" applyNumberFormat="1" applyFill="1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3" fontId="4" fillId="3" borderId="0" xfId="0" applyNumberFormat="1" applyFont="1" applyFill="1"/>
    <xf numFmtId="165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Fill="1"/>
    <xf numFmtId="0" fontId="0" fillId="0" borderId="0" xfId="0" applyFill="1" applyAlignment="1">
      <alignment wrapText="1"/>
    </xf>
    <xf numFmtId="3" fontId="0" fillId="0" borderId="0" xfId="0" applyNumberFormat="1" applyFill="1"/>
    <xf numFmtId="2" fontId="0" fillId="0" borderId="0" xfId="0" applyNumberFormat="1" applyFill="1"/>
    <xf numFmtId="0" fontId="0" fillId="4" borderId="0" xfId="0" applyFill="1"/>
    <xf numFmtId="0" fontId="0" fillId="4" borderId="0" xfId="0" applyFill="1" applyAlignment="1">
      <alignment wrapText="1"/>
    </xf>
    <xf numFmtId="3" fontId="0" fillId="4" borderId="0" xfId="0" applyNumberFormat="1" applyFill="1"/>
    <xf numFmtId="2" fontId="0" fillId="4" borderId="0" xfId="0" applyNumberFormat="1" applyFill="1"/>
    <xf numFmtId="0" fontId="0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 wrapText="1"/>
    </xf>
    <xf numFmtId="3" fontId="0" fillId="4" borderId="1" xfId="0" applyNumberFormat="1" applyFont="1" applyFill="1" applyBorder="1" applyAlignment="1">
      <alignment vertical="center"/>
    </xf>
    <xf numFmtId="2" fontId="0" fillId="4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165" fontId="4" fillId="0" borderId="0" xfId="0" applyNumberFormat="1" applyFont="1"/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5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3" fontId="4" fillId="0" borderId="2" xfId="0" applyNumberFormat="1" applyFont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3" fontId="4" fillId="6" borderId="2" xfId="0" applyNumberFormat="1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3" fontId="4" fillId="7" borderId="2" xfId="0" applyNumberFormat="1" applyFont="1" applyFill="1" applyBorder="1" applyAlignment="1">
      <alignment vertical="center" wrapText="1"/>
    </xf>
    <xf numFmtId="1" fontId="0" fillId="0" borderId="0" xfId="0" applyNumberFormat="1"/>
    <xf numFmtId="0" fontId="7" fillId="0" borderId="0" xfId="0" applyFont="1"/>
    <xf numFmtId="0" fontId="9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 shrinkToFit="1"/>
    </xf>
    <xf numFmtId="0" fontId="6" fillId="0" borderId="1" xfId="0" applyFont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 shrinkToFit="1"/>
    </xf>
    <xf numFmtId="3" fontId="6" fillId="0" borderId="1" xfId="0" applyNumberFormat="1" applyFont="1" applyBorder="1" applyAlignment="1">
      <alignment horizontal="center" vertical="center" wrapText="1" shrinkToFit="1"/>
    </xf>
    <xf numFmtId="0" fontId="10" fillId="0" borderId="2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 shrinkToFit="1"/>
    </xf>
    <xf numFmtId="3" fontId="7" fillId="0" borderId="1" xfId="0" applyNumberFormat="1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justify" vertical="center" wrapText="1" shrinkToFit="1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0" fontId="11" fillId="0" borderId="0" xfId="0" applyFont="1"/>
    <xf numFmtId="3" fontId="7" fillId="8" borderId="0" xfId="2" applyNumberFormat="1" applyFont="1" applyFill="1" applyAlignment="1">
      <alignment horizontal="center" vertical="center"/>
    </xf>
    <xf numFmtId="3" fontId="9" fillId="0" borderId="0" xfId="3" applyNumberFormat="1" applyFont="1" applyAlignment="1">
      <alignment horizontal="left" vertical="center"/>
    </xf>
    <xf numFmtId="3" fontId="9" fillId="0" borderId="0" xfId="3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/>
    <xf numFmtId="165" fontId="7" fillId="0" borderId="0" xfId="0" applyNumberFormat="1" applyFont="1"/>
    <xf numFmtId="166" fontId="7" fillId="0" borderId="0" xfId="0" applyNumberFormat="1" applyFont="1"/>
    <xf numFmtId="0" fontId="7" fillId="0" borderId="0" xfId="0" applyFont="1" applyAlignment="1">
      <alignment wrapText="1"/>
    </xf>
    <xf numFmtId="1" fontId="7" fillId="0" borderId="1" xfId="0" applyNumberFormat="1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vertical="center" wrapText="1" shrinkToFit="1"/>
    </xf>
    <xf numFmtId="0" fontId="13" fillId="0" borderId="1" xfId="0" applyFont="1" applyBorder="1" applyAlignment="1">
      <alignment horizontal="center" vertical="center" wrapText="1" shrinkToFit="1"/>
    </xf>
    <xf numFmtId="3" fontId="7" fillId="0" borderId="1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 shrinkToFi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9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9" fontId="0" fillId="10" borderId="0" xfId="0" applyNumberFormat="1" applyFill="1"/>
    <xf numFmtId="10" fontId="0" fillId="0" borderId="0" xfId="0" applyNumberFormat="1"/>
    <xf numFmtId="0" fontId="4" fillId="6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10" fontId="0" fillId="0" borderId="1" xfId="0" applyNumberFormat="1" applyBorder="1"/>
    <xf numFmtId="0" fontId="0" fillId="0" borderId="1" xfId="0" applyBorder="1"/>
    <xf numFmtId="0" fontId="4" fillId="6" borderId="1" xfId="0" applyFont="1" applyFill="1" applyBorder="1" applyAlignment="1">
      <alignment horizontal="center" wrapText="1"/>
    </xf>
    <xf numFmtId="0" fontId="4" fillId="0" borderId="1" xfId="0" applyFont="1" applyBorder="1"/>
    <xf numFmtId="3" fontId="4" fillId="0" borderId="1" xfId="0" applyNumberFormat="1" applyFont="1" applyBorder="1"/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7" borderId="2" xfId="0" applyFont="1" applyFill="1" applyBorder="1" applyAlignment="1">
      <alignment vertical="center" wrapText="1"/>
    </xf>
    <xf numFmtId="0" fontId="14" fillId="0" borderId="0" xfId="0" applyFont="1"/>
    <xf numFmtId="0" fontId="4" fillId="5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4" fillId="5" borderId="0" xfId="0" applyNumberFormat="1" applyFont="1" applyFill="1" applyAlignment="1">
      <alignment vertical="center" wrapText="1"/>
    </xf>
    <xf numFmtId="0" fontId="6" fillId="0" borderId="0" xfId="0" applyFont="1" applyAlignment="1">
      <alignment horizontal="center" vertical="center" wrapText="1" shrinkToFit="1"/>
    </xf>
    <xf numFmtId="0" fontId="0" fillId="0" borderId="0" xfId="0"/>
  </cellXfs>
  <cellStyles count="4">
    <cellStyle name="Обычный" xfId="0" builtinId="0"/>
    <cellStyle name="Обычный 12 2 2" xfId="1"/>
    <cellStyle name="Обычный 3 2 2 3 2" xfId="3"/>
    <cellStyle name="Обычный 5 3 2 3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3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2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abSelected="1" zoomScaleNormal="100" workbookViewId="0">
      <selection activeCell="B30" sqref="B30"/>
    </sheetView>
  </sheetViews>
  <sheetFormatPr defaultColWidth="8.7109375" defaultRowHeight="15" x14ac:dyDescent="0.25"/>
  <cols>
    <col min="1" max="1" width="80.7109375" style="4" customWidth="1"/>
    <col min="2" max="6" width="22.7109375" style="4" customWidth="1"/>
    <col min="7" max="16384" width="8.7109375" style="4"/>
  </cols>
  <sheetData>
    <row r="1" spans="1:6" ht="17.25" x14ac:dyDescent="0.3">
      <c r="A1" s="33" t="s">
        <v>536</v>
      </c>
    </row>
    <row r="3" spans="1:6" ht="30" x14ac:dyDescent="0.25">
      <c r="A3" s="35" t="s">
        <v>0</v>
      </c>
      <c r="B3" s="35" t="s">
        <v>552</v>
      </c>
      <c r="C3" s="35" t="s">
        <v>491</v>
      </c>
      <c r="D3" s="35" t="s">
        <v>492</v>
      </c>
      <c r="E3" s="35" t="s">
        <v>537</v>
      </c>
      <c r="F3" s="35" t="s">
        <v>538</v>
      </c>
    </row>
    <row r="4" spans="1:6" x14ac:dyDescent="0.25">
      <c r="A4" s="36" t="s">
        <v>299</v>
      </c>
      <c r="B4" s="37">
        <f>SUMPRODUCT((Штат!$E$5:$E$36="штат")*Штат!$G$5:$G$36*(Штат!$I$5:$I$36&lt;=2))</f>
        <v>22</v>
      </c>
      <c r="C4" s="37">
        <f>SUMPRODUCT((Штат!$E$5:$E$36="штат")*Штат!$G$5:$G$36*(Штат!$I$5:$I$36&lt;=3))</f>
        <v>23</v>
      </c>
      <c r="D4" s="37">
        <f>SUMPRODUCT((Штат!$E$5:$E$36="штат")*Штат!$G$5:$G$36*(Штат!$I$5:$I$36&lt;=3))</f>
        <v>23</v>
      </c>
      <c r="E4" s="37">
        <f>D4+COUNT('Февраль 2027'!D4:D10)</f>
        <v>30</v>
      </c>
      <c r="F4" s="37"/>
    </row>
    <row r="5" spans="1:6" x14ac:dyDescent="0.25">
      <c r="A5" s="36" t="s">
        <v>300</v>
      </c>
      <c r="B5" s="37"/>
      <c r="C5" s="37"/>
      <c r="D5" s="37"/>
      <c r="E5" s="37"/>
      <c r="F5" s="37">
        <f>Штат!G38</f>
        <v>15</v>
      </c>
    </row>
    <row r="6" spans="1:6" x14ac:dyDescent="0.25">
      <c r="A6" s="36" t="s">
        <v>496</v>
      </c>
      <c r="B6" s="38">
        <f>(SUMPRODUCT((Штат!$E$5:$E$36="штат")*Штат!$K$5:$K$36*(Штат!$I$5:$I$36&lt;=2)))+B7+Обязательства_ЗП</f>
        <v>56312240</v>
      </c>
      <c r="C6" s="38">
        <f>(SUMPRODUCT((Штат!$E$5:$E$36="штат")*Штат!$K$5:$K$36*(Штат!$I$5:$I$36&lt;=3)))+C7+C20</f>
        <v>37571650</v>
      </c>
      <c r="D6" s="38">
        <f>(SUMPRODUCT((Штат!$E$5:$E$36="штат")*Штат!$K$5:$K$36*(Штат!$I$5:$I$36&lt;=3)))+D7+D20</f>
        <v>28182130</v>
      </c>
      <c r="E6" s="38">
        <f>D6+'Февраль 2027'!F11</f>
        <v>34985400</v>
      </c>
      <c r="F6" s="38">
        <f t="shared" ref="F6:F20" si="0">SUM(B6:E6)</f>
        <v>157051420</v>
      </c>
    </row>
    <row r="7" spans="1:6" ht="30" hidden="1" x14ac:dyDescent="0.25">
      <c r="A7" s="36" t="s">
        <v>440</v>
      </c>
      <c r="B7" s="38">
        <v>0</v>
      </c>
      <c r="C7" s="38">
        <f>Штат!$H$44</f>
        <v>9389520</v>
      </c>
      <c r="D7" s="38">
        <v>0</v>
      </c>
      <c r="E7" s="38">
        <v>0</v>
      </c>
      <c r="F7" s="38">
        <f t="shared" si="0"/>
        <v>9389520</v>
      </c>
    </row>
    <row r="8" spans="1:6" ht="30" x14ac:dyDescent="0.25">
      <c r="A8" s="36" t="s">
        <v>346</v>
      </c>
      <c r="B8" s="38">
        <f>SUMPRODUCT(Аутсорс!$I$4:$I$10*((Аутсорс!$J$4:$J$10&lt;=1)+(Аутсорс!$J$4:$J$10&lt;=2)))</f>
        <v>6881596</v>
      </c>
      <c r="C8" s="38">
        <f>SUMPRODUCT(Аутсорс!$I$4:$I$10*(Аутсорс!$J$4:$J$10&lt;=3))</f>
        <v>6881596</v>
      </c>
      <c r="D8" s="38">
        <f>SUMPRODUCT(Аутсорс!$I$4:$I$10*(Аутсорс!$J$4:$J$10&lt;=3))</f>
        <v>6881596</v>
      </c>
      <c r="E8" s="38">
        <f>D8</f>
        <v>6881596</v>
      </c>
      <c r="F8" s="38">
        <f t="shared" si="0"/>
        <v>27526384</v>
      </c>
    </row>
    <row r="9" spans="1:6" x14ac:dyDescent="0.25">
      <c r="A9" s="36" t="s">
        <v>319</v>
      </c>
      <c r="B9" s="38">
        <f>Штат!$N$37</f>
        <v>645095.23809523811</v>
      </c>
      <c r="C9" s="38">
        <v>0</v>
      </c>
      <c r="D9" s="38">
        <v>0</v>
      </c>
      <c r="E9" s="38">
        <f>'Февраль 2027'!F23</f>
        <v>205000</v>
      </c>
      <c r="F9" s="38">
        <f t="shared" si="0"/>
        <v>850095.23809523811</v>
      </c>
    </row>
    <row r="10" spans="1:6" x14ac:dyDescent="0.25">
      <c r="A10" s="36" t="s">
        <v>301</v>
      </c>
      <c r="B10" s="38">
        <f>Командировки!$G$12/2</f>
        <v>1899506.25</v>
      </c>
      <c r="C10" s="38">
        <f>Командировки!$G$12/2</f>
        <v>1899506.25</v>
      </c>
      <c r="D10" s="38">
        <f>SUMPRODUCT(Командировки!$C$5:$C$11*(Командировки!$D$5:$D$11/12*Поездка_РК+Командировки!$E$5:$E$11*Поездка_местн))</f>
        <v>1958850</v>
      </c>
      <c r="E10" s="38">
        <f>D10+'Февраль 2027'!F24</f>
        <v>2554912.5</v>
      </c>
      <c r="F10" s="38">
        <f t="shared" si="0"/>
        <v>8312775</v>
      </c>
    </row>
    <row r="11" spans="1:6" ht="30" x14ac:dyDescent="0.25">
      <c r="A11" s="36" t="s">
        <v>302</v>
      </c>
      <c r="B11" s="38">
        <f>SUMIFS('Оснащение и офис'!$J$5:$J$77,'Оснащение и офис'!$A$5:$A$77,"Оснащение")</f>
        <v>12336433.9</v>
      </c>
      <c r="C11" s="38">
        <f>SUMIFS('Оснащение и офис'!$K$5:$K$77,'Оснащение и офис'!$A$5:$A$77,"Оснащение")</f>
        <v>1695609</v>
      </c>
      <c r="D11" s="38">
        <f>SUMIFS('Оснащение и офис'!$L$5:$L$77,'Оснащение и офис'!$A$5:$A$77,"Оснащение")</f>
        <v>0</v>
      </c>
      <c r="E11" s="38">
        <f>'Февраль 2027'!F19</f>
        <v>505594</v>
      </c>
      <c r="F11" s="38">
        <f t="shared" si="0"/>
        <v>14537636.9</v>
      </c>
    </row>
    <row r="12" spans="1:6" ht="45" x14ac:dyDescent="0.25">
      <c r="A12" s="36" t="s">
        <v>543</v>
      </c>
      <c r="B12" s="38">
        <f>SUMIFS('Оснащение и офис'!$J$5:$J$77,'Оснащение и офис'!$A$5:$A$77,"Офис")+Обязательства_прочие</f>
        <v>12661706.848387096</v>
      </c>
      <c r="C12" s="38">
        <f>SUMIFS('Оснащение и офис'!$K$5:$K$77,'Оснащение и офис'!$A$5:$A$77,"Офис")</f>
        <v>5212743.0999999996</v>
      </c>
      <c r="D12" s="38">
        <f>SUMIFS('Оснащение и офис'!$L$5:$L$77,'Оснащение и офис'!$A$5:$A$77,"Офис")</f>
        <v>5212743.0999999996</v>
      </c>
      <c r="E12" s="38">
        <f>D12</f>
        <v>5212743.0999999996</v>
      </c>
      <c r="F12" s="38">
        <f t="shared" si="0"/>
        <v>28299936.148387097</v>
      </c>
    </row>
    <row r="13" spans="1:6" x14ac:dyDescent="0.25">
      <c r="A13" s="36" t="s">
        <v>303</v>
      </c>
      <c r="B13" s="38">
        <f>SUMIFS('Оснащение и офис'!$J$5:$J$77,'Оснащение и офис'!$A$5:$A$77,"Цифровые")</f>
        <v>332947</v>
      </c>
      <c r="C13" s="38">
        <f>SUMIFS('Оснащение и офис'!$K$5:$K$77,'Оснащение и офис'!$A$5:$A$77,"Цифровые")</f>
        <v>253500</v>
      </c>
      <c r="D13" s="38">
        <f>SUMIFS('Оснащение и офис'!$L$5:$L$77,'Оснащение и офис'!$A$5:$A$77,"Цифровые")</f>
        <v>253500</v>
      </c>
      <c r="E13" s="38">
        <f>D13+'Февраль 2027'!F22</f>
        <v>302500</v>
      </c>
      <c r="F13" s="38">
        <f t="shared" si="0"/>
        <v>1142447</v>
      </c>
    </row>
    <row r="14" spans="1:6" x14ac:dyDescent="0.25">
      <c r="A14" s="36" t="s">
        <v>304</v>
      </c>
      <c r="B14" s="38">
        <f>SUMIFS('Оснащение и офис'!$J$5:$J$77,'Оснащение и офис'!$A$5:$A$77,"Медиа")</f>
        <v>1175000</v>
      </c>
      <c r="C14" s="38">
        <f>SUMIFS('Оснащение и офис'!$K$5:$K$77,'Оснащение и офис'!$A$5:$A$77,"Медиа")</f>
        <v>1175000</v>
      </c>
      <c r="D14" s="38">
        <f>SUMIFS('Оснащение и офис'!$L$5:$L$77,'Оснащение и офис'!$A$5:$A$77,"Медиа")</f>
        <v>1175000</v>
      </c>
      <c r="E14" s="38">
        <f>D14</f>
        <v>1175000</v>
      </c>
      <c r="F14" s="38">
        <f t="shared" si="0"/>
        <v>4700000</v>
      </c>
    </row>
    <row r="15" spans="1:6" x14ac:dyDescent="0.25">
      <c r="A15" s="39" t="s">
        <v>305</v>
      </c>
      <c r="B15" s="40">
        <f>SUM(B6:B14)-B7</f>
        <v>92244525.236482337</v>
      </c>
      <c r="C15" s="40">
        <f>SUM(C6:C14)-C7</f>
        <v>54689604.350000001</v>
      </c>
      <c r="D15" s="40">
        <f>SUM(D6:D14)-D7</f>
        <v>43663819.100000001</v>
      </c>
      <c r="E15" s="40">
        <f>SUM(E6:E14)-E7</f>
        <v>51822745.600000001</v>
      </c>
      <c r="F15" s="40">
        <f t="shared" si="0"/>
        <v>242420694.28648233</v>
      </c>
    </row>
    <row r="16" spans="1:6" x14ac:dyDescent="0.25">
      <c r="A16" s="36" t="s">
        <v>544</v>
      </c>
      <c r="B16" s="38">
        <f>(B15-Обязательства_ЗП-Обязательства_прочие-'Оснащение и офис'!$J$76)*Резерв</f>
        <v>6179952.5236482341</v>
      </c>
      <c r="C16" s="38">
        <f>(C15-C20-'Оснащение и офис'!$K$76)*Резерв</f>
        <v>5468960.4350000005</v>
      </c>
      <c r="D16" s="38">
        <f>(D15-D20-'Оснащение и офис'!$L$76)*Резерв</f>
        <v>4366381.91</v>
      </c>
      <c r="E16" s="38">
        <f>(E15-E20)*Резерв</f>
        <v>5182274.5600000005</v>
      </c>
      <c r="F16" s="38">
        <f t="shared" si="0"/>
        <v>21197569.428648233</v>
      </c>
    </row>
    <row r="17" spans="1:6" ht="30" x14ac:dyDescent="0.25">
      <c r="A17" s="36" t="s">
        <v>542</v>
      </c>
      <c r="B17" s="38">
        <f>((B11+B12+B13+B14)-Обязательства_прочие-'Оснащение и офис'!$J$59-'Оснащение и офис'!$J$76)*(1+Резерв)*НДС+Обязательства_НДС+B19*НДС</f>
        <v>17136024.407449462</v>
      </c>
      <c r="C17" s="38">
        <f>((C11+C12+C13+C14)-'Оснащение и офис'!$K$59-'Оснащение и офис'!$K$76)*(1+Резерв)*НДС+C19*НДС</f>
        <v>6560273.7029333338</v>
      </c>
      <c r="D17" s="38">
        <f>((D11+D12+D13+D14)-'Оснащение и офис'!$L$59-'Оснащение и офис'!$L$76)*(1+Резерв)*НДС+D19*НДС</f>
        <v>3914006.5189333335</v>
      </c>
      <c r="E17" s="38">
        <f>(E11+E12+E13+E14)*(1+Резерв)*НДС+E19*НДС</f>
        <v>5918964.3962666672</v>
      </c>
      <c r="F17" s="38">
        <f t="shared" si="0"/>
        <v>33529269.025582798</v>
      </c>
    </row>
    <row r="18" spans="1:6" x14ac:dyDescent="0.25">
      <c r="A18" s="41" t="s">
        <v>306</v>
      </c>
      <c r="B18" s="42">
        <f>B15+B16+B17</f>
        <v>115560502.16758004</v>
      </c>
      <c r="C18" s="42">
        <f>C15+C16+C17</f>
        <v>66718838.487933338</v>
      </c>
      <c r="D18" s="42">
        <f>D15+D16+D17</f>
        <v>51944207.528933339</v>
      </c>
      <c r="E18" s="42">
        <f>E15+E16+E17</f>
        <v>62923984.556266673</v>
      </c>
      <c r="F18" s="42">
        <f t="shared" si="0"/>
        <v>297147532.74071342</v>
      </c>
    </row>
    <row r="19" spans="1:6" x14ac:dyDescent="0.25">
      <c r="A19" s="39" t="s">
        <v>307</v>
      </c>
      <c r="B19" s="40">
        <f>Проекты!$H$13</f>
        <v>38245973.333333336</v>
      </c>
      <c r="C19" s="40">
        <f>Проекты!$I$13</f>
        <v>31831173.333333332</v>
      </c>
      <c r="D19" s="40">
        <f>Проекты!$J$13</f>
        <v>17157173.333333332</v>
      </c>
      <c r="E19" s="40">
        <f>'Февраль 2027'!F25</f>
        <v>29078106.666666668</v>
      </c>
      <c r="F19" s="40">
        <f t="shared" si="0"/>
        <v>116312426.66666667</v>
      </c>
    </row>
    <row r="20" spans="1:6" hidden="1" x14ac:dyDescent="0.25">
      <c r="A20" s="39" t="s">
        <v>545</v>
      </c>
      <c r="B20" s="40">
        <f>Обязательства_ЗП+Обязательства_НДС+Обязательства_прочие</f>
        <v>37450000</v>
      </c>
      <c r="C20" s="40">
        <v>0</v>
      </c>
      <c r="D20" s="40">
        <v>0</v>
      </c>
      <c r="E20" s="40">
        <v>0</v>
      </c>
      <c r="F20" s="40">
        <f t="shared" si="0"/>
        <v>37450000</v>
      </c>
    </row>
    <row r="21" spans="1:6" x14ac:dyDescent="0.25">
      <c r="A21" s="43" t="s">
        <v>497</v>
      </c>
      <c r="B21" s="44">
        <f>B18+B19</f>
        <v>153806475.50091338</v>
      </c>
      <c r="C21" s="44">
        <f>C18+C19</f>
        <v>98550011.821266666</v>
      </c>
      <c r="D21" s="44">
        <f>D18+D19</f>
        <v>69101380.862266675</v>
      </c>
      <c r="E21" s="44">
        <f>E18+E19</f>
        <v>92002091.222933337</v>
      </c>
      <c r="F21" s="44">
        <f>F18+F19</f>
        <v>413459959.4073801</v>
      </c>
    </row>
    <row r="23" spans="1:6" x14ac:dyDescent="0.25">
      <c r="A23" s="106" t="s">
        <v>494</v>
      </c>
      <c r="B23" s="44">
        <f>B21</f>
        <v>153806475.50091338</v>
      </c>
      <c r="C23" s="44">
        <f>B23+C21</f>
        <v>252356487.32218003</v>
      </c>
      <c r="D23" s="44">
        <f>C23+D21</f>
        <v>321457868.18444669</v>
      </c>
      <c r="E23" s="44">
        <f>D23+E21</f>
        <v>413459959.40738004</v>
      </c>
      <c r="F23" s="44"/>
    </row>
    <row r="24" spans="1:6" x14ac:dyDescent="0.25">
      <c r="A24" s="106" t="s">
        <v>495</v>
      </c>
      <c r="B24" s="44"/>
      <c r="C24" s="44"/>
      <c r="D24" s="44"/>
      <c r="E24" s="44"/>
      <c r="F24" s="44">
        <v>250000000</v>
      </c>
    </row>
    <row r="25" spans="1:6" x14ac:dyDescent="0.25">
      <c r="A25" s="43" t="s">
        <v>541</v>
      </c>
      <c r="B25" s="44">
        <f>$F$24-B23</f>
        <v>96193524.499086618</v>
      </c>
      <c r="C25" s="44">
        <f>$F$24-C23</f>
        <v>-2356487.3221800327</v>
      </c>
      <c r="D25" s="44">
        <f>$F$24-D23</f>
        <v>-71457868.184446692</v>
      </c>
      <c r="E25" s="44">
        <f>$F$24-E23</f>
        <v>-163459959.40738004</v>
      </c>
      <c r="F25" s="44">
        <f>F24-F21</f>
        <v>-163459959.4073801</v>
      </c>
    </row>
  </sheetData>
  <pageMargins left="0.7" right="0.7" top="0.75" bottom="0.75" header="0.511811023622047" footer="0.511811023622047"/>
  <pageSetup paperSize="9" scale="5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7"/>
  <sheetViews>
    <sheetView topLeftCell="A25" zoomScaleNormal="100" workbookViewId="0">
      <selection activeCell="C65" sqref="C65"/>
    </sheetView>
  </sheetViews>
  <sheetFormatPr defaultColWidth="8.7109375" defaultRowHeight="15" x14ac:dyDescent="0.25"/>
  <cols>
    <col min="1" max="1" width="16.7109375" customWidth="1"/>
    <col min="2" max="2" width="14.7109375" customWidth="1"/>
    <col min="3" max="3" width="100.7109375" customWidth="1"/>
  </cols>
  <sheetData>
    <row r="1" spans="1:3" ht="15.75" customHeight="1" x14ac:dyDescent="0.3">
      <c r="A1" s="1" t="s">
        <v>1</v>
      </c>
    </row>
    <row r="2" spans="1:3" ht="15" customHeight="1" x14ac:dyDescent="0.25">
      <c r="A2" s="2"/>
    </row>
    <row r="3" spans="1:3" ht="15" customHeight="1" x14ac:dyDescent="0.25">
      <c r="A3" s="7" t="s">
        <v>2</v>
      </c>
      <c r="B3" s="7" t="s">
        <v>3</v>
      </c>
      <c r="C3" s="7" t="s">
        <v>4</v>
      </c>
    </row>
    <row r="4" spans="1:3" ht="15" customHeight="1" x14ac:dyDescent="0.25">
      <c r="A4" t="s">
        <v>5</v>
      </c>
      <c r="B4" s="8">
        <v>85000</v>
      </c>
      <c r="C4" t="s">
        <v>6</v>
      </c>
    </row>
    <row r="5" spans="1:3" ht="15" customHeight="1" x14ac:dyDescent="0.25">
      <c r="A5" t="s">
        <v>7</v>
      </c>
      <c r="B5" s="8">
        <v>4325</v>
      </c>
      <c r="C5" t="s">
        <v>8</v>
      </c>
    </row>
    <row r="6" spans="1:3" ht="15" customHeight="1" x14ac:dyDescent="0.25">
      <c r="A6" t="s">
        <v>9</v>
      </c>
      <c r="B6" s="8">
        <v>0.06</v>
      </c>
      <c r="C6" t="s">
        <v>10</v>
      </c>
    </row>
    <row r="7" spans="1:3" ht="15" customHeight="1" x14ac:dyDescent="0.25">
      <c r="A7" t="s">
        <v>11</v>
      </c>
      <c r="B7" s="8">
        <v>3.5000000000000003E-2</v>
      </c>
      <c r="C7" t="s">
        <v>12</v>
      </c>
    </row>
    <row r="8" spans="1:3" ht="15" customHeight="1" x14ac:dyDescent="0.25">
      <c r="A8" t="s">
        <v>13</v>
      </c>
      <c r="B8" s="8">
        <v>0.05</v>
      </c>
      <c r="C8" t="s">
        <v>14</v>
      </c>
    </row>
    <row r="9" spans="1:3" ht="15" customHeight="1" x14ac:dyDescent="0.25">
      <c r="A9" t="s">
        <v>15</v>
      </c>
      <c r="B9" s="8">
        <v>7</v>
      </c>
      <c r="C9" t="s">
        <v>16</v>
      </c>
    </row>
    <row r="10" spans="1:3" ht="15" customHeight="1" x14ac:dyDescent="0.25">
      <c r="A10" t="s">
        <v>17</v>
      </c>
      <c r="B10" s="8">
        <v>0.03</v>
      </c>
      <c r="C10" t="s">
        <v>18</v>
      </c>
    </row>
    <row r="11" spans="1:3" ht="15" customHeight="1" x14ac:dyDescent="0.25">
      <c r="A11" t="s">
        <v>19</v>
      </c>
      <c r="B11" s="8">
        <v>40</v>
      </c>
      <c r="C11" t="s">
        <v>20</v>
      </c>
    </row>
    <row r="12" spans="1:3" ht="15" customHeight="1" x14ac:dyDescent="0.25">
      <c r="A12" t="s">
        <v>21</v>
      </c>
      <c r="B12" s="8">
        <v>0.1</v>
      </c>
      <c r="C12" t="s">
        <v>22</v>
      </c>
    </row>
    <row r="13" spans="1:3" ht="15" customHeight="1" x14ac:dyDescent="0.25">
      <c r="A13" t="s">
        <v>23</v>
      </c>
      <c r="B13" s="8">
        <v>0.02</v>
      </c>
      <c r="C13" t="s">
        <v>24</v>
      </c>
    </row>
    <row r="14" spans="1:3" ht="15" customHeight="1" x14ac:dyDescent="0.25">
      <c r="A14" t="s">
        <v>25</v>
      </c>
      <c r="B14" s="8">
        <v>28000</v>
      </c>
      <c r="C14" t="s">
        <v>26</v>
      </c>
    </row>
    <row r="15" spans="1:3" ht="15" customHeight="1" x14ac:dyDescent="0.25">
      <c r="A15" t="s">
        <v>317</v>
      </c>
      <c r="B15" s="8">
        <f>ROUND(0.29%*12*SUMIFS(Штат!$H$5:$H$36,Штат!$E$5:$E$36,"штат",Штат!$F$5:$F$36,"новая"),-3)</f>
        <v>713000</v>
      </c>
      <c r="C15" t="s">
        <v>345</v>
      </c>
    </row>
    <row r="16" spans="1:3" ht="15" customHeight="1" x14ac:dyDescent="0.25">
      <c r="A16" t="s">
        <v>27</v>
      </c>
      <c r="B16" s="8">
        <v>530</v>
      </c>
      <c r="C16" t="s">
        <v>28</v>
      </c>
    </row>
    <row r="17" spans="1:3" ht="15" customHeight="1" x14ac:dyDescent="0.25">
      <c r="A17" t="s">
        <v>29</v>
      </c>
      <c r="B17" s="8">
        <v>2</v>
      </c>
      <c r="C17" t="s">
        <v>30</v>
      </c>
    </row>
    <row r="18" spans="1:3" ht="15" customHeight="1" x14ac:dyDescent="0.25">
      <c r="A18" t="s">
        <v>31</v>
      </c>
      <c r="B18" s="8">
        <v>90000</v>
      </c>
      <c r="C18" t="s">
        <v>32</v>
      </c>
    </row>
    <row r="19" spans="1:3" ht="15" customHeight="1" x14ac:dyDescent="0.25">
      <c r="A19" t="s">
        <v>33</v>
      </c>
      <c r="B19" s="8">
        <v>30000</v>
      </c>
      <c r="C19" t="s">
        <v>34</v>
      </c>
    </row>
    <row r="20" spans="1:3" ht="15" customHeight="1" x14ac:dyDescent="0.25">
      <c r="A20" t="s">
        <v>35</v>
      </c>
      <c r="B20" s="8">
        <v>15000</v>
      </c>
      <c r="C20" t="s">
        <v>36</v>
      </c>
    </row>
    <row r="21" spans="1:3" ht="15" customHeight="1" x14ac:dyDescent="0.25">
      <c r="A21" t="s">
        <v>37</v>
      </c>
      <c r="B21" s="8">
        <v>3</v>
      </c>
      <c r="C21" t="s">
        <v>38</v>
      </c>
    </row>
    <row r="22" spans="1:3" ht="15" customHeight="1" x14ac:dyDescent="0.25">
      <c r="A22" t="s">
        <v>39</v>
      </c>
      <c r="B22" s="8">
        <v>2</v>
      </c>
      <c r="C22" t="s">
        <v>40</v>
      </c>
    </row>
    <row r="23" spans="1:3" ht="15" customHeight="1" x14ac:dyDescent="0.25">
      <c r="A23" t="s">
        <v>41</v>
      </c>
      <c r="B23" s="8">
        <f>Авиа_РК+Отель_РК*Ночей_РК+Сут_РК*МРП*Дней_РК+Трансп_РК</f>
        <v>190950</v>
      </c>
      <c r="C23" t="s">
        <v>42</v>
      </c>
    </row>
    <row r="24" spans="1:3" ht="15" customHeight="1" x14ac:dyDescent="0.25">
      <c r="A24" t="s">
        <v>43</v>
      </c>
      <c r="B24" s="8">
        <f>Трансп_РК+Сут_РК*МРП</f>
        <v>23650</v>
      </c>
      <c r="C24" t="s">
        <v>44</v>
      </c>
    </row>
    <row r="25" spans="1:3" ht="15" customHeight="1" x14ac:dyDescent="0.25">
      <c r="A25" t="s">
        <v>45</v>
      </c>
      <c r="B25" s="8">
        <v>900</v>
      </c>
      <c r="C25" t="s">
        <v>46</v>
      </c>
    </row>
    <row r="26" spans="1:3" ht="15" customHeight="1" x14ac:dyDescent="0.25">
      <c r="A26" t="s">
        <v>47</v>
      </c>
      <c r="B26" s="8">
        <v>150</v>
      </c>
      <c r="C26" t="s">
        <v>48</v>
      </c>
    </row>
    <row r="27" spans="1:3" ht="15" customHeight="1" x14ac:dyDescent="0.25">
      <c r="A27" t="s">
        <v>49</v>
      </c>
      <c r="B27" s="8">
        <v>150</v>
      </c>
      <c r="C27" t="s">
        <v>50</v>
      </c>
    </row>
    <row r="28" spans="1:3" ht="15" customHeight="1" x14ac:dyDescent="0.25">
      <c r="A28" t="s">
        <v>51</v>
      </c>
      <c r="B28" s="8">
        <v>5</v>
      </c>
      <c r="C28" t="s">
        <v>52</v>
      </c>
    </row>
    <row r="29" spans="1:3" ht="15" customHeight="1" x14ac:dyDescent="0.25">
      <c r="A29" t="s">
        <v>53</v>
      </c>
      <c r="B29" s="8">
        <v>4</v>
      </c>
      <c r="C29" t="s">
        <v>54</v>
      </c>
    </row>
    <row r="30" spans="1:3" ht="15" customHeight="1" x14ac:dyDescent="0.25">
      <c r="A30" t="s">
        <v>55</v>
      </c>
      <c r="B30" s="8">
        <v>50</v>
      </c>
      <c r="C30" t="s">
        <v>56</v>
      </c>
    </row>
    <row r="31" spans="1:3" ht="15" customHeight="1" x14ac:dyDescent="0.25">
      <c r="A31" t="s">
        <v>57</v>
      </c>
      <c r="B31" s="8">
        <f>(Авиа_межд+Отель_межд*Ночей_межд+Сут_межд*Дней_межд+Страх_межд)*Курс</f>
        <v>1219000</v>
      </c>
      <c r="C31" t="s">
        <v>58</v>
      </c>
    </row>
    <row r="32" spans="1:3" ht="15" customHeight="1" x14ac:dyDescent="0.25">
      <c r="A32" t="s">
        <v>59</v>
      </c>
      <c r="B32" s="8">
        <f>Площадь_офиса*Ставка_аренды_м2+Коммун_мес+Парковка_мест*Парковка_цена</f>
        <v>4869152.0999999996</v>
      </c>
      <c r="C32" t="s">
        <v>279</v>
      </c>
    </row>
    <row r="33" spans="1:3" ht="15" customHeight="1" x14ac:dyDescent="0.25">
      <c r="A33" t="s">
        <v>60</v>
      </c>
      <c r="B33" s="8">
        <v>1</v>
      </c>
      <c r="C33" t="s">
        <v>554</v>
      </c>
    </row>
    <row r="34" spans="1:3" ht="15" customHeight="1" x14ac:dyDescent="0.25">
      <c r="A34" t="s">
        <v>61</v>
      </c>
      <c r="B34" s="8">
        <v>0.1</v>
      </c>
      <c r="C34" t="s">
        <v>62</v>
      </c>
    </row>
    <row r="35" spans="1:3" ht="15" customHeight="1" x14ac:dyDescent="0.25">
      <c r="A35" t="s">
        <v>63</v>
      </c>
      <c r="B35" s="8">
        <v>0.16</v>
      </c>
      <c r="C35" t="s">
        <v>64</v>
      </c>
    </row>
    <row r="37" spans="1:3" ht="15" customHeight="1" x14ac:dyDescent="0.25">
      <c r="A37" t="s">
        <v>297</v>
      </c>
    </row>
    <row r="38" spans="1:3" ht="15" customHeight="1" x14ac:dyDescent="0.25">
      <c r="A38" t="s">
        <v>298</v>
      </c>
    </row>
    <row r="41" spans="1:3" s="7" customFormat="1" x14ac:dyDescent="0.25">
      <c r="A41" s="7" t="s">
        <v>277</v>
      </c>
    </row>
    <row r="42" spans="1:3" x14ac:dyDescent="0.25">
      <c r="A42" t="s">
        <v>152</v>
      </c>
      <c r="B42" s="13">
        <f>ROUND((52.2+21.4+12.4+33.7+190)*1.1,2)</f>
        <v>340.67</v>
      </c>
      <c r="C42" t="s">
        <v>278</v>
      </c>
    </row>
    <row r="43" spans="1:3" x14ac:dyDescent="0.25">
      <c r="A43" t="s">
        <v>153</v>
      </c>
      <c r="B43" s="5">
        <v>13500</v>
      </c>
      <c r="C43" t="s">
        <v>275</v>
      </c>
    </row>
    <row r="44" spans="1:3" x14ac:dyDescent="0.25">
      <c r="A44" t="s">
        <v>200</v>
      </c>
      <c r="B44" s="5">
        <f>743*309.7</f>
        <v>230107.1</v>
      </c>
      <c r="C44" t="s">
        <v>555</v>
      </c>
    </row>
    <row r="45" spans="1:3" x14ac:dyDescent="0.25">
      <c r="A45" t="s">
        <v>154</v>
      </c>
      <c r="B45" s="5">
        <v>1</v>
      </c>
      <c r="C45" t="s">
        <v>485</v>
      </c>
    </row>
    <row r="46" spans="1:3" x14ac:dyDescent="0.25">
      <c r="A46" t="s">
        <v>155</v>
      </c>
      <c r="B46" s="5">
        <v>40000</v>
      </c>
      <c r="C46" t="s">
        <v>276</v>
      </c>
    </row>
    <row r="47" spans="1:3" x14ac:dyDescent="0.25">
      <c r="A47" t="s">
        <v>156</v>
      </c>
      <c r="B47" s="5">
        <f>Аренда_мес*(1+НДС)</f>
        <v>5648216.4359999988</v>
      </c>
      <c r="C47" t="s">
        <v>157</v>
      </c>
    </row>
    <row r="48" spans="1:3" x14ac:dyDescent="0.25">
      <c r="A48" t="s">
        <v>158</v>
      </c>
      <c r="B48" s="5">
        <f>Аренда_мес*Депозит_мес</f>
        <v>4869152.0999999996</v>
      </c>
      <c r="C48" t="s">
        <v>159</v>
      </c>
    </row>
    <row r="49" spans="1:3" x14ac:dyDescent="0.25">
      <c r="A49" t="s">
        <v>206</v>
      </c>
      <c r="B49" s="15">
        <f>11/31+2</f>
        <v>2.3548387096774195</v>
      </c>
      <c r="C49" t="s">
        <v>556</v>
      </c>
    </row>
    <row r="50" spans="1:3" x14ac:dyDescent="0.25">
      <c r="A50" s="7" t="s">
        <v>201</v>
      </c>
    </row>
    <row r="51" spans="1:3" x14ac:dyDescent="0.25">
      <c r="A51" t="s">
        <v>202</v>
      </c>
      <c r="B51" s="14">
        <v>0.1</v>
      </c>
      <c r="C51" t="s">
        <v>557</v>
      </c>
    </row>
    <row r="52" spans="1:3" x14ac:dyDescent="0.25">
      <c r="A52" t="s">
        <v>207</v>
      </c>
      <c r="B52" s="15">
        <v>2</v>
      </c>
      <c r="C52" t="s">
        <v>347</v>
      </c>
    </row>
    <row r="54" spans="1:3" x14ac:dyDescent="0.25">
      <c r="A54" s="7" t="s">
        <v>549</v>
      </c>
    </row>
    <row r="55" spans="1:3" x14ac:dyDescent="0.25">
      <c r="A55" t="s">
        <v>546</v>
      </c>
      <c r="B55" s="5">
        <v>29613000</v>
      </c>
      <c r="C55" t="s">
        <v>539</v>
      </c>
    </row>
    <row r="56" spans="1:3" x14ac:dyDescent="0.25">
      <c r="A56" t="s">
        <v>547</v>
      </c>
      <c r="B56" s="5">
        <v>7355000</v>
      </c>
      <c r="C56" t="s">
        <v>550</v>
      </c>
    </row>
    <row r="57" spans="1:3" x14ac:dyDescent="0.25">
      <c r="A57" t="s">
        <v>548</v>
      </c>
      <c r="B57" s="5">
        <v>482000</v>
      </c>
      <c r="C57" t="s">
        <v>551</v>
      </c>
    </row>
  </sheetData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topLeftCell="D5" zoomScaleNormal="100" workbookViewId="0">
      <selection activeCell="P7" sqref="P7"/>
    </sheetView>
  </sheetViews>
  <sheetFormatPr defaultColWidth="8.7109375" defaultRowHeight="15" x14ac:dyDescent="0.25"/>
  <cols>
    <col min="1" max="1" width="4.7109375" customWidth="1"/>
    <col min="2" max="2" width="16.7109375" customWidth="1"/>
    <col min="3" max="3" width="52.7109375" customWidth="1"/>
    <col min="4" max="4" width="22.7109375" customWidth="1"/>
    <col min="5" max="15" width="12.7109375" customWidth="1"/>
    <col min="16" max="16" width="80.7109375" customWidth="1"/>
    <col min="17" max="17" width="12.7109375" customWidth="1"/>
  </cols>
  <sheetData>
    <row r="1" spans="1:17" ht="15.75" customHeight="1" x14ac:dyDescent="0.3">
      <c r="A1" s="1" t="s">
        <v>558</v>
      </c>
    </row>
    <row r="2" spans="1:17" ht="15" customHeight="1" x14ac:dyDescent="0.25">
      <c r="A2" s="2"/>
    </row>
    <row r="4" spans="1:17" ht="57.75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285</v>
      </c>
      <c r="J4" s="3" t="s">
        <v>73</v>
      </c>
      <c r="K4" s="3" t="s">
        <v>74</v>
      </c>
      <c r="L4" s="3" t="s">
        <v>348</v>
      </c>
      <c r="M4" s="3" t="s">
        <v>76</v>
      </c>
      <c r="N4" s="3" t="s">
        <v>318</v>
      </c>
      <c r="O4" s="3" t="s">
        <v>77</v>
      </c>
      <c r="P4" s="3" t="s">
        <v>286</v>
      </c>
      <c r="Q4" s="88" t="s">
        <v>438</v>
      </c>
    </row>
    <row r="5" spans="1:17" ht="90" x14ac:dyDescent="0.25">
      <c r="A5" s="16">
        <v>1</v>
      </c>
      <c r="B5" s="16" t="s">
        <v>240</v>
      </c>
      <c r="C5" s="17" t="s">
        <v>241</v>
      </c>
      <c r="D5" s="17" t="s">
        <v>78</v>
      </c>
      <c r="E5" s="16" t="s">
        <v>79</v>
      </c>
      <c r="F5" s="16" t="s">
        <v>80</v>
      </c>
      <c r="G5" s="16">
        <v>1</v>
      </c>
      <c r="H5" s="18">
        <v>1600000</v>
      </c>
      <c r="I5" s="16">
        <v>2</v>
      </c>
      <c r="J5" s="18">
        <f t="shared" ref="J5:J27" si="0">IF(E5="штат",ROUND(Ставка_СН*H5*(1-Ставка_ОПВ-Ставка_ВОСМС)+Ставка_ОПВР*H5+Ставка_СО*MIN(H5*(1-Ставка_ОПВ),Кап_СО*МЗП)+Ставка_ООСМС*MIN(H5,Кап_ООСМС*МЗП),0),ROUND(H5*НДС,0))</f>
        <v>218230</v>
      </c>
      <c r="K5" s="18">
        <f t="shared" ref="K5:K27" si="1">G5*(H5+J5)</f>
        <v>1818230</v>
      </c>
      <c r="L5" s="19">
        <f t="shared" ref="L5:L36" si="2">IF(AND(F5="новая",I5=1),Мес_2026_новые,MAX(0,4-I5))</f>
        <v>2</v>
      </c>
      <c r="M5" s="18">
        <f t="shared" ref="M5:M36" si="3">K5*L5</f>
        <v>3636460</v>
      </c>
      <c r="N5" s="18">
        <f t="shared" ref="N5:N36" si="4">IF(AND(E5="штат",F5="новая"),ОСНС_полис*G5/COUNTIFS($E$5:$E$36,"штат",$F$5:$F$36,"новая"),0)</f>
        <v>0</v>
      </c>
      <c r="O5" s="18">
        <f t="shared" ref="O5:O36" si="5">M5+N5</f>
        <v>3636460</v>
      </c>
      <c r="P5" s="17" t="s">
        <v>414</v>
      </c>
      <c r="Q5" s="89"/>
    </row>
    <row r="6" spans="1:17" ht="60" x14ac:dyDescent="0.25">
      <c r="A6" s="16">
        <v>2</v>
      </c>
      <c r="B6" s="16" t="s">
        <v>240</v>
      </c>
      <c r="C6" s="17" t="s">
        <v>410</v>
      </c>
      <c r="D6" s="17" t="s">
        <v>81</v>
      </c>
      <c r="E6" s="16" t="s">
        <v>79</v>
      </c>
      <c r="F6" s="16" t="s">
        <v>80</v>
      </c>
      <c r="G6" s="16">
        <v>1</v>
      </c>
      <c r="H6" s="18">
        <v>1400000</v>
      </c>
      <c r="I6" s="16">
        <v>2</v>
      </c>
      <c r="J6" s="18">
        <f t="shared" si="0"/>
        <v>194670</v>
      </c>
      <c r="K6" s="18">
        <f t="shared" si="1"/>
        <v>1594670</v>
      </c>
      <c r="L6" s="19">
        <f t="shared" si="2"/>
        <v>2</v>
      </c>
      <c r="M6" s="18">
        <f t="shared" si="3"/>
        <v>3189340</v>
      </c>
      <c r="N6" s="18">
        <f t="shared" si="4"/>
        <v>0</v>
      </c>
      <c r="O6" s="18">
        <f t="shared" si="5"/>
        <v>3189340</v>
      </c>
      <c r="P6" s="17" t="s">
        <v>411</v>
      </c>
      <c r="Q6" s="89"/>
    </row>
    <row r="7" spans="1:17" ht="90" x14ac:dyDescent="0.25">
      <c r="A7" s="16">
        <v>3</v>
      </c>
      <c r="B7" s="16" t="s">
        <v>240</v>
      </c>
      <c r="C7" s="17" t="s">
        <v>235</v>
      </c>
      <c r="D7" s="17" t="s">
        <v>81</v>
      </c>
      <c r="E7" s="16" t="s">
        <v>79</v>
      </c>
      <c r="F7" s="16" t="s">
        <v>80</v>
      </c>
      <c r="G7" s="16">
        <v>1</v>
      </c>
      <c r="H7" s="18">
        <v>1400000</v>
      </c>
      <c r="I7" s="16">
        <v>2</v>
      </c>
      <c r="J7" s="18">
        <f t="shared" si="0"/>
        <v>194670</v>
      </c>
      <c r="K7" s="18">
        <f t="shared" si="1"/>
        <v>1594670</v>
      </c>
      <c r="L7" s="19">
        <f t="shared" si="2"/>
        <v>2</v>
      </c>
      <c r="M7" s="18">
        <f t="shared" si="3"/>
        <v>3189340</v>
      </c>
      <c r="N7" s="18">
        <f t="shared" si="4"/>
        <v>0</v>
      </c>
      <c r="O7" s="18">
        <f t="shared" si="5"/>
        <v>3189340</v>
      </c>
      <c r="P7" s="17" t="s">
        <v>321</v>
      </c>
      <c r="Q7" s="89"/>
    </row>
    <row r="8" spans="1:17" ht="90" x14ac:dyDescent="0.25">
      <c r="A8" s="16">
        <v>4</v>
      </c>
      <c r="B8" s="16" t="s">
        <v>198</v>
      </c>
      <c r="C8" s="17" t="s">
        <v>323</v>
      </c>
      <c r="D8" s="17" t="s">
        <v>81</v>
      </c>
      <c r="E8" s="16" t="s">
        <v>79</v>
      </c>
      <c r="F8" s="16" t="s">
        <v>82</v>
      </c>
      <c r="G8" s="16">
        <v>1</v>
      </c>
      <c r="H8" s="18">
        <v>1400000</v>
      </c>
      <c r="I8" s="16">
        <v>2</v>
      </c>
      <c r="J8" s="18">
        <f t="shared" si="0"/>
        <v>194670</v>
      </c>
      <c r="K8" s="18">
        <f t="shared" si="1"/>
        <v>1594670</v>
      </c>
      <c r="L8" s="19">
        <f t="shared" si="2"/>
        <v>2</v>
      </c>
      <c r="M8" s="18">
        <f t="shared" si="3"/>
        <v>3189340</v>
      </c>
      <c r="N8" s="18">
        <f t="shared" si="4"/>
        <v>33952.380952380954</v>
      </c>
      <c r="O8" s="18">
        <f t="shared" si="5"/>
        <v>3223292.3809523811</v>
      </c>
      <c r="P8" s="17" t="s">
        <v>324</v>
      </c>
      <c r="Q8" s="89">
        <v>1</v>
      </c>
    </row>
    <row r="9" spans="1:17" ht="45" x14ac:dyDescent="0.25">
      <c r="A9" s="16">
        <v>6</v>
      </c>
      <c r="B9" s="16" t="s">
        <v>216</v>
      </c>
      <c r="C9" s="17" t="s">
        <v>217</v>
      </c>
      <c r="D9" s="17" t="s">
        <v>437</v>
      </c>
      <c r="E9" s="16" t="s">
        <v>79</v>
      </c>
      <c r="F9" s="16" t="s">
        <v>82</v>
      </c>
      <c r="G9" s="16">
        <v>1</v>
      </c>
      <c r="H9" s="18">
        <v>1300000</v>
      </c>
      <c r="I9" s="16">
        <v>3</v>
      </c>
      <c r="J9" s="18">
        <f t="shared" ref="J9:J11" si="6">IF(E9="штат",ROUND(Ставка_СН*H9*(1-Ставка_ОПВ-Ставка_ВОСМС)+Ставка_ОПВР*H9+Ставка_СО*MIN(H9*(1-Ставка_ОПВ),Кап_СО*МЗП)+Ставка_ООСМС*MIN(H9,Кап_ООСМС*МЗП),0),ROUND(H9*НДС,0))</f>
        <v>182890</v>
      </c>
      <c r="K9" s="18">
        <f t="shared" ref="K9:K11" si="7">G9*(H9+J9)</f>
        <v>1482890</v>
      </c>
      <c r="L9" s="19">
        <f t="shared" ref="L9:L11" si="8">IF(AND(F9="новая",I9=1),Мес_2026_новые,MAX(0,4-I9))</f>
        <v>1</v>
      </c>
      <c r="M9" s="18">
        <f t="shared" ref="M9:M11" si="9">K9*L9</f>
        <v>1482890</v>
      </c>
      <c r="N9" s="18">
        <f t="shared" si="4"/>
        <v>33952.380952380954</v>
      </c>
      <c r="O9" s="18">
        <f t="shared" ref="O9:O11" si="10">M9+N9</f>
        <v>1516842.3809523811</v>
      </c>
      <c r="P9" s="17" t="s">
        <v>335</v>
      </c>
      <c r="Q9" s="89"/>
    </row>
    <row r="10" spans="1:17" ht="60" x14ac:dyDescent="0.25">
      <c r="A10" s="16">
        <v>6</v>
      </c>
      <c r="B10" s="16" t="s">
        <v>216</v>
      </c>
      <c r="C10" s="17" t="s">
        <v>336</v>
      </c>
      <c r="D10" s="17" t="s">
        <v>219</v>
      </c>
      <c r="E10" s="16" t="s">
        <v>79</v>
      </c>
      <c r="F10" s="16" t="s">
        <v>82</v>
      </c>
      <c r="G10" s="16">
        <v>1</v>
      </c>
      <c r="H10" s="18">
        <v>1000000</v>
      </c>
      <c r="I10" s="16">
        <v>2</v>
      </c>
      <c r="J10" s="18">
        <f t="shared" si="6"/>
        <v>147550</v>
      </c>
      <c r="K10" s="18">
        <f t="shared" si="7"/>
        <v>1147550</v>
      </c>
      <c r="L10" s="19">
        <f t="shared" si="8"/>
        <v>2</v>
      </c>
      <c r="M10" s="18">
        <f t="shared" si="9"/>
        <v>2295100</v>
      </c>
      <c r="N10" s="18">
        <f t="shared" si="4"/>
        <v>33952.380952380954</v>
      </c>
      <c r="O10" s="18">
        <f t="shared" si="10"/>
        <v>2329052.3809523811</v>
      </c>
      <c r="P10" s="17" t="s">
        <v>337</v>
      </c>
      <c r="Q10" s="89">
        <v>1</v>
      </c>
    </row>
    <row r="11" spans="1:17" ht="30" x14ac:dyDescent="0.25">
      <c r="A11" s="20">
        <v>6</v>
      </c>
      <c r="B11" s="20" t="s">
        <v>216</v>
      </c>
      <c r="C11" s="21" t="s">
        <v>338</v>
      </c>
      <c r="D11" s="21" t="s">
        <v>219</v>
      </c>
      <c r="E11" s="20" t="s">
        <v>225</v>
      </c>
      <c r="F11" s="20" t="s">
        <v>82</v>
      </c>
      <c r="G11" s="20">
        <v>0</v>
      </c>
      <c r="H11" s="22">
        <v>700000</v>
      </c>
      <c r="I11" s="20">
        <v>2</v>
      </c>
      <c r="J11" s="22">
        <f t="shared" si="6"/>
        <v>112000</v>
      </c>
      <c r="K11" s="22">
        <f t="shared" si="7"/>
        <v>0</v>
      </c>
      <c r="L11" s="23">
        <f t="shared" si="8"/>
        <v>2</v>
      </c>
      <c r="M11" s="22">
        <f t="shared" si="9"/>
        <v>0</v>
      </c>
      <c r="N11" s="22">
        <f t="shared" si="4"/>
        <v>0</v>
      </c>
      <c r="O11" s="22">
        <f t="shared" si="10"/>
        <v>0</v>
      </c>
      <c r="P11" s="21" t="s">
        <v>339</v>
      </c>
      <c r="Q11" s="89"/>
    </row>
    <row r="12" spans="1:17" ht="30" x14ac:dyDescent="0.25">
      <c r="A12" s="16">
        <v>6</v>
      </c>
      <c r="B12" s="16" t="s">
        <v>216</v>
      </c>
      <c r="C12" s="17" t="s">
        <v>218</v>
      </c>
      <c r="D12" s="17" t="s">
        <v>219</v>
      </c>
      <c r="E12" s="16" t="s">
        <v>79</v>
      </c>
      <c r="F12" s="16" t="s">
        <v>82</v>
      </c>
      <c r="G12" s="16">
        <v>1</v>
      </c>
      <c r="H12" s="18">
        <v>1000000</v>
      </c>
      <c r="I12" s="16">
        <v>2</v>
      </c>
      <c r="J12" s="18">
        <f t="shared" si="0"/>
        <v>147550</v>
      </c>
      <c r="K12" s="18">
        <f t="shared" si="1"/>
        <v>1147550</v>
      </c>
      <c r="L12" s="19">
        <f t="shared" si="2"/>
        <v>2</v>
      </c>
      <c r="M12" s="18">
        <f t="shared" si="3"/>
        <v>2295100</v>
      </c>
      <c r="N12" s="18">
        <f t="shared" si="4"/>
        <v>33952.380952380954</v>
      </c>
      <c r="O12" s="18">
        <f t="shared" si="5"/>
        <v>2329052.3809523811</v>
      </c>
      <c r="P12" s="17" t="s">
        <v>290</v>
      </c>
      <c r="Q12" s="89"/>
    </row>
    <row r="13" spans="1:17" ht="30" x14ac:dyDescent="0.25">
      <c r="A13" s="16">
        <v>14</v>
      </c>
      <c r="B13" s="16" t="s">
        <v>220</v>
      </c>
      <c r="C13" s="17" t="s">
        <v>242</v>
      </c>
      <c r="D13" s="17" t="s">
        <v>222</v>
      </c>
      <c r="E13" s="16" t="s">
        <v>79</v>
      </c>
      <c r="F13" s="16" t="s">
        <v>82</v>
      </c>
      <c r="G13" s="16">
        <v>1</v>
      </c>
      <c r="H13" s="18">
        <v>1100000</v>
      </c>
      <c r="I13" s="16">
        <v>2</v>
      </c>
      <c r="J13" s="18">
        <f t="shared" ref="J13" si="11">IF(E13="штат",ROUND(Ставка_СН*H13*(1-Ставка_ОПВ-Ставка_ВОСМС)+Ставка_ОПВР*H13+Ставка_СО*MIN(H13*(1-Ставка_ОПВ),Кап_СО*МЗП)+Ставка_ООСМС*MIN(H13,Кап_ООСМС*МЗП),0),ROUND(H13*НДС,0))</f>
        <v>159330</v>
      </c>
      <c r="K13" s="18">
        <f t="shared" ref="K13" si="12">G13*(H13+J13)</f>
        <v>1259330</v>
      </c>
      <c r="L13" s="19">
        <f t="shared" ref="L13" si="13">IF(AND(F13="новая",I13=1),Мес_2026_новые,MAX(0,4-I13))</f>
        <v>2</v>
      </c>
      <c r="M13" s="18">
        <f t="shared" si="3"/>
        <v>2518660</v>
      </c>
      <c r="N13" s="18">
        <f t="shared" si="4"/>
        <v>33952.380952380954</v>
      </c>
      <c r="O13" s="18">
        <f t="shared" si="5"/>
        <v>2552612.3809523811</v>
      </c>
      <c r="P13" s="17" t="s">
        <v>243</v>
      </c>
      <c r="Q13" s="89"/>
    </row>
    <row r="14" spans="1:17" ht="60" x14ac:dyDescent="0.25">
      <c r="A14" s="16">
        <v>15</v>
      </c>
      <c r="B14" s="16" t="s">
        <v>220</v>
      </c>
      <c r="C14" s="17" t="s">
        <v>221</v>
      </c>
      <c r="D14" s="17" t="s">
        <v>222</v>
      </c>
      <c r="E14" s="16" t="s">
        <v>79</v>
      </c>
      <c r="F14" s="16" t="s">
        <v>82</v>
      </c>
      <c r="G14" s="16">
        <v>1</v>
      </c>
      <c r="H14" s="18">
        <v>1000000</v>
      </c>
      <c r="I14" s="16">
        <v>2</v>
      </c>
      <c r="J14" s="18">
        <f t="shared" si="0"/>
        <v>147550</v>
      </c>
      <c r="K14" s="18">
        <f t="shared" si="1"/>
        <v>1147550</v>
      </c>
      <c r="L14" s="19">
        <f t="shared" si="2"/>
        <v>2</v>
      </c>
      <c r="M14" s="18">
        <f t="shared" si="3"/>
        <v>2295100</v>
      </c>
      <c r="N14" s="18">
        <f t="shared" si="4"/>
        <v>33952.380952380954</v>
      </c>
      <c r="O14" s="18">
        <f t="shared" si="5"/>
        <v>2329052.3809523811</v>
      </c>
      <c r="P14" s="17" t="s">
        <v>325</v>
      </c>
      <c r="Q14" s="89">
        <v>1</v>
      </c>
    </row>
    <row r="15" spans="1:17" ht="75" x14ac:dyDescent="0.25">
      <c r="A15" s="16">
        <v>17</v>
      </c>
      <c r="B15" s="16" t="s">
        <v>220</v>
      </c>
      <c r="C15" s="17" t="s">
        <v>221</v>
      </c>
      <c r="D15" s="17" t="s">
        <v>222</v>
      </c>
      <c r="E15" s="16" t="s">
        <v>79</v>
      </c>
      <c r="F15" s="16" t="s">
        <v>82</v>
      </c>
      <c r="G15" s="16">
        <v>1</v>
      </c>
      <c r="H15" s="18">
        <v>1000000</v>
      </c>
      <c r="I15" s="16">
        <v>2</v>
      </c>
      <c r="J15" s="18">
        <f t="shared" si="0"/>
        <v>147550</v>
      </c>
      <c r="K15" s="18">
        <f t="shared" si="1"/>
        <v>1147550</v>
      </c>
      <c r="L15" s="19">
        <f t="shared" si="2"/>
        <v>2</v>
      </c>
      <c r="M15" s="18">
        <f t="shared" si="3"/>
        <v>2295100</v>
      </c>
      <c r="N15" s="18">
        <f t="shared" si="4"/>
        <v>33952.380952380954</v>
      </c>
      <c r="O15" s="18">
        <f t="shared" si="5"/>
        <v>2329052.3809523811</v>
      </c>
      <c r="P15" s="17" t="s">
        <v>326</v>
      </c>
      <c r="Q15" s="89">
        <v>1</v>
      </c>
    </row>
    <row r="16" spans="1:17" ht="60" x14ac:dyDescent="0.25">
      <c r="A16" s="16">
        <v>18</v>
      </c>
      <c r="B16" s="16" t="s">
        <v>220</v>
      </c>
      <c r="C16" s="17" t="s">
        <v>223</v>
      </c>
      <c r="D16" s="17" t="s">
        <v>222</v>
      </c>
      <c r="E16" s="16" t="s">
        <v>79</v>
      </c>
      <c r="F16" s="16" t="s">
        <v>82</v>
      </c>
      <c r="G16" s="16">
        <v>1</v>
      </c>
      <c r="H16" s="18">
        <v>1000000</v>
      </c>
      <c r="I16" s="16">
        <v>2</v>
      </c>
      <c r="J16" s="18">
        <f t="shared" si="0"/>
        <v>147550</v>
      </c>
      <c r="K16" s="18">
        <f t="shared" si="1"/>
        <v>1147550</v>
      </c>
      <c r="L16" s="19">
        <f t="shared" si="2"/>
        <v>2</v>
      </c>
      <c r="M16" s="18">
        <f t="shared" si="3"/>
        <v>2295100</v>
      </c>
      <c r="N16" s="18">
        <f t="shared" si="4"/>
        <v>33952.380952380954</v>
      </c>
      <c r="O16" s="18">
        <f t="shared" si="5"/>
        <v>2329052.3809523811</v>
      </c>
      <c r="P16" s="17" t="s">
        <v>327</v>
      </c>
      <c r="Q16" s="89">
        <v>1</v>
      </c>
    </row>
    <row r="17" spans="1:17" ht="30" x14ac:dyDescent="0.25">
      <c r="A17" s="16">
        <v>19</v>
      </c>
      <c r="B17" s="16" t="s">
        <v>220</v>
      </c>
      <c r="C17" s="17" t="s">
        <v>221</v>
      </c>
      <c r="D17" s="17" t="s">
        <v>222</v>
      </c>
      <c r="E17" s="16" t="s">
        <v>79</v>
      </c>
      <c r="F17" s="16" t="s">
        <v>82</v>
      </c>
      <c r="G17" s="16">
        <v>0</v>
      </c>
      <c r="H17" s="18">
        <v>1000000</v>
      </c>
      <c r="I17" s="16">
        <v>3</v>
      </c>
      <c r="J17" s="18">
        <f t="shared" ref="J17:J18" si="14">IF(E17="штат",ROUND(Ставка_СН*H17*(1-Ставка_ОПВ-Ставка_ВОСМС)+Ставка_ОПВР*H17+Ставка_СО*MIN(H17*(1-Ставка_ОПВ),Кап_СО*МЗП)+Ставка_ООСМС*MIN(H17,Кап_ООСМС*МЗП),0),ROUND(H17*НДС,0))</f>
        <v>147550</v>
      </c>
      <c r="K17" s="18">
        <f t="shared" ref="K17:K18" si="15">G17*(H17+J17)</f>
        <v>0</v>
      </c>
      <c r="L17" s="19">
        <f t="shared" ref="L17:L18" si="16">IF(AND(F17="новая",I17=1),Мес_2026_новые,MAX(0,4-I17))</f>
        <v>1</v>
      </c>
      <c r="M17" s="18">
        <f t="shared" ref="M17:M18" si="17">K17*L17</f>
        <v>0</v>
      </c>
      <c r="N17" s="18">
        <f t="shared" si="4"/>
        <v>0</v>
      </c>
      <c r="O17" s="18">
        <f t="shared" ref="O17:O18" si="18">M17+N17</f>
        <v>0</v>
      </c>
      <c r="P17" s="17" t="s">
        <v>418</v>
      </c>
      <c r="Q17" s="89"/>
    </row>
    <row r="18" spans="1:17" ht="30" x14ac:dyDescent="0.25">
      <c r="A18" s="16">
        <v>19</v>
      </c>
      <c r="B18" s="16" t="s">
        <v>220</v>
      </c>
      <c r="C18" s="17" t="s">
        <v>223</v>
      </c>
      <c r="D18" s="17" t="s">
        <v>222</v>
      </c>
      <c r="E18" s="16" t="s">
        <v>79</v>
      </c>
      <c r="F18" s="16" t="s">
        <v>82</v>
      </c>
      <c r="G18" s="16">
        <v>0</v>
      </c>
      <c r="H18" s="18">
        <v>700000</v>
      </c>
      <c r="I18" s="16">
        <v>3</v>
      </c>
      <c r="J18" s="18">
        <f t="shared" si="14"/>
        <v>112210</v>
      </c>
      <c r="K18" s="18">
        <f t="shared" si="15"/>
        <v>0</v>
      </c>
      <c r="L18" s="19">
        <f t="shared" si="16"/>
        <v>1</v>
      </c>
      <c r="M18" s="18">
        <f t="shared" si="17"/>
        <v>0</v>
      </c>
      <c r="N18" s="18">
        <f t="shared" si="4"/>
        <v>0</v>
      </c>
      <c r="O18" s="18">
        <f t="shared" si="18"/>
        <v>0</v>
      </c>
      <c r="P18" s="17" t="s">
        <v>419</v>
      </c>
      <c r="Q18" s="89"/>
    </row>
    <row r="19" spans="1:17" ht="30" x14ac:dyDescent="0.25">
      <c r="A19" s="16">
        <v>19</v>
      </c>
      <c r="B19" s="16" t="s">
        <v>220</v>
      </c>
      <c r="C19" s="17" t="s">
        <v>223</v>
      </c>
      <c r="D19" s="17" t="s">
        <v>222</v>
      </c>
      <c r="E19" s="16" t="s">
        <v>79</v>
      </c>
      <c r="F19" s="16" t="s">
        <v>82</v>
      </c>
      <c r="G19" s="16">
        <v>1</v>
      </c>
      <c r="H19" s="18">
        <v>700000</v>
      </c>
      <c r="I19" s="16">
        <v>2</v>
      </c>
      <c r="J19" s="18">
        <f t="shared" si="0"/>
        <v>112210</v>
      </c>
      <c r="K19" s="18">
        <f t="shared" si="1"/>
        <v>812210</v>
      </c>
      <c r="L19" s="19">
        <f t="shared" si="2"/>
        <v>2</v>
      </c>
      <c r="M19" s="18">
        <f t="shared" si="3"/>
        <v>1624420</v>
      </c>
      <c r="N19" s="18">
        <f t="shared" si="4"/>
        <v>33952.380952380954</v>
      </c>
      <c r="O19" s="18">
        <f t="shared" si="5"/>
        <v>1658372.3809523811</v>
      </c>
      <c r="P19" s="17" t="s">
        <v>334</v>
      </c>
      <c r="Q19" s="89"/>
    </row>
    <row r="20" spans="1:17" ht="75" x14ac:dyDescent="0.25">
      <c r="A20" s="16">
        <v>23</v>
      </c>
      <c r="B20" s="16" t="s">
        <v>224</v>
      </c>
      <c r="C20" s="17" t="s">
        <v>217</v>
      </c>
      <c r="D20" s="17" t="s">
        <v>437</v>
      </c>
      <c r="E20" s="16" t="s">
        <v>79</v>
      </c>
      <c r="F20" s="16" t="s">
        <v>82</v>
      </c>
      <c r="G20" s="16">
        <v>1</v>
      </c>
      <c r="H20" s="18">
        <v>1300000</v>
      </c>
      <c r="I20" s="16">
        <v>2</v>
      </c>
      <c r="J20" s="18">
        <f t="shared" ref="J20" si="19">IF(E20="штат",ROUND(Ставка_СН*H20*(1-Ставка_ОПВ-Ставка_ВОСМС)+Ставка_ОПВР*H20+Ставка_СО*MIN(H20*(1-Ставка_ОПВ),Кап_СО*МЗП)+Ставка_ООСМС*MIN(H20,Кап_ООСМС*МЗП),0),ROUND(H20*НДС,0))</f>
        <v>182890</v>
      </c>
      <c r="K20" s="18">
        <f t="shared" ref="K20" si="20">G20*(H20+J20)</f>
        <v>1482890</v>
      </c>
      <c r="L20" s="19">
        <f t="shared" ref="L20" si="21">IF(AND(F20="новая",I20=1),Мес_2026_новые,MAX(0,4-I20))</f>
        <v>2</v>
      </c>
      <c r="M20" s="18">
        <f t="shared" si="3"/>
        <v>2965780</v>
      </c>
      <c r="N20" s="18">
        <f t="shared" si="4"/>
        <v>33952.380952380954</v>
      </c>
      <c r="O20" s="18">
        <f t="shared" si="5"/>
        <v>2999732.3809523811</v>
      </c>
      <c r="P20" s="17" t="s">
        <v>328</v>
      </c>
      <c r="Q20" s="89">
        <v>1</v>
      </c>
    </row>
    <row r="21" spans="1:17" ht="30" x14ac:dyDescent="0.25">
      <c r="A21" s="20">
        <v>24</v>
      </c>
      <c r="B21" s="20" t="s">
        <v>224</v>
      </c>
      <c r="C21" s="21" t="s">
        <v>244</v>
      </c>
      <c r="D21" s="21" t="s">
        <v>219</v>
      </c>
      <c r="E21" s="20" t="s">
        <v>225</v>
      </c>
      <c r="F21" s="20" t="s">
        <v>82</v>
      </c>
      <c r="G21" s="20">
        <v>0</v>
      </c>
      <c r="H21" s="22">
        <v>1000000</v>
      </c>
      <c r="I21" s="20">
        <v>2</v>
      </c>
      <c r="J21" s="22">
        <f t="shared" si="0"/>
        <v>160000</v>
      </c>
      <c r="K21" s="22">
        <f t="shared" si="1"/>
        <v>0</v>
      </c>
      <c r="L21" s="23">
        <f t="shared" si="2"/>
        <v>2</v>
      </c>
      <c r="M21" s="22">
        <f t="shared" si="3"/>
        <v>0</v>
      </c>
      <c r="N21" s="22">
        <f t="shared" si="4"/>
        <v>0</v>
      </c>
      <c r="O21" s="22">
        <f t="shared" si="5"/>
        <v>0</v>
      </c>
      <c r="P21" s="21" t="s">
        <v>267</v>
      </c>
      <c r="Q21" s="89"/>
    </row>
    <row r="22" spans="1:17" ht="45" x14ac:dyDescent="0.25">
      <c r="A22" s="16">
        <v>25</v>
      </c>
      <c r="B22" s="16" t="s">
        <v>226</v>
      </c>
      <c r="C22" s="17" t="s">
        <v>227</v>
      </c>
      <c r="D22" s="17" t="s">
        <v>437</v>
      </c>
      <c r="E22" s="16" t="s">
        <v>79</v>
      </c>
      <c r="F22" s="16" t="s">
        <v>82</v>
      </c>
      <c r="G22" s="16">
        <v>1</v>
      </c>
      <c r="H22" s="18">
        <v>1300000</v>
      </c>
      <c r="I22" s="16">
        <v>2</v>
      </c>
      <c r="J22" s="18">
        <f t="shared" si="0"/>
        <v>182890</v>
      </c>
      <c r="K22" s="18">
        <f t="shared" si="1"/>
        <v>1482890</v>
      </c>
      <c r="L22" s="19">
        <f t="shared" si="2"/>
        <v>2</v>
      </c>
      <c r="M22" s="18">
        <f t="shared" si="3"/>
        <v>2965780</v>
      </c>
      <c r="N22" s="18">
        <f t="shared" si="4"/>
        <v>33952.380952380954</v>
      </c>
      <c r="O22" s="18">
        <f t="shared" si="5"/>
        <v>2999732.3809523811</v>
      </c>
      <c r="P22" s="17" t="s">
        <v>330</v>
      </c>
      <c r="Q22" s="89"/>
    </row>
    <row r="23" spans="1:17" ht="45" x14ac:dyDescent="0.25">
      <c r="A23" s="16">
        <v>26</v>
      </c>
      <c r="B23" s="16" t="s">
        <v>226</v>
      </c>
      <c r="C23" s="17" t="s">
        <v>228</v>
      </c>
      <c r="D23" s="17" t="s">
        <v>199</v>
      </c>
      <c r="E23" s="16" t="s">
        <v>79</v>
      </c>
      <c r="F23" s="16" t="s">
        <v>82</v>
      </c>
      <c r="G23" s="16">
        <v>1</v>
      </c>
      <c r="H23" s="18">
        <v>1000000</v>
      </c>
      <c r="I23" s="16">
        <v>2</v>
      </c>
      <c r="J23" s="18">
        <f t="shared" si="0"/>
        <v>147550</v>
      </c>
      <c r="K23" s="18">
        <f t="shared" si="1"/>
        <v>1147550</v>
      </c>
      <c r="L23" s="19">
        <f t="shared" si="2"/>
        <v>2</v>
      </c>
      <c r="M23" s="18">
        <f t="shared" si="3"/>
        <v>2295100</v>
      </c>
      <c r="N23" s="18">
        <f t="shared" si="4"/>
        <v>33952.380952380954</v>
      </c>
      <c r="O23" s="18">
        <f t="shared" si="5"/>
        <v>2329052.3809523811</v>
      </c>
      <c r="P23" s="17" t="s">
        <v>329</v>
      </c>
      <c r="Q23" s="89">
        <v>1</v>
      </c>
    </row>
    <row r="24" spans="1:17" x14ac:dyDescent="0.25">
      <c r="A24" s="20">
        <v>27</v>
      </c>
      <c r="B24" s="20" t="s">
        <v>226</v>
      </c>
      <c r="C24" s="21" t="s">
        <v>232</v>
      </c>
      <c r="D24" s="21" t="s">
        <v>199</v>
      </c>
      <c r="E24" s="20" t="s">
        <v>225</v>
      </c>
      <c r="F24" s="20" t="s">
        <v>82</v>
      </c>
      <c r="G24" s="20">
        <v>0</v>
      </c>
      <c r="H24" s="22">
        <v>1000000</v>
      </c>
      <c r="I24" s="20">
        <v>2</v>
      </c>
      <c r="J24" s="22">
        <f t="shared" si="0"/>
        <v>160000</v>
      </c>
      <c r="K24" s="22">
        <f t="shared" si="1"/>
        <v>0</v>
      </c>
      <c r="L24" s="23">
        <f t="shared" si="2"/>
        <v>2</v>
      </c>
      <c r="M24" s="22">
        <f t="shared" si="3"/>
        <v>0</v>
      </c>
      <c r="N24" s="22">
        <f t="shared" si="4"/>
        <v>0</v>
      </c>
      <c r="O24" s="22">
        <f t="shared" si="5"/>
        <v>0</v>
      </c>
      <c r="P24" s="21" t="s">
        <v>268</v>
      </c>
      <c r="Q24" s="89"/>
    </row>
    <row r="25" spans="1:17" x14ac:dyDescent="0.25">
      <c r="A25" s="20">
        <v>28</v>
      </c>
      <c r="B25" s="20" t="s">
        <v>226</v>
      </c>
      <c r="C25" s="21" t="s">
        <v>233</v>
      </c>
      <c r="D25" s="21" t="s">
        <v>199</v>
      </c>
      <c r="E25" s="20" t="s">
        <v>225</v>
      </c>
      <c r="F25" s="20" t="s">
        <v>82</v>
      </c>
      <c r="G25" s="20">
        <v>0</v>
      </c>
      <c r="H25" s="22">
        <v>700000</v>
      </c>
      <c r="I25" s="20">
        <v>2</v>
      </c>
      <c r="J25" s="22">
        <f t="shared" ref="J25" si="22">IF(E25="штат",ROUND(Ставка_СН*H25*(1-Ставка_ОПВ-Ставка_ВОСМС)+Ставка_ОПВР*H25+Ставка_СО*MIN(H25*(1-Ставка_ОПВ),Кап_СО*МЗП)+Ставка_ООСМС*MIN(H25,Кап_ООСМС*МЗП),0),ROUND(H25*НДС,0))</f>
        <v>112000</v>
      </c>
      <c r="K25" s="22">
        <f t="shared" ref="K25" si="23">G25*(H25+J25)</f>
        <v>0</v>
      </c>
      <c r="L25" s="23">
        <f t="shared" ref="L25" si="24">IF(AND(F25="новая",I25=1),Мес_2026_новые,MAX(0,4-I25))</f>
        <v>2</v>
      </c>
      <c r="M25" s="22">
        <f t="shared" si="3"/>
        <v>0</v>
      </c>
      <c r="N25" s="22">
        <f t="shared" si="4"/>
        <v>0</v>
      </c>
      <c r="O25" s="22">
        <f t="shared" si="5"/>
        <v>0</v>
      </c>
      <c r="P25" s="21" t="s">
        <v>269</v>
      </c>
      <c r="Q25" s="89"/>
    </row>
    <row r="26" spans="1:17" x14ac:dyDescent="0.25">
      <c r="A26" s="16">
        <v>29</v>
      </c>
      <c r="B26" s="16" t="s">
        <v>226</v>
      </c>
      <c r="C26" s="17" t="s">
        <v>332</v>
      </c>
      <c r="D26" s="17" t="s">
        <v>199</v>
      </c>
      <c r="E26" s="16" t="s">
        <v>79</v>
      </c>
      <c r="F26" s="16" t="s">
        <v>82</v>
      </c>
      <c r="G26" s="16">
        <v>1</v>
      </c>
      <c r="H26" s="18">
        <v>700000</v>
      </c>
      <c r="I26" s="16">
        <v>2</v>
      </c>
      <c r="J26" s="18">
        <f t="shared" si="0"/>
        <v>112210</v>
      </c>
      <c r="K26" s="18">
        <f t="shared" si="1"/>
        <v>812210</v>
      </c>
      <c r="L26" s="19">
        <f t="shared" si="2"/>
        <v>2</v>
      </c>
      <c r="M26" s="18">
        <f t="shared" si="3"/>
        <v>1624420</v>
      </c>
      <c r="N26" s="18">
        <f t="shared" si="4"/>
        <v>33952.380952380954</v>
      </c>
      <c r="O26" s="18">
        <f t="shared" si="5"/>
        <v>1658372.3809523811</v>
      </c>
      <c r="P26" s="17" t="s">
        <v>333</v>
      </c>
      <c r="Q26" s="89">
        <v>1</v>
      </c>
    </row>
    <row r="27" spans="1:17" x14ac:dyDescent="0.25">
      <c r="A27" s="16">
        <v>30</v>
      </c>
      <c r="B27" s="16" t="s">
        <v>226</v>
      </c>
      <c r="C27" s="17" t="s">
        <v>229</v>
      </c>
      <c r="D27" s="17" t="s">
        <v>199</v>
      </c>
      <c r="E27" s="16" t="s">
        <v>79</v>
      </c>
      <c r="F27" s="16" t="s">
        <v>82</v>
      </c>
      <c r="G27" s="16">
        <v>1</v>
      </c>
      <c r="H27" s="18">
        <v>1000000</v>
      </c>
      <c r="I27" s="16">
        <v>2</v>
      </c>
      <c r="J27" s="18">
        <f t="shared" si="0"/>
        <v>147550</v>
      </c>
      <c r="K27" s="18">
        <f t="shared" si="1"/>
        <v>1147550</v>
      </c>
      <c r="L27" s="19">
        <f t="shared" si="2"/>
        <v>2</v>
      </c>
      <c r="M27" s="18">
        <f t="shared" si="3"/>
        <v>2295100</v>
      </c>
      <c r="N27" s="18">
        <f t="shared" si="4"/>
        <v>33952.380952380954</v>
      </c>
      <c r="O27" s="18">
        <f t="shared" si="5"/>
        <v>2329052.3809523811</v>
      </c>
      <c r="P27" s="17" t="s">
        <v>331</v>
      </c>
      <c r="Q27" s="89"/>
    </row>
    <row r="28" spans="1:17" x14ac:dyDescent="0.25">
      <c r="A28" s="16">
        <v>31</v>
      </c>
      <c r="B28" s="16" t="s">
        <v>226</v>
      </c>
      <c r="C28" s="17" t="s">
        <v>230</v>
      </c>
      <c r="D28" s="17" t="s">
        <v>199</v>
      </c>
      <c r="E28" s="16" t="s">
        <v>79</v>
      </c>
      <c r="F28" s="16" t="s">
        <v>82</v>
      </c>
      <c r="G28" s="16">
        <v>1</v>
      </c>
      <c r="H28" s="18">
        <v>700000</v>
      </c>
      <c r="I28" s="16">
        <v>2</v>
      </c>
      <c r="J28" s="18">
        <f t="shared" ref="J28:J36" si="25">IF(E28="штат",ROUND(Ставка_СН*H28*(1-Ставка_ОПВ-Ставка_ВОСМС)+Ставка_ОПВР*H28+Ставка_СО*MIN(H28*(1-Ставка_ОПВ),Кап_СО*МЗП)+Ставка_ООСМС*MIN(H28,Кап_ООСМС*МЗП),0),ROUND(H28*НДС,0))</f>
        <v>112210</v>
      </c>
      <c r="K28" s="18">
        <f t="shared" ref="K28:K36" si="26">G28*(H28+J28)</f>
        <v>812210</v>
      </c>
      <c r="L28" s="19">
        <f t="shared" si="2"/>
        <v>2</v>
      </c>
      <c r="M28" s="18">
        <f t="shared" si="3"/>
        <v>1624420</v>
      </c>
      <c r="N28" s="18">
        <f t="shared" si="4"/>
        <v>33952.380952380954</v>
      </c>
      <c r="O28" s="18">
        <f t="shared" si="5"/>
        <v>1658372.3809523811</v>
      </c>
      <c r="P28" s="17" t="s">
        <v>231</v>
      </c>
      <c r="Q28" s="89"/>
    </row>
    <row r="29" spans="1:17" ht="30" x14ac:dyDescent="0.25">
      <c r="A29" s="20">
        <v>32</v>
      </c>
      <c r="B29" s="20" t="s">
        <v>226</v>
      </c>
      <c r="C29" s="21" t="s">
        <v>234</v>
      </c>
      <c r="D29" s="21" t="s">
        <v>199</v>
      </c>
      <c r="E29" s="20" t="s">
        <v>225</v>
      </c>
      <c r="F29" s="20" t="s">
        <v>82</v>
      </c>
      <c r="G29" s="20">
        <v>0</v>
      </c>
      <c r="H29" s="22">
        <v>700000</v>
      </c>
      <c r="I29" s="20">
        <v>2</v>
      </c>
      <c r="J29" s="22">
        <f t="shared" si="25"/>
        <v>112000</v>
      </c>
      <c r="K29" s="22">
        <f t="shared" si="26"/>
        <v>0</v>
      </c>
      <c r="L29" s="23">
        <f t="shared" si="2"/>
        <v>2</v>
      </c>
      <c r="M29" s="22">
        <f t="shared" si="3"/>
        <v>0</v>
      </c>
      <c r="N29" s="22">
        <f t="shared" si="4"/>
        <v>0</v>
      </c>
      <c r="O29" s="22">
        <f t="shared" si="5"/>
        <v>0</v>
      </c>
      <c r="P29" s="21" t="s">
        <v>270</v>
      </c>
      <c r="Q29" s="89"/>
    </row>
    <row r="30" spans="1:17" ht="75" x14ac:dyDescent="0.25">
      <c r="A30" s="16">
        <v>33</v>
      </c>
      <c r="B30" s="16" t="s">
        <v>245</v>
      </c>
      <c r="C30" s="17" t="s">
        <v>83</v>
      </c>
      <c r="D30" s="17" t="s">
        <v>81</v>
      </c>
      <c r="E30" s="16" t="s">
        <v>79</v>
      </c>
      <c r="F30" s="16" t="s">
        <v>80</v>
      </c>
      <c r="G30" s="16">
        <v>1</v>
      </c>
      <c r="H30" s="18">
        <v>1400000</v>
      </c>
      <c r="I30" s="16">
        <v>2</v>
      </c>
      <c r="J30" s="18">
        <f t="shared" si="25"/>
        <v>194670</v>
      </c>
      <c r="K30" s="18">
        <f t="shared" si="26"/>
        <v>1594670</v>
      </c>
      <c r="L30" s="19">
        <f t="shared" si="2"/>
        <v>2</v>
      </c>
      <c r="M30" s="18">
        <f t="shared" si="3"/>
        <v>3189340</v>
      </c>
      <c r="N30" s="18">
        <f t="shared" si="4"/>
        <v>0</v>
      </c>
      <c r="O30" s="18">
        <f t="shared" si="5"/>
        <v>3189340</v>
      </c>
      <c r="P30" s="17" t="s">
        <v>291</v>
      </c>
      <c r="Q30" s="89"/>
    </row>
    <row r="31" spans="1:17" ht="30" x14ac:dyDescent="0.25">
      <c r="A31" s="16">
        <v>34</v>
      </c>
      <c r="B31" s="16" t="s">
        <v>245</v>
      </c>
      <c r="C31" s="17" t="s">
        <v>84</v>
      </c>
      <c r="D31" s="17" t="s">
        <v>195</v>
      </c>
      <c r="E31" s="16" t="s">
        <v>79</v>
      </c>
      <c r="F31" s="16" t="s">
        <v>82</v>
      </c>
      <c r="G31" s="16">
        <v>1</v>
      </c>
      <c r="H31" s="18">
        <v>700000</v>
      </c>
      <c r="I31" s="16">
        <v>2</v>
      </c>
      <c r="J31" s="18">
        <f t="shared" si="25"/>
        <v>112210</v>
      </c>
      <c r="K31" s="18">
        <f t="shared" si="26"/>
        <v>812210</v>
      </c>
      <c r="L31" s="19">
        <f t="shared" si="2"/>
        <v>2</v>
      </c>
      <c r="M31" s="18">
        <f t="shared" si="3"/>
        <v>1624420</v>
      </c>
      <c r="N31" s="18">
        <f t="shared" si="4"/>
        <v>33952.380952380954</v>
      </c>
      <c r="O31" s="18">
        <f t="shared" si="5"/>
        <v>1658372.3809523811</v>
      </c>
      <c r="P31" s="17" t="s">
        <v>196</v>
      </c>
      <c r="Q31" s="89"/>
    </row>
    <row r="32" spans="1:17" ht="45" x14ac:dyDescent="0.25">
      <c r="A32" s="16">
        <v>35</v>
      </c>
      <c r="B32" s="16" t="s">
        <v>322</v>
      </c>
      <c r="C32" s="17" t="s">
        <v>417</v>
      </c>
      <c r="D32" s="17" t="s">
        <v>413</v>
      </c>
      <c r="E32" s="16" t="s">
        <v>79</v>
      </c>
      <c r="F32" s="16" t="s">
        <v>82</v>
      </c>
      <c r="G32" s="16">
        <v>1</v>
      </c>
      <c r="H32" s="18">
        <v>1000000</v>
      </c>
      <c r="I32" s="16">
        <v>2</v>
      </c>
      <c r="J32" s="18">
        <f t="shared" si="25"/>
        <v>147550</v>
      </c>
      <c r="K32" s="18">
        <f t="shared" si="26"/>
        <v>1147550</v>
      </c>
      <c r="L32" s="19">
        <f t="shared" si="2"/>
        <v>2</v>
      </c>
      <c r="M32" s="18">
        <f t="shared" si="3"/>
        <v>2295100</v>
      </c>
      <c r="N32" s="18">
        <f t="shared" si="4"/>
        <v>33952.380952380954</v>
      </c>
      <c r="O32" s="18">
        <f t="shared" si="5"/>
        <v>2329052.3809523811</v>
      </c>
      <c r="P32" s="17" t="s">
        <v>320</v>
      </c>
      <c r="Q32" s="89"/>
    </row>
    <row r="33" spans="1:17" s="79" customFormat="1" ht="45" x14ac:dyDescent="0.25">
      <c r="A33" s="16">
        <v>35</v>
      </c>
      <c r="B33" s="16" t="s">
        <v>322</v>
      </c>
      <c r="C33" s="17" t="s">
        <v>553</v>
      </c>
      <c r="D33" s="17" t="s">
        <v>413</v>
      </c>
      <c r="E33" s="16" t="s">
        <v>79</v>
      </c>
      <c r="F33" s="16" t="s">
        <v>82</v>
      </c>
      <c r="G33" s="16">
        <v>1</v>
      </c>
      <c r="H33" s="18">
        <v>800000</v>
      </c>
      <c r="I33" s="16">
        <v>2</v>
      </c>
      <c r="J33" s="18">
        <f t="shared" ref="J33" si="27">IF(E33="штат",ROUND(Ставка_СН*H33*(1-Ставка_ОПВ-Ставка_ВОСМС)+Ставка_ОПВР*H33+Ставка_СО*MIN(H33*(1-Ставка_ОПВ),Кап_СО*МЗП)+Ставка_ООСМС*MIN(H33,Кап_ООСМС*МЗП),0),ROUND(H33*НДС,0))</f>
        <v>123990</v>
      </c>
      <c r="K33" s="18">
        <f t="shared" ref="K33" si="28">G33*(H33+J33)</f>
        <v>923990</v>
      </c>
      <c r="L33" s="19">
        <f t="shared" ref="L33" si="29">IF(AND(F33="новая",I33=1),Мес_2026_новые,MAX(0,4-I33))</f>
        <v>2</v>
      </c>
      <c r="M33" s="18">
        <f t="shared" ref="M33" si="30">K33*L33</f>
        <v>1847980</v>
      </c>
      <c r="N33" s="18">
        <f t="shared" si="4"/>
        <v>33952.380952380954</v>
      </c>
      <c r="O33" s="18">
        <f t="shared" ref="O33" si="31">M33+N33</f>
        <v>1881932.3809523811</v>
      </c>
      <c r="P33" s="17" t="s">
        <v>415</v>
      </c>
      <c r="Q33" s="89"/>
    </row>
    <row r="34" spans="1:17" s="79" customFormat="1" ht="45" x14ac:dyDescent="0.25">
      <c r="A34" s="16">
        <v>35</v>
      </c>
      <c r="B34" s="16" t="s">
        <v>322</v>
      </c>
      <c r="C34" s="17" t="s">
        <v>553</v>
      </c>
      <c r="D34" s="17" t="s">
        <v>413</v>
      </c>
      <c r="E34" s="16" t="s">
        <v>79</v>
      </c>
      <c r="F34" s="16" t="s">
        <v>82</v>
      </c>
      <c r="G34" s="16">
        <v>1</v>
      </c>
      <c r="H34" s="18">
        <v>800000</v>
      </c>
      <c r="I34" s="16">
        <v>2</v>
      </c>
      <c r="J34" s="18">
        <f t="shared" ref="J34" si="32">IF(E34="штат",ROUND(Ставка_СН*H34*(1-Ставка_ОПВ-Ставка_ВОСМС)+Ставка_ОПВР*H34+Ставка_СО*MIN(H34*(1-Ставка_ОПВ),Кап_СО*МЗП)+Ставка_ООСМС*MIN(H34,Кап_ООСМС*МЗП),0),ROUND(H34*НДС,0))</f>
        <v>123990</v>
      </c>
      <c r="K34" s="18">
        <f t="shared" ref="K34" si="33">G34*(H34+J34)</f>
        <v>923990</v>
      </c>
      <c r="L34" s="19">
        <f t="shared" ref="L34" si="34">IF(AND(F34="новая",I34=1),Мес_2026_новые,MAX(0,4-I34))</f>
        <v>2</v>
      </c>
      <c r="M34" s="18">
        <f t="shared" ref="M34" si="35">K34*L34</f>
        <v>1847980</v>
      </c>
      <c r="N34" s="18">
        <f t="shared" si="4"/>
        <v>33952.380952380954</v>
      </c>
      <c r="O34" s="18">
        <f t="shared" ref="O34" si="36">M34+N34</f>
        <v>1881932.3809523811</v>
      </c>
      <c r="P34" s="17" t="s">
        <v>416</v>
      </c>
      <c r="Q34" s="89"/>
    </row>
    <row r="35" spans="1:17" ht="30" x14ac:dyDescent="0.25">
      <c r="A35" s="20">
        <v>36</v>
      </c>
      <c r="B35" s="20" t="s">
        <v>245</v>
      </c>
      <c r="C35" s="21" t="s">
        <v>246</v>
      </c>
      <c r="D35" s="21" t="s">
        <v>197</v>
      </c>
      <c r="E35" s="20" t="s">
        <v>225</v>
      </c>
      <c r="F35" s="20" t="s">
        <v>82</v>
      </c>
      <c r="G35" s="20">
        <v>0</v>
      </c>
      <c r="H35" s="22">
        <v>867500</v>
      </c>
      <c r="I35" s="20">
        <v>2</v>
      </c>
      <c r="J35" s="22">
        <f t="shared" si="25"/>
        <v>138800</v>
      </c>
      <c r="K35" s="22">
        <f t="shared" si="26"/>
        <v>0</v>
      </c>
      <c r="L35" s="23">
        <f t="shared" si="2"/>
        <v>2</v>
      </c>
      <c r="M35" s="22">
        <f t="shared" si="3"/>
        <v>0</v>
      </c>
      <c r="N35" s="22">
        <f t="shared" si="4"/>
        <v>0</v>
      </c>
      <c r="O35" s="22">
        <f t="shared" si="5"/>
        <v>0</v>
      </c>
      <c r="P35" s="21" t="s">
        <v>271</v>
      </c>
      <c r="Q35" s="89"/>
    </row>
    <row r="36" spans="1:17" ht="30" x14ac:dyDescent="0.25">
      <c r="A36" s="20">
        <v>37</v>
      </c>
      <c r="B36" s="20" t="s">
        <v>245</v>
      </c>
      <c r="C36" s="21" t="s">
        <v>247</v>
      </c>
      <c r="D36" s="21" t="s">
        <v>197</v>
      </c>
      <c r="E36" s="20" t="s">
        <v>225</v>
      </c>
      <c r="F36" s="20" t="s">
        <v>82</v>
      </c>
      <c r="G36" s="20">
        <v>0</v>
      </c>
      <c r="H36" s="22">
        <v>425600</v>
      </c>
      <c r="I36" s="20">
        <v>2</v>
      </c>
      <c r="J36" s="22">
        <f t="shared" si="25"/>
        <v>68096</v>
      </c>
      <c r="K36" s="22">
        <f t="shared" si="26"/>
        <v>0</v>
      </c>
      <c r="L36" s="23">
        <f t="shared" si="2"/>
        <v>2</v>
      </c>
      <c r="M36" s="22">
        <f t="shared" si="3"/>
        <v>0</v>
      </c>
      <c r="N36" s="22">
        <f t="shared" si="4"/>
        <v>0</v>
      </c>
      <c r="O36" s="22">
        <f t="shared" si="5"/>
        <v>0</v>
      </c>
      <c r="P36" s="21" t="s">
        <v>272</v>
      </c>
      <c r="Q36" s="89"/>
    </row>
    <row r="37" spans="1:17" x14ac:dyDescent="0.25">
      <c r="A37" s="7"/>
      <c r="B37" s="7"/>
      <c r="C37" s="7" t="s">
        <v>287</v>
      </c>
      <c r="D37" s="7"/>
      <c r="E37" s="7"/>
      <c r="F37" s="7"/>
      <c r="G37" s="7">
        <f>SUM(G5:G36)</f>
        <v>23</v>
      </c>
      <c r="H37" s="6">
        <f>SUMPRODUCT(G5:G36,H5:H36)</f>
        <v>24600000</v>
      </c>
      <c r="I37" s="7"/>
      <c r="J37" s="6"/>
      <c r="K37" s="6">
        <f>SUM(K5:K36)</f>
        <v>28182130</v>
      </c>
      <c r="L37" s="7"/>
      <c r="M37" s="6">
        <f>SUM(M5:M36)</f>
        <v>54881370</v>
      </c>
      <c r="N37" s="6">
        <f t="shared" ref="N37:O37" si="37">SUM(N5:N36)</f>
        <v>645095.23809523811</v>
      </c>
      <c r="O37" s="6">
        <f t="shared" si="37"/>
        <v>55526465.238095231</v>
      </c>
      <c r="P37" s="7"/>
    </row>
    <row r="38" spans="1:17" x14ac:dyDescent="0.25">
      <c r="C38" t="s">
        <v>288</v>
      </c>
      <c r="G38">
        <f>SUM(G8:G12)+SUM(G13:G29)</f>
        <v>15</v>
      </c>
      <c r="H38" s="5">
        <f>SUMPRODUCT(G8:G12,H8:H12)+SUMPRODUCT(G13:G29,H13:H29)</f>
        <v>15500000</v>
      </c>
    </row>
    <row r="39" spans="1:17" x14ac:dyDescent="0.25">
      <c r="C39" t="s">
        <v>289</v>
      </c>
      <c r="G39">
        <f>G37-G38</f>
        <v>8</v>
      </c>
      <c r="H39" s="5">
        <f>H37-H38</f>
        <v>9100000</v>
      </c>
    </row>
    <row r="41" spans="1:17" x14ac:dyDescent="0.25">
      <c r="C41" s="7" t="s">
        <v>433</v>
      </c>
    </row>
    <row r="42" spans="1:17" x14ac:dyDescent="0.25">
      <c r="C42" t="s">
        <v>439</v>
      </c>
      <c r="H42" s="5">
        <f>SUMPRODUCT(Q5:Q36,H5:H36)</f>
        <v>8400000</v>
      </c>
    </row>
    <row r="43" spans="1:17" x14ac:dyDescent="0.25">
      <c r="C43" t="s">
        <v>434</v>
      </c>
      <c r="H43" s="5">
        <f>H42*(Ставка_ОПВР+Ставка_ООСМС+Ставка_СН*(1-Ставка_ОПВ-Ставка_ВОСМС))</f>
        <v>989520</v>
      </c>
    </row>
    <row r="44" spans="1:17" x14ac:dyDescent="0.25">
      <c r="C44" s="7" t="s">
        <v>435</v>
      </c>
      <c r="H44" s="6">
        <f>H42+H43</f>
        <v>9389520</v>
      </c>
    </row>
    <row r="45" spans="1:17" x14ac:dyDescent="0.25">
      <c r="C45" t="s">
        <v>436</v>
      </c>
    </row>
  </sheetData>
  <pageMargins left="0.7" right="0.7" top="0.75" bottom="0.75" header="0.511811023622047" footer="0.511811023622047"/>
  <pageSetup paperSize="9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F8" sqref="F8"/>
    </sheetView>
  </sheetViews>
  <sheetFormatPr defaultRowHeight="15" x14ac:dyDescent="0.25"/>
  <cols>
    <col min="1" max="1" width="4.7109375" style="24" customWidth="1"/>
    <col min="2" max="2" width="30.7109375" style="24" customWidth="1"/>
    <col min="3" max="3" width="26.7109375" style="24" customWidth="1"/>
    <col min="4" max="4" width="44.7109375" style="24" customWidth="1"/>
    <col min="5" max="5" width="14.7109375" style="24" customWidth="1"/>
    <col min="6" max="6" width="17.7109375" style="24" customWidth="1"/>
    <col min="7" max="7" width="19.7109375" style="24" customWidth="1"/>
    <col min="8" max="8" width="12.7109375" style="24" customWidth="1"/>
    <col min="9" max="9" width="14.7109375" style="24" customWidth="1"/>
    <col min="10" max="10" width="12.7109375" style="24" customWidth="1"/>
    <col min="11" max="11" width="8.7109375" style="24" customWidth="1"/>
    <col min="12" max="12" width="15.7109375" style="24" customWidth="1"/>
    <col min="13" max="16384" width="9.140625" style="24"/>
  </cols>
  <sheetData>
    <row r="1" spans="1:12" ht="17.25" x14ac:dyDescent="0.3">
      <c r="A1" s="1" t="s">
        <v>292</v>
      </c>
    </row>
    <row r="3" spans="1:12" ht="42" customHeight="1" x14ac:dyDescent="0.25">
      <c r="A3" s="25" t="s">
        <v>65</v>
      </c>
      <c r="B3" s="25" t="s">
        <v>166</v>
      </c>
      <c r="C3" s="25" t="s">
        <v>68</v>
      </c>
      <c r="D3" s="25" t="s">
        <v>250</v>
      </c>
      <c r="E3" s="25" t="s">
        <v>251</v>
      </c>
      <c r="F3" s="103" t="s">
        <v>469</v>
      </c>
      <c r="G3" s="103" t="s">
        <v>470</v>
      </c>
      <c r="H3" s="25" t="s">
        <v>252</v>
      </c>
      <c r="I3" s="25" t="s">
        <v>253</v>
      </c>
      <c r="J3" s="25" t="s">
        <v>285</v>
      </c>
      <c r="K3" s="25" t="s">
        <v>75</v>
      </c>
      <c r="L3" s="25" t="s">
        <v>90</v>
      </c>
    </row>
    <row r="4" spans="1:12" ht="45" x14ac:dyDescent="0.25">
      <c r="A4" s="26">
        <v>1</v>
      </c>
      <c r="B4" s="27" t="s">
        <v>476</v>
      </c>
      <c r="C4" s="27" t="s">
        <v>197</v>
      </c>
      <c r="D4" s="27" t="s">
        <v>254</v>
      </c>
      <c r="E4" s="28">
        <v>867500</v>
      </c>
      <c r="F4" s="28">
        <f>ROUND(E4*'Комиссия Antal'!$B$4,0)</f>
        <v>86750</v>
      </c>
      <c r="G4" s="28">
        <f t="shared" ref="G4:G10" si="0">E4+F4</f>
        <v>954250</v>
      </c>
      <c r="H4" s="28">
        <f t="shared" ref="H4:H10" si="1">ROUND(G4*НДС,0)</f>
        <v>152680</v>
      </c>
      <c r="I4" s="28">
        <f t="shared" ref="I4:I10" si="2">G4+H4</f>
        <v>1106930</v>
      </c>
      <c r="J4" s="26">
        <v>2</v>
      </c>
      <c r="K4" s="29">
        <f t="shared" ref="K4:K10" si="3">IF(J4=1,Мес_2026_новые,MAX(0,4-J4))</f>
        <v>2</v>
      </c>
      <c r="L4" s="28">
        <f t="shared" ref="L4:L10" si="4">I4*K4</f>
        <v>2213860</v>
      </c>
    </row>
    <row r="5" spans="1:12" ht="45" x14ac:dyDescent="0.25">
      <c r="A5" s="26">
        <v>2</v>
      </c>
      <c r="B5" s="27" t="s">
        <v>412</v>
      </c>
      <c r="C5" s="27" t="s">
        <v>197</v>
      </c>
      <c r="D5" s="27" t="s">
        <v>255</v>
      </c>
      <c r="E5" s="28">
        <v>425600</v>
      </c>
      <c r="F5" s="28">
        <f>ROUND(E5*'Комиссия Antal'!$B$4,0)</f>
        <v>42560</v>
      </c>
      <c r="G5" s="28">
        <f t="shared" si="0"/>
        <v>468160</v>
      </c>
      <c r="H5" s="28">
        <f t="shared" si="1"/>
        <v>74906</v>
      </c>
      <c r="I5" s="28">
        <f t="shared" si="2"/>
        <v>543066</v>
      </c>
      <c r="J5" s="26">
        <v>2</v>
      </c>
      <c r="K5" s="29">
        <f t="shared" si="3"/>
        <v>2</v>
      </c>
      <c r="L5" s="28">
        <f t="shared" si="4"/>
        <v>1086132</v>
      </c>
    </row>
    <row r="6" spans="1:12" ht="30" x14ac:dyDescent="0.25">
      <c r="A6" s="26">
        <v>3</v>
      </c>
      <c r="B6" s="27" t="s">
        <v>256</v>
      </c>
      <c r="C6" s="27" t="s">
        <v>257</v>
      </c>
      <c r="D6" s="27" t="s">
        <v>258</v>
      </c>
      <c r="E6" s="28">
        <v>1000000</v>
      </c>
      <c r="F6" s="28">
        <f>ROUND(E6*'Комиссия Antal'!$B$4,0)</f>
        <v>100000</v>
      </c>
      <c r="G6" s="28">
        <f t="shared" si="0"/>
        <v>1100000</v>
      </c>
      <c r="H6" s="28">
        <f t="shared" si="1"/>
        <v>176000</v>
      </c>
      <c r="I6" s="28">
        <f t="shared" si="2"/>
        <v>1276000</v>
      </c>
      <c r="J6" s="26">
        <v>2</v>
      </c>
      <c r="K6" s="29">
        <f t="shared" si="3"/>
        <v>2</v>
      </c>
      <c r="L6" s="28">
        <f t="shared" si="4"/>
        <v>2552000</v>
      </c>
    </row>
    <row r="7" spans="1:12" ht="45" x14ac:dyDescent="0.25">
      <c r="A7" s="26">
        <v>4</v>
      </c>
      <c r="B7" s="27" t="s">
        <v>259</v>
      </c>
      <c r="C7" s="27" t="s">
        <v>260</v>
      </c>
      <c r="D7" s="27" t="s">
        <v>261</v>
      </c>
      <c r="E7" s="28">
        <v>1000000</v>
      </c>
      <c r="F7" s="28">
        <f>ROUND(E7*'Комиссия Antal'!$B$4,0)</f>
        <v>100000</v>
      </c>
      <c r="G7" s="28">
        <f t="shared" si="0"/>
        <v>1100000</v>
      </c>
      <c r="H7" s="28">
        <f t="shared" si="1"/>
        <v>176000</v>
      </c>
      <c r="I7" s="28">
        <f t="shared" si="2"/>
        <v>1276000</v>
      </c>
      <c r="J7" s="26">
        <v>2</v>
      </c>
      <c r="K7" s="29">
        <f t="shared" si="3"/>
        <v>2</v>
      </c>
      <c r="L7" s="28">
        <f t="shared" si="4"/>
        <v>2552000</v>
      </c>
    </row>
    <row r="8" spans="1:12" ht="45" x14ac:dyDescent="0.25">
      <c r="A8" s="26">
        <v>5</v>
      </c>
      <c r="B8" s="27" t="s">
        <v>262</v>
      </c>
      <c r="C8" s="27" t="s">
        <v>260</v>
      </c>
      <c r="D8" s="27" t="s">
        <v>263</v>
      </c>
      <c r="E8" s="28">
        <v>700000</v>
      </c>
      <c r="F8" s="28">
        <f>ROUND(E8*'Комиссия Antal'!$B$4,0)</f>
        <v>70000</v>
      </c>
      <c r="G8" s="28">
        <f t="shared" si="0"/>
        <v>770000</v>
      </c>
      <c r="H8" s="28">
        <f t="shared" si="1"/>
        <v>123200</v>
      </c>
      <c r="I8" s="28">
        <f t="shared" si="2"/>
        <v>893200</v>
      </c>
      <c r="J8" s="26">
        <v>2</v>
      </c>
      <c r="K8" s="29">
        <f t="shared" si="3"/>
        <v>2</v>
      </c>
      <c r="L8" s="28">
        <f t="shared" si="4"/>
        <v>1786400</v>
      </c>
    </row>
    <row r="9" spans="1:12" ht="30" x14ac:dyDescent="0.25">
      <c r="A9" s="26">
        <v>6</v>
      </c>
      <c r="B9" s="27" t="s">
        <v>340</v>
      </c>
      <c r="C9" s="27" t="s">
        <v>341</v>
      </c>
      <c r="D9" s="27" t="s">
        <v>342</v>
      </c>
      <c r="E9" s="28">
        <v>700000</v>
      </c>
      <c r="F9" s="28">
        <f>ROUND(E9*'Комиссия Antal'!$B$4,0)</f>
        <v>70000</v>
      </c>
      <c r="G9" s="28">
        <f t="shared" si="0"/>
        <v>770000</v>
      </c>
      <c r="H9" s="28">
        <f t="shared" si="1"/>
        <v>123200</v>
      </c>
      <c r="I9" s="28">
        <f t="shared" si="2"/>
        <v>893200</v>
      </c>
      <c r="J9" s="26">
        <v>2</v>
      </c>
      <c r="K9" s="29">
        <f t="shared" si="3"/>
        <v>2</v>
      </c>
      <c r="L9" s="28">
        <f t="shared" si="4"/>
        <v>1786400</v>
      </c>
    </row>
    <row r="10" spans="1:12" ht="45" x14ac:dyDescent="0.25">
      <c r="A10" s="26">
        <v>7</v>
      </c>
      <c r="B10" s="27" t="s">
        <v>264</v>
      </c>
      <c r="C10" s="27" t="s">
        <v>260</v>
      </c>
      <c r="D10" s="27" t="s">
        <v>265</v>
      </c>
      <c r="E10" s="28">
        <v>700000</v>
      </c>
      <c r="F10" s="28">
        <f>ROUND(E10*'Комиссия Antal'!$B$4,0)</f>
        <v>70000</v>
      </c>
      <c r="G10" s="28">
        <f t="shared" si="0"/>
        <v>770000</v>
      </c>
      <c r="H10" s="28">
        <f t="shared" si="1"/>
        <v>123200</v>
      </c>
      <c r="I10" s="28">
        <f t="shared" si="2"/>
        <v>893200</v>
      </c>
      <c r="J10" s="26">
        <v>2</v>
      </c>
      <c r="K10" s="29">
        <f t="shared" si="3"/>
        <v>2</v>
      </c>
      <c r="L10" s="28">
        <f t="shared" si="4"/>
        <v>1786400</v>
      </c>
    </row>
    <row r="11" spans="1:12" x14ac:dyDescent="0.25">
      <c r="A11" s="30"/>
      <c r="B11" s="30" t="s">
        <v>266</v>
      </c>
      <c r="C11" s="30"/>
      <c r="D11" s="30"/>
      <c r="E11" s="31">
        <f>SUM(E4:E10)</f>
        <v>5393100</v>
      </c>
      <c r="F11" s="31">
        <f>SUM(F4:F10)</f>
        <v>539310</v>
      </c>
      <c r="G11" s="31">
        <f>SUM(G4:G10)</f>
        <v>5932410</v>
      </c>
      <c r="H11" s="31">
        <f>SUM(H4:H10)</f>
        <v>949186</v>
      </c>
      <c r="I11" s="31">
        <f>SUM(I4:I10)</f>
        <v>6881596</v>
      </c>
      <c r="J11" s="30"/>
      <c r="K11" s="30"/>
      <c r="L11" s="31">
        <f>SUM(L4:L10)</f>
        <v>13763192</v>
      </c>
    </row>
    <row r="12" spans="1:12" x14ac:dyDescent="0.25">
      <c r="B12" s="24" t="s">
        <v>477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E20" sqref="E20"/>
    </sheetView>
  </sheetViews>
  <sheetFormatPr defaultRowHeight="15" x14ac:dyDescent="0.25"/>
  <cols>
    <col min="1" max="1" width="44.7109375" customWidth="1"/>
    <col min="2" max="2" width="19.7109375" customWidth="1"/>
    <col min="3" max="3" width="34.7109375" customWidth="1"/>
    <col min="4" max="7" width="19.7109375" customWidth="1"/>
  </cols>
  <sheetData>
    <row r="1" spans="1:7" ht="17.25" x14ac:dyDescent="0.3">
      <c r="A1" s="1" t="s">
        <v>446</v>
      </c>
    </row>
    <row r="2" spans="1:7" ht="44.1" customHeight="1" x14ac:dyDescent="0.25">
      <c r="A2" s="4" t="s">
        <v>447</v>
      </c>
      <c r="B2" s="4"/>
      <c r="C2" s="4"/>
      <c r="D2" s="4"/>
      <c r="E2" s="4"/>
      <c r="F2" s="4"/>
      <c r="G2" s="4"/>
    </row>
    <row r="4" spans="1:7" x14ac:dyDescent="0.25">
      <c r="A4" t="s">
        <v>448</v>
      </c>
      <c r="B4" s="93">
        <v>0.1</v>
      </c>
      <c r="C4" t="s">
        <v>449</v>
      </c>
    </row>
    <row r="5" spans="1:7" x14ac:dyDescent="0.25">
      <c r="A5" t="s">
        <v>450</v>
      </c>
      <c r="B5" s="94">
        <f>Ставка_ОПВР+Ставка_ООСМС+Ставка_СН*(1-Ставка_ОПВ-Ставка_ВОСМС)</f>
        <v>0.1178</v>
      </c>
      <c r="C5" t="s">
        <v>451</v>
      </c>
    </row>
    <row r="7" spans="1:7" ht="45.95" customHeight="1" x14ac:dyDescent="0.25">
      <c r="A7" s="95" t="s">
        <v>452</v>
      </c>
      <c r="B7" s="95" t="s">
        <v>453</v>
      </c>
      <c r="C7" s="95" t="s">
        <v>454</v>
      </c>
      <c r="D7" s="95" t="s">
        <v>455</v>
      </c>
      <c r="E7" s="95" t="s">
        <v>456</v>
      </c>
      <c r="F7" s="95" t="s">
        <v>457</v>
      </c>
      <c r="G7" s="95" t="s">
        <v>458</v>
      </c>
    </row>
    <row r="8" spans="1:7" x14ac:dyDescent="0.25">
      <c r="A8" s="96">
        <v>500000</v>
      </c>
      <c r="B8" s="96">
        <f>A8*$B$5</f>
        <v>58900</v>
      </c>
      <c r="C8" s="96">
        <f>A8+B8</f>
        <v>558900</v>
      </c>
      <c r="D8" s="96">
        <f>C8*$B$4</f>
        <v>55890</v>
      </c>
      <c r="E8" s="96">
        <f>D8*НДС</f>
        <v>8942.4</v>
      </c>
      <c r="F8" s="96">
        <f>D8+E8</f>
        <v>64832.4</v>
      </c>
      <c r="G8" s="97">
        <f>D8/A8</f>
        <v>0.11178</v>
      </c>
    </row>
    <row r="9" spans="1:7" x14ac:dyDescent="0.25">
      <c r="A9" s="96">
        <v>700000</v>
      </c>
      <c r="B9" s="96">
        <f>A9*$B$5</f>
        <v>82460</v>
      </c>
      <c r="C9" s="96">
        <f>A9+B9</f>
        <v>782460</v>
      </c>
      <c r="D9" s="96">
        <f>C9*$B$4</f>
        <v>78246</v>
      </c>
      <c r="E9" s="96">
        <f>D9*НДС</f>
        <v>12519.36</v>
      </c>
      <c r="F9" s="96">
        <f>D9+E9</f>
        <v>90765.36</v>
      </c>
      <c r="G9" s="97">
        <f>D9/A9</f>
        <v>0.11178</v>
      </c>
    </row>
    <row r="10" spans="1:7" x14ac:dyDescent="0.25">
      <c r="A10" s="96">
        <v>813286</v>
      </c>
      <c r="B10" s="96">
        <f>A10*$B$5</f>
        <v>95805.090800000005</v>
      </c>
      <c r="C10" s="96">
        <f>A10+B10</f>
        <v>909091.09080000001</v>
      </c>
      <c r="D10" s="96">
        <f>C10*$B$4</f>
        <v>90909.109080000009</v>
      </c>
      <c r="E10" s="96">
        <f>D10*НДС</f>
        <v>14545.457452800001</v>
      </c>
      <c r="F10" s="96">
        <f>D10+E10</f>
        <v>105454.5665328</v>
      </c>
      <c r="G10" s="97">
        <f>D10/A10</f>
        <v>0.11178000000000002</v>
      </c>
    </row>
    <row r="11" spans="1:7" x14ac:dyDescent="0.25">
      <c r="A11" s="96">
        <v>1000000</v>
      </c>
      <c r="B11" s="96">
        <f>A11*$B$5</f>
        <v>117800</v>
      </c>
      <c r="C11" s="96">
        <f>A11+B11</f>
        <v>1117800</v>
      </c>
      <c r="D11" s="96">
        <f>C11*$B$4</f>
        <v>111780</v>
      </c>
      <c r="E11" s="96">
        <f>D11*НДС</f>
        <v>17884.8</v>
      </c>
      <c r="F11" s="96">
        <f>D11+E11</f>
        <v>129664.8</v>
      </c>
      <c r="G11" s="97">
        <f>D11/A11</f>
        <v>0.11178</v>
      </c>
    </row>
    <row r="13" spans="1:7" x14ac:dyDescent="0.25">
      <c r="A13" s="7" t="s">
        <v>459</v>
      </c>
    </row>
    <row r="14" spans="1:7" x14ac:dyDescent="0.25">
      <c r="A14" s="98" t="s">
        <v>460</v>
      </c>
      <c r="B14" s="97">
        <f>$B$4*(1+$B$5)</f>
        <v>0.11177999999999999</v>
      </c>
      <c r="C14" s="98" t="s">
        <v>461</v>
      </c>
    </row>
    <row r="15" spans="1:7" x14ac:dyDescent="0.25">
      <c r="A15" s="98" t="s">
        <v>462</v>
      </c>
      <c r="B15" s="97">
        <f>$B$4*(1+$B$5)*(1+НДС)</f>
        <v>0.12966479999999997</v>
      </c>
      <c r="C15" s="98" t="s">
        <v>463</v>
      </c>
    </row>
    <row r="17" spans="1:3" x14ac:dyDescent="0.25">
      <c r="A17" s="7" t="s">
        <v>464</v>
      </c>
    </row>
    <row r="18" spans="1:3" ht="32.1" customHeight="1" x14ac:dyDescent="0.25">
      <c r="A18" s="99" t="s">
        <v>471</v>
      </c>
      <c r="B18" s="99"/>
      <c r="C18" s="99"/>
    </row>
    <row r="19" spans="1:3" x14ac:dyDescent="0.25">
      <c r="A19" s="98" t="s">
        <v>472</v>
      </c>
      <c r="B19" s="96">
        <f>Аутсорс!E11</f>
        <v>5393100</v>
      </c>
      <c r="C19" s="96"/>
    </row>
    <row r="20" spans="1:3" x14ac:dyDescent="0.25">
      <c r="A20" s="98" t="s">
        <v>473</v>
      </c>
      <c r="B20" s="96">
        <f>Аутсорс!F11</f>
        <v>539310</v>
      </c>
      <c r="C20" s="96"/>
    </row>
    <row r="21" spans="1:3" x14ac:dyDescent="0.25">
      <c r="A21" s="100" t="s">
        <v>465</v>
      </c>
      <c r="B21" s="101">
        <f>Аутсорс!F11*2</f>
        <v>1078620</v>
      </c>
      <c r="C21" s="101"/>
    </row>
    <row r="22" spans="1:3" x14ac:dyDescent="0.25">
      <c r="A22" s="100" t="s">
        <v>466</v>
      </c>
      <c r="B22" s="101">
        <f>B21*(1+НДС)</f>
        <v>1251199.2</v>
      </c>
      <c r="C22" s="101"/>
    </row>
    <row r="23" spans="1:3" x14ac:dyDescent="0.25">
      <c r="A23" s="98" t="s">
        <v>474</v>
      </c>
      <c r="B23" s="96">
        <f>Аутсорс!L11</f>
        <v>13763192</v>
      </c>
      <c r="C23" s="96"/>
    </row>
    <row r="25" spans="1:3" x14ac:dyDescent="0.25">
      <c r="A25" t="s">
        <v>475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zoomScaleNormal="100" workbookViewId="0">
      <selection activeCell="C18" sqref="C18"/>
    </sheetView>
  </sheetViews>
  <sheetFormatPr defaultColWidth="8.7109375" defaultRowHeight="15" x14ac:dyDescent="0.25"/>
  <cols>
    <col min="1" max="1" width="60.7109375" customWidth="1"/>
    <col min="2" max="2" width="11.5703125" hidden="1" customWidth="1"/>
    <col min="3" max="7" width="12.7109375" customWidth="1"/>
  </cols>
  <sheetData>
    <row r="1" spans="1:7" ht="15.75" customHeight="1" x14ac:dyDescent="0.3">
      <c r="A1" s="1" t="s">
        <v>284</v>
      </c>
    </row>
    <row r="2" spans="1:7" ht="15" customHeight="1" x14ac:dyDescent="0.25">
      <c r="A2" s="2" t="s">
        <v>560</v>
      </c>
    </row>
    <row r="4" spans="1:7" ht="57.75" customHeight="1" x14ac:dyDescent="0.25">
      <c r="A4" s="3" t="s">
        <v>85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350</v>
      </c>
      <c r="G4" s="3" t="s">
        <v>90</v>
      </c>
    </row>
    <row r="5" spans="1:7" ht="15" customHeight="1" x14ac:dyDescent="0.25">
      <c r="A5" s="4" t="str">
        <f>Штат!C5</f>
        <v>Главный исполнительный директор (ГИД)</v>
      </c>
      <c r="C5">
        <f>Штат!G5</f>
        <v>1</v>
      </c>
      <c r="D5" s="9">
        <v>4</v>
      </c>
      <c r="E5" s="9">
        <v>0</v>
      </c>
      <c r="F5" s="15">
        <f>MIN(2,Штат!L5)</f>
        <v>2</v>
      </c>
      <c r="G5" s="5">
        <f t="shared" ref="G5:G11" si="0">C5*(D5/12*F5*Поездка_РК+E5*F5*Поездка_местн)</f>
        <v>127300</v>
      </c>
    </row>
    <row r="6" spans="1:7" ht="15" customHeight="1" x14ac:dyDescent="0.25">
      <c r="A6" s="4" t="str">
        <f>Штат!C6</f>
        <v>Советник ГИД по стратегии и науке</v>
      </c>
      <c r="C6">
        <f>Штат!G6</f>
        <v>1</v>
      </c>
      <c r="D6" s="9">
        <v>6</v>
      </c>
      <c r="E6" s="9">
        <v>0</v>
      </c>
      <c r="F6" s="15">
        <f>MIN(2,Штат!L6)</f>
        <v>2</v>
      </c>
      <c r="G6" s="5">
        <f t="shared" si="0"/>
        <v>190950</v>
      </c>
    </row>
    <row r="7" spans="1:7" ht="15" customHeight="1" x14ac:dyDescent="0.25">
      <c r="A7" s="4" t="str">
        <f>Штат!C8</f>
        <v>Руководитель проектного офиса «Таза Қазақстан»</v>
      </c>
      <c r="C7">
        <f>Штат!G8</f>
        <v>1</v>
      </c>
      <c r="D7" s="9">
        <v>10</v>
      </c>
      <c r="E7" s="9">
        <v>0</v>
      </c>
      <c r="F7" s="15">
        <f>MIN(2,Штат!L8)</f>
        <v>2</v>
      </c>
      <c r="G7" s="5">
        <f t="shared" si="0"/>
        <v>318250</v>
      </c>
    </row>
    <row r="8" spans="1:7" ht="27.75" customHeight="1" x14ac:dyDescent="0.25">
      <c r="A8" s="4" t="s">
        <v>343</v>
      </c>
      <c r="C8">
        <f>SUMIFS(Штат!$G$5:$G$36,Штат!$B$5:$B$36,"Департамент социологических*",Штат!$E$5:$E$36,"штат")</f>
        <v>3</v>
      </c>
      <c r="D8" s="9">
        <v>3</v>
      </c>
      <c r="E8" s="9">
        <v>3</v>
      </c>
      <c r="F8" s="15">
        <f>MIN(2,IF(C8&gt;0,SUMIFS(Штат!$L$5:$L$36,Штат!$B$5:$B$36,"Департамент социологических*",Штат!$E$5:$E$36,"штат")/C8,0))</f>
        <v>1.6666666666666667</v>
      </c>
      <c r="G8" s="5">
        <f t="shared" si="0"/>
        <v>593437.5</v>
      </c>
    </row>
    <row r="9" spans="1:7" ht="27.75" customHeight="1" x14ac:dyDescent="0.25">
      <c r="A9" s="4" t="s">
        <v>420</v>
      </c>
      <c r="C9">
        <f>SUMIFS(Штат!$G$5:$G$36,Штат!$B$5:$B$36,"Департамент проектного управления*",Штат!$E$5:$E$36,"штат")</f>
        <v>5</v>
      </c>
      <c r="D9" s="9">
        <v>6</v>
      </c>
      <c r="E9" s="9">
        <v>0</v>
      </c>
      <c r="F9" s="15">
        <f>MIN(2,IF(C9&gt;0,SUMIFS(Штат!$L$5:$L$36,Штат!$B$5:$B$36,"Департамент проектного управления*",Штат!$E$5:$E$36,"штат")/C9,0))</f>
        <v>2</v>
      </c>
      <c r="G9" s="5">
        <f t="shared" si="0"/>
        <v>954750</v>
      </c>
    </row>
    <row r="10" spans="1:7" ht="27.75" customHeight="1" x14ac:dyDescent="0.25">
      <c r="A10" s="4" t="s">
        <v>248</v>
      </c>
      <c r="C10">
        <f>SUM(Штат!G20:G21)</f>
        <v>1</v>
      </c>
      <c r="D10" s="9">
        <v>1</v>
      </c>
      <c r="E10" s="9">
        <v>0</v>
      </c>
      <c r="F10" s="15">
        <f>MIN(2,Штат!L20)</f>
        <v>2</v>
      </c>
      <c r="G10" s="5">
        <f t="shared" si="0"/>
        <v>31825</v>
      </c>
    </row>
    <row r="11" spans="1:7" ht="27.75" customHeight="1" x14ac:dyDescent="0.25">
      <c r="A11" s="4" t="s">
        <v>344</v>
      </c>
      <c r="C11">
        <f>SUM(Штат!G22:G29)</f>
        <v>5</v>
      </c>
      <c r="D11" s="9">
        <v>4</v>
      </c>
      <c r="E11" s="9">
        <v>4</v>
      </c>
      <c r="F11" s="15">
        <f>MIN(2,Штат!L22)</f>
        <v>2</v>
      </c>
      <c r="G11" s="5">
        <f t="shared" si="0"/>
        <v>1582500</v>
      </c>
    </row>
    <row r="12" spans="1:7" ht="15" customHeight="1" x14ac:dyDescent="0.25">
      <c r="A12" s="7" t="s">
        <v>91</v>
      </c>
      <c r="B12" s="7"/>
      <c r="C12" s="7"/>
      <c r="D12" s="7"/>
      <c r="E12" s="7"/>
      <c r="F12" s="7"/>
      <c r="G12" s="6">
        <f>SUM(G5:G11)</f>
        <v>3799012.5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7"/>
  <sheetViews>
    <sheetView topLeftCell="I1" zoomScaleNormal="100" workbookViewId="0">
      <selection activeCell="J5" sqref="J5:L77"/>
    </sheetView>
  </sheetViews>
  <sheetFormatPr defaultColWidth="8.7109375" defaultRowHeight="15" x14ac:dyDescent="0.25"/>
  <cols>
    <col min="1" max="1" width="12.7109375" customWidth="1"/>
    <col min="2" max="2" width="66.7109375" customWidth="1"/>
    <col min="4" max="4" width="10.7109375" customWidth="1"/>
    <col min="5" max="5" width="13.7109375" customWidth="1"/>
    <col min="6" max="7" width="10.7109375" customWidth="1"/>
    <col min="8" max="8" width="55.7109375" hidden="1" customWidth="1"/>
    <col min="9" max="9" width="14.7109375" customWidth="1"/>
    <col min="10" max="13" width="13.7109375" customWidth="1"/>
  </cols>
  <sheetData>
    <row r="1" spans="1:13" ht="15.75" customHeight="1" x14ac:dyDescent="0.3">
      <c r="A1" s="1" t="s">
        <v>540</v>
      </c>
    </row>
    <row r="2" spans="1:13" ht="15" customHeight="1" x14ac:dyDescent="0.25">
      <c r="A2" s="2" t="s">
        <v>293</v>
      </c>
    </row>
    <row r="4" spans="1:13" ht="31.5" customHeight="1" x14ac:dyDescent="0.25">
      <c r="A4" s="3" t="s">
        <v>92</v>
      </c>
      <c r="B4" s="3" t="s">
        <v>0</v>
      </c>
      <c r="C4" s="3" t="s">
        <v>93</v>
      </c>
      <c r="D4" s="3" t="s">
        <v>71</v>
      </c>
      <c r="E4" s="3" t="s">
        <v>94</v>
      </c>
      <c r="F4" s="3" t="s">
        <v>95</v>
      </c>
      <c r="G4" s="3" t="s">
        <v>294</v>
      </c>
      <c r="H4" s="3"/>
      <c r="I4" s="3" t="s">
        <v>90</v>
      </c>
      <c r="J4" s="3" t="s">
        <v>490</v>
      </c>
      <c r="K4" s="3" t="s">
        <v>491</v>
      </c>
      <c r="L4" s="3" t="s">
        <v>492</v>
      </c>
      <c r="M4" s="3" t="s">
        <v>493</v>
      </c>
    </row>
    <row r="5" spans="1:13" ht="27.75" customHeight="1" x14ac:dyDescent="0.25">
      <c r="A5" t="s">
        <v>97</v>
      </c>
      <c r="B5" s="4" t="s">
        <v>98</v>
      </c>
      <c r="C5" t="s">
        <v>99</v>
      </c>
      <c r="D5" s="9">
        <v>4</v>
      </c>
      <c r="E5" s="10">
        <v>450000</v>
      </c>
      <c r="F5" s="9" t="s">
        <v>100</v>
      </c>
      <c r="G5" s="9">
        <v>1</v>
      </c>
      <c r="H5" s="4"/>
      <c r="I5" s="5">
        <f t="shared" ref="I5:I57" si="0">IF(F5="разово",IF(G5&lt;=3,D5*E5,0),IF(F5="мес",D5*E5*MAX(0,4-G5),D5*E5*MAX(0,4-G5)/12))</f>
        <v>1800000</v>
      </c>
      <c r="J5" s="5">
        <f t="shared" ref="J5:J36" si="1">IF($F5="разово",IF($M5=12,0,$I5),IF($F5="мес",$D5*$E5*(($G5&lt;=1)+($G5&lt;=2)),IF($F5="год",$D5*$E5/12*(($G5&lt;=1)+($G5&lt;=2)),$I5/2)))</f>
        <v>1800000</v>
      </c>
      <c r="K5" s="5">
        <f t="shared" ref="K5:K36" si="2">IF($F5="разово",IF($M5=12,$I5,0),IF($F5="мес",$D5*$E5*($G5&lt;=3),IF($F5="год",$D5*$E5/12*($G5&lt;=3),$I5/2)))</f>
        <v>0</v>
      </c>
      <c r="L5" s="5">
        <f t="shared" ref="L5:L36" si="3">IF($F5="разово",0,IF($F5="мес",$D5*$E5*($G5&lt;=3),IF($F5="год",$D5*$E5/12*($G5&lt;=3),$I5/2)))</f>
        <v>0</v>
      </c>
      <c r="M5" s="89">
        <v>11</v>
      </c>
    </row>
    <row r="6" spans="1:13" ht="27.75" customHeight="1" x14ac:dyDescent="0.25">
      <c r="A6" t="s">
        <v>97</v>
      </c>
      <c r="B6" s="4" t="s">
        <v>101</v>
      </c>
      <c r="C6" t="s">
        <v>99</v>
      </c>
      <c r="D6" s="9">
        <v>1</v>
      </c>
      <c r="E6" s="10">
        <v>900000</v>
      </c>
      <c r="F6" s="9" t="s">
        <v>100</v>
      </c>
      <c r="G6" s="9">
        <v>1</v>
      </c>
      <c r="H6" s="4"/>
      <c r="I6" s="5">
        <f t="shared" si="0"/>
        <v>900000</v>
      </c>
      <c r="J6" s="5">
        <f t="shared" si="1"/>
        <v>900000</v>
      </c>
      <c r="K6" s="5">
        <f t="shared" si="2"/>
        <v>0</v>
      </c>
      <c r="L6" s="5">
        <f t="shared" si="3"/>
        <v>0</v>
      </c>
      <c r="M6" s="89">
        <v>11</v>
      </c>
    </row>
    <row r="7" spans="1:13" ht="15" customHeight="1" x14ac:dyDescent="0.25">
      <c r="A7" t="s">
        <v>97</v>
      </c>
      <c r="B7" s="4" t="s">
        <v>102</v>
      </c>
      <c r="C7" t="s">
        <v>103</v>
      </c>
      <c r="D7" s="9">
        <v>5</v>
      </c>
      <c r="E7" s="10">
        <v>100000</v>
      </c>
      <c r="F7" s="9" t="s">
        <v>100</v>
      </c>
      <c r="G7" s="9">
        <v>1</v>
      </c>
      <c r="H7" s="4"/>
      <c r="I7" s="5">
        <f t="shared" si="0"/>
        <v>500000</v>
      </c>
      <c r="J7" s="5">
        <f t="shared" si="1"/>
        <v>500000</v>
      </c>
      <c r="K7" s="5">
        <f t="shared" si="2"/>
        <v>0</v>
      </c>
      <c r="L7" s="5">
        <f t="shared" si="3"/>
        <v>0</v>
      </c>
      <c r="M7" s="89">
        <v>11</v>
      </c>
    </row>
    <row r="8" spans="1:13" ht="27.75" customHeight="1" x14ac:dyDescent="0.25">
      <c r="A8" t="s">
        <v>97</v>
      </c>
      <c r="B8" s="4" t="s">
        <v>422</v>
      </c>
      <c r="C8" t="s">
        <v>99</v>
      </c>
      <c r="D8" s="9">
        <v>20</v>
      </c>
      <c r="E8" s="10">
        <f>ROUND(80861/(1+НДС),0)</f>
        <v>69708</v>
      </c>
      <c r="F8" s="9" t="s">
        <v>100</v>
      </c>
      <c r="G8" s="9">
        <v>1</v>
      </c>
      <c r="H8" s="4"/>
      <c r="I8" s="5">
        <f t="shared" si="0"/>
        <v>1394160</v>
      </c>
      <c r="J8" s="5">
        <f t="shared" si="1"/>
        <v>1394160</v>
      </c>
      <c r="K8" s="5">
        <f t="shared" si="2"/>
        <v>0</v>
      </c>
      <c r="L8" s="5">
        <f t="shared" si="3"/>
        <v>0</v>
      </c>
      <c r="M8" s="89">
        <v>11</v>
      </c>
    </row>
    <row r="9" spans="1:13" s="80" customFormat="1" ht="27.75" customHeight="1" x14ac:dyDescent="0.25">
      <c r="A9" s="80" t="s">
        <v>97</v>
      </c>
      <c r="B9" s="4" t="s">
        <v>423</v>
      </c>
      <c r="C9" s="80" t="s">
        <v>99</v>
      </c>
      <c r="D9" s="9">
        <v>26</v>
      </c>
      <c r="E9" s="10">
        <f>ROUND(17110/(1+НДС),0)</f>
        <v>14750</v>
      </c>
      <c r="F9" s="9" t="s">
        <v>100</v>
      </c>
      <c r="G9" s="9">
        <v>1</v>
      </c>
      <c r="H9" s="4"/>
      <c r="I9" s="5">
        <f t="shared" ref="I9" si="4">IF(F9="разово",IF(G9&lt;=3,D9*E9,0),IF(F9="мес",D9*E9*MAX(0,4-G9),D9*E9*MAX(0,4-G9)/12))</f>
        <v>383500</v>
      </c>
      <c r="J9" s="5">
        <f t="shared" si="1"/>
        <v>383500</v>
      </c>
      <c r="K9" s="5">
        <f t="shared" si="2"/>
        <v>0</v>
      </c>
      <c r="L9" s="5">
        <f t="shared" si="3"/>
        <v>0</v>
      </c>
      <c r="M9" s="89">
        <v>11</v>
      </c>
    </row>
    <row r="10" spans="1:13" s="81" customFormat="1" ht="27.75" customHeight="1" x14ac:dyDescent="0.25">
      <c r="A10" s="81" t="s">
        <v>97</v>
      </c>
      <c r="B10" s="4" t="s">
        <v>424</v>
      </c>
      <c r="C10" s="81" t="s">
        <v>99</v>
      </c>
      <c r="D10" s="9">
        <v>4</v>
      </c>
      <c r="E10" s="10">
        <f>ROUND(70900/(1+НДС),0)</f>
        <v>61121</v>
      </c>
      <c r="F10" s="9" t="s">
        <v>100</v>
      </c>
      <c r="G10" s="9">
        <v>1</v>
      </c>
      <c r="H10" s="4"/>
      <c r="I10" s="5">
        <f t="shared" ref="I10" si="5">IF(F10="разово",IF(G10&lt;=3,D10*E10,0),IF(F10="мес",D10*E10*MAX(0,4-G10),D10*E10*MAX(0,4-G10)/12))</f>
        <v>244484</v>
      </c>
      <c r="J10" s="5">
        <f t="shared" si="1"/>
        <v>244484</v>
      </c>
      <c r="K10" s="5">
        <f t="shared" si="2"/>
        <v>0</v>
      </c>
      <c r="L10" s="5">
        <f t="shared" si="3"/>
        <v>0</v>
      </c>
      <c r="M10" s="89">
        <v>11</v>
      </c>
    </row>
    <row r="11" spans="1:13" s="82" customFormat="1" ht="27.75" customHeight="1" x14ac:dyDescent="0.25">
      <c r="A11" s="82" t="s">
        <v>97</v>
      </c>
      <c r="B11" s="4" t="s">
        <v>425</v>
      </c>
      <c r="C11" s="82" t="s">
        <v>99</v>
      </c>
      <c r="D11" s="9">
        <v>1</v>
      </c>
      <c r="E11" s="10">
        <f>ROUND(114460/(1+НДС),0)</f>
        <v>98672</v>
      </c>
      <c r="F11" s="9" t="s">
        <v>100</v>
      </c>
      <c r="G11" s="9">
        <v>1</v>
      </c>
      <c r="H11" s="4"/>
      <c r="I11" s="5">
        <f t="shared" ref="I11" si="6">IF(F11="разово",IF(G11&lt;=3,D11*E11,0),IF(F11="мес",D11*E11*MAX(0,4-G11),D11*E11*MAX(0,4-G11)/12))</f>
        <v>98672</v>
      </c>
      <c r="J11" s="5">
        <f t="shared" si="1"/>
        <v>98672</v>
      </c>
      <c r="K11" s="5">
        <f t="shared" si="2"/>
        <v>0</v>
      </c>
      <c r="L11" s="5">
        <f t="shared" si="3"/>
        <v>0</v>
      </c>
      <c r="M11" s="89">
        <v>11</v>
      </c>
    </row>
    <row r="12" spans="1:13" ht="15" customHeight="1" x14ac:dyDescent="0.25">
      <c r="A12" t="s">
        <v>97</v>
      </c>
      <c r="B12" s="4" t="s">
        <v>426</v>
      </c>
      <c r="C12" t="s">
        <v>99</v>
      </c>
      <c r="D12" s="9">
        <v>0</v>
      </c>
      <c r="E12" s="10">
        <f>ROUND(67576/(1+НДС),0)</f>
        <v>58255</v>
      </c>
      <c r="F12" s="9" t="s">
        <v>100</v>
      </c>
      <c r="G12" s="9">
        <v>1</v>
      </c>
      <c r="H12" s="4"/>
      <c r="I12" s="5">
        <f t="shared" si="0"/>
        <v>0</v>
      </c>
      <c r="J12" s="5">
        <f t="shared" si="1"/>
        <v>0</v>
      </c>
      <c r="K12" s="5">
        <f t="shared" si="2"/>
        <v>0</v>
      </c>
      <c r="L12" s="5">
        <f t="shared" si="3"/>
        <v>0</v>
      </c>
      <c r="M12" s="89">
        <v>11</v>
      </c>
    </row>
    <row r="13" spans="1:13" s="83" customFormat="1" ht="15" customHeight="1" x14ac:dyDescent="0.25">
      <c r="A13" s="84" t="s">
        <v>97</v>
      </c>
      <c r="B13" s="4" t="s">
        <v>479</v>
      </c>
      <c r="C13" s="84" t="s">
        <v>99</v>
      </c>
      <c r="D13" s="9">
        <v>1</v>
      </c>
      <c r="E13" s="10">
        <f>ROUND(45900/(1+НДС),0)</f>
        <v>39569</v>
      </c>
      <c r="F13" s="9" t="s">
        <v>100</v>
      </c>
      <c r="G13" s="9">
        <v>1</v>
      </c>
      <c r="H13" s="4"/>
      <c r="I13" s="5">
        <f>IF(F13="разово",IF(G13&lt;=3,D13*E13,0),IF(F13="мес",D13*E13*MAX(0,4-G13),D13*E13*MAX(0,4-G13)/12))</f>
        <v>39569</v>
      </c>
      <c r="J13" s="5">
        <f t="shared" si="1"/>
        <v>39569</v>
      </c>
      <c r="K13" s="5">
        <f t="shared" si="2"/>
        <v>0</v>
      </c>
      <c r="L13" s="5">
        <f t="shared" si="3"/>
        <v>0</v>
      </c>
      <c r="M13" s="89">
        <v>11</v>
      </c>
    </row>
    <row r="14" spans="1:13" s="83" customFormat="1" ht="15" customHeight="1" x14ac:dyDescent="0.25">
      <c r="A14" s="84" t="s">
        <v>97</v>
      </c>
      <c r="B14" s="4" t="s">
        <v>441</v>
      </c>
      <c r="C14" s="84" t="s">
        <v>99</v>
      </c>
      <c r="D14" s="9">
        <v>0</v>
      </c>
      <c r="E14" s="10">
        <f>ROUND(23645/(1+НДС),0)</f>
        <v>20384</v>
      </c>
      <c r="F14" s="9" t="s">
        <v>100</v>
      </c>
      <c r="G14" s="9">
        <v>1</v>
      </c>
      <c r="H14" s="4"/>
      <c r="I14" s="5">
        <f>IF(F14="разово",IF(G14&lt;=3,D14*E14,0),IF(F14="мес",D14*E14*MAX(0,4-G14),D14*E14*MAX(0,4-G14)/12))</f>
        <v>0</v>
      </c>
      <c r="J14" s="5">
        <f t="shared" si="1"/>
        <v>0</v>
      </c>
      <c r="K14" s="5">
        <f t="shared" si="2"/>
        <v>0</v>
      </c>
      <c r="L14" s="5">
        <f t="shared" si="3"/>
        <v>0</v>
      </c>
      <c r="M14" s="89">
        <v>11</v>
      </c>
    </row>
    <row r="15" spans="1:13" s="83" customFormat="1" ht="15" customHeight="1" x14ac:dyDescent="0.25">
      <c r="A15" s="83" t="s">
        <v>97</v>
      </c>
      <c r="B15" s="4" t="s">
        <v>442</v>
      </c>
      <c r="C15" s="83" t="s">
        <v>99</v>
      </c>
      <c r="D15" s="9">
        <v>0</v>
      </c>
      <c r="E15" s="10">
        <f>ROUND(55451/(1+НДС),0)</f>
        <v>47803</v>
      </c>
      <c r="F15" s="9" t="s">
        <v>100</v>
      </c>
      <c r="G15" s="9">
        <v>1</v>
      </c>
      <c r="H15" s="4"/>
      <c r="I15" s="5">
        <f t="shared" ref="I15" si="7">IF(F15="разово",IF(G15&lt;=3,D15*E15,0),IF(F15="мес",D15*E15*MAX(0,4-G15),D15*E15*MAX(0,4-G15)/12))</f>
        <v>0</v>
      </c>
      <c r="J15" s="5">
        <f t="shared" si="1"/>
        <v>0</v>
      </c>
      <c r="K15" s="5">
        <f t="shared" si="2"/>
        <v>0</v>
      </c>
      <c r="L15" s="5">
        <f t="shared" si="3"/>
        <v>0</v>
      </c>
      <c r="M15" s="89">
        <v>11</v>
      </c>
    </row>
    <row r="16" spans="1:13" s="92" customFormat="1" ht="15" customHeight="1" x14ac:dyDescent="0.25">
      <c r="A16" s="92" t="s">
        <v>97</v>
      </c>
      <c r="B16" s="4" t="s">
        <v>445</v>
      </c>
      <c r="C16" s="92" t="s">
        <v>99</v>
      </c>
      <c r="D16" s="9">
        <v>5</v>
      </c>
      <c r="E16" s="10">
        <f>ROUND(8950/(1+НДС),0)</f>
        <v>7716</v>
      </c>
      <c r="F16" s="9" t="s">
        <v>100</v>
      </c>
      <c r="G16" s="9">
        <v>1</v>
      </c>
      <c r="H16" s="4"/>
      <c r="I16" s="5">
        <f t="shared" ref="I16:I21" si="8">IF(F16="разово",IF(G16&lt;=3,D16*E16,0),IF(F16="мес",D16*E16*MAX(0,4-G16),D16*E16*MAX(0,4-G16)/12))</f>
        <v>38580</v>
      </c>
      <c r="J16" s="5">
        <f t="shared" si="1"/>
        <v>38580</v>
      </c>
      <c r="K16" s="5">
        <f t="shared" si="2"/>
        <v>0</v>
      </c>
      <c r="L16" s="5">
        <f t="shared" si="3"/>
        <v>0</v>
      </c>
      <c r="M16" s="89">
        <v>11</v>
      </c>
    </row>
    <row r="17" spans="1:13" s="87" customFormat="1" ht="15" customHeight="1" x14ac:dyDescent="0.25">
      <c r="A17" s="87" t="s">
        <v>97</v>
      </c>
      <c r="B17" s="4" t="s">
        <v>444</v>
      </c>
      <c r="C17" s="87" t="s">
        <v>103</v>
      </c>
      <c r="D17" s="9">
        <v>2</v>
      </c>
      <c r="E17" s="10">
        <f>ROUND(249999/(1+НДС),0)</f>
        <v>215516</v>
      </c>
      <c r="F17" s="9" t="s">
        <v>100</v>
      </c>
      <c r="G17" s="9">
        <v>1</v>
      </c>
      <c r="H17" s="4"/>
      <c r="I17" s="5">
        <f t="shared" si="8"/>
        <v>431032</v>
      </c>
      <c r="J17" s="5">
        <f t="shared" si="1"/>
        <v>431032</v>
      </c>
      <c r="K17" s="5">
        <f t="shared" si="2"/>
        <v>0</v>
      </c>
      <c r="L17" s="5">
        <f t="shared" si="3"/>
        <v>0</v>
      </c>
      <c r="M17" s="89">
        <v>11</v>
      </c>
    </row>
    <row r="18" spans="1:13" s="91" customFormat="1" ht="15" customHeight="1" x14ac:dyDescent="0.25">
      <c r="A18" s="91" t="s">
        <v>97</v>
      </c>
      <c r="B18" s="4" t="s">
        <v>478</v>
      </c>
      <c r="C18" s="91" t="s">
        <v>103</v>
      </c>
      <c r="D18" s="9">
        <v>2</v>
      </c>
      <c r="E18" s="10">
        <f>ROUND(265000/(1+НДС),0)</f>
        <v>228448</v>
      </c>
      <c r="F18" s="9" t="s">
        <v>100</v>
      </c>
      <c r="G18" s="9">
        <v>1</v>
      </c>
      <c r="H18" s="4"/>
      <c r="I18" s="5">
        <f t="shared" si="8"/>
        <v>456896</v>
      </c>
      <c r="J18" s="5">
        <f t="shared" si="1"/>
        <v>456896</v>
      </c>
      <c r="K18" s="5">
        <f t="shared" si="2"/>
        <v>0</v>
      </c>
      <c r="L18" s="5">
        <f t="shared" si="3"/>
        <v>0</v>
      </c>
      <c r="M18" s="89">
        <v>11</v>
      </c>
    </row>
    <row r="19" spans="1:13" s="85" customFormat="1" ht="15" customHeight="1" x14ac:dyDescent="0.25">
      <c r="A19" s="85" t="s">
        <v>97</v>
      </c>
      <c r="B19" s="4" t="s">
        <v>427</v>
      </c>
      <c r="C19" s="85" t="s">
        <v>99</v>
      </c>
      <c r="D19" s="9">
        <v>3</v>
      </c>
      <c r="E19" s="10">
        <f>ROUND(26905/(1+НДС),0)</f>
        <v>23194</v>
      </c>
      <c r="F19" s="9" t="s">
        <v>100</v>
      </c>
      <c r="G19" s="9">
        <v>1</v>
      </c>
      <c r="H19" s="4"/>
      <c r="I19" s="5">
        <f t="shared" si="8"/>
        <v>69582</v>
      </c>
      <c r="J19" s="5">
        <f t="shared" si="1"/>
        <v>69582</v>
      </c>
      <c r="K19" s="5">
        <f t="shared" si="2"/>
        <v>0</v>
      </c>
      <c r="L19" s="5">
        <f t="shared" si="3"/>
        <v>0</v>
      </c>
      <c r="M19" s="89">
        <v>11</v>
      </c>
    </row>
    <row r="20" spans="1:13" s="86" customFormat="1" ht="15" customHeight="1" x14ac:dyDescent="0.25">
      <c r="A20" s="86" t="s">
        <v>97</v>
      </c>
      <c r="B20" s="4" t="s">
        <v>428</v>
      </c>
      <c r="C20" s="86" t="s">
        <v>103</v>
      </c>
      <c r="D20" s="9">
        <v>1</v>
      </c>
      <c r="E20" s="10">
        <f>ROUND(118860/(1+НДС),0)</f>
        <v>102466</v>
      </c>
      <c r="F20" s="9" t="s">
        <v>100</v>
      </c>
      <c r="G20" s="9">
        <v>1</v>
      </c>
      <c r="H20" s="4"/>
      <c r="I20" s="5">
        <f t="shared" si="8"/>
        <v>102466</v>
      </c>
      <c r="J20" s="5">
        <f t="shared" si="1"/>
        <v>102466</v>
      </c>
      <c r="K20" s="5">
        <f t="shared" si="2"/>
        <v>0</v>
      </c>
      <c r="L20" s="5">
        <f t="shared" si="3"/>
        <v>0</v>
      </c>
      <c r="M20" s="89">
        <v>11</v>
      </c>
    </row>
    <row r="21" spans="1:13" s="86" customFormat="1" ht="15" customHeight="1" x14ac:dyDescent="0.25">
      <c r="A21" s="86" t="s">
        <v>97</v>
      </c>
      <c r="B21" s="4" t="s">
        <v>429</v>
      </c>
      <c r="C21" s="86" t="s">
        <v>103</v>
      </c>
      <c r="D21" s="9">
        <v>1</v>
      </c>
      <c r="E21" s="10">
        <f>ROUND(36990/(1+НДС),0)</f>
        <v>31888</v>
      </c>
      <c r="F21" s="9" t="s">
        <v>100</v>
      </c>
      <c r="G21" s="9">
        <v>1</v>
      </c>
      <c r="H21" s="4"/>
      <c r="I21" s="5">
        <f t="shared" si="8"/>
        <v>31888</v>
      </c>
      <c r="J21" s="5">
        <f t="shared" si="1"/>
        <v>31888</v>
      </c>
      <c r="K21" s="5">
        <f t="shared" si="2"/>
        <v>0</v>
      </c>
      <c r="L21" s="5">
        <f t="shared" si="3"/>
        <v>0</v>
      </c>
      <c r="M21" s="89">
        <v>11</v>
      </c>
    </row>
    <row r="22" spans="1:13" ht="15" customHeight="1" x14ac:dyDescent="0.25">
      <c r="A22" t="s">
        <v>97</v>
      </c>
      <c r="B22" s="4" t="s">
        <v>104</v>
      </c>
      <c r="C22" t="s">
        <v>103</v>
      </c>
      <c r="D22" s="9">
        <v>0</v>
      </c>
      <c r="E22" s="10">
        <v>800000</v>
      </c>
      <c r="F22" s="9" t="s">
        <v>100</v>
      </c>
      <c r="G22" s="9">
        <v>1</v>
      </c>
      <c r="H22" s="4"/>
      <c r="I22" s="5">
        <f t="shared" si="0"/>
        <v>0</v>
      </c>
      <c r="J22" s="5">
        <f t="shared" si="1"/>
        <v>0</v>
      </c>
      <c r="K22" s="5">
        <f t="shared" si="2"/>
        <v>0</v>
      </c>
      <c r="L22" s="5">
        <f t="shared" si="3"/>
        <v>0</v>
      </c>
      <c r="M22" s="89">
        <v>11</v>
      </c>
    </row>
    <row r="23" spans="1:13" ht="15" customHeight="1" x14ac:dyDescent="0.25">
      <c r="A23" t="s">
        <v>97</v>
      </c>
      <c r="B23" s="4" t="s">
        <v>309</v>
      </c>
      <c r="C23" t="s">
        <v>103</v>
      </c>
      <c r="D23" s="9">
        <v>0</v>
      </c>
      <c r="E23" s="10">
        <v>250000</v>
      </c>
      <c r="F23" s="9" t="s">
        <v>100</v>
      </c>
      <c r="G23" s="9">
        <v>1</v>
      </c>
      <c r="H23" s="4"/>
      <c r="I23" s="5">
        <f t="shared" si="0"/>
        <v>0</v>
      </c>
      <c r="J23" s="5">
        <f t="shared" si="1"/>
        <v>0</v>
      </c>
      <c r="K23" s="5">
        <f t="shared" si="2"/>
        <v>0</v>
      </c>
      <c r="L23" s="5">
        <f t="shared" si="3"/>
        <v>0</v>
      </c>
      <c r="M23" s="89">
        <v>11</v>
      </c>
    </row>
    <row r="24" spans="1:13" ht="15" customHeight="1" x14ac:dyDescent="0.25">
      <c r="A24" t="s">
        <v>97</v>
      </c>
      <c r="B24" s="4" t="s">
        <v>421</v>
      </c>
      <c r="C24" t="s">
        <v>103</v>
      </c>
      <c r="D24" s="9">
        <v>0</v>
      </c>
      <c r="E24" s="10">
        <v>100000</v>
      </c>
      <c r="F24" s="9" t="s">
        <v>100</v>
      </c>
      <c r="G24" s="9">
        <v>1</v>
      </c>
      <c r="H24" s="4"/>
      <c r="I24" s="5">
        <f t="shared" si="0"/>
        <v>0</v>
      </c>
      <c r="J24" s="5">
        <f t="shared" si="1"/>
        <v>0</v>
      </c>
      <c r="K24" s="5">
        <f t="shared" si="2"/>
        <v>0</v>
      </c>
      <c r="L24" s="5">
        <f t="shared" si="3"/>
        <v>0</v>
      </c>
      <c r="M24" s="89">
        <v>11</v>
      </c>
    </row>
    <row r="25" spans="1:13" ht="15" customHeight="1" x14ac:dyDescent="0.25">
      <c r="A25" t="s">
        <v>97</v>
      </c>
      <c r="B25" s="4" t="s">
        <v>205</v>
      </c>
      <c r="C25" t="s">
        <v>99</v>
      </c>
      <c r="D25" s="9">
        <v>0</v>
      </c>
      <c r="E25" s="10">
        <v>60000</v>
      </c>
      <c r="F25" s="9" t="s">
        <v>100</v>
      </c>
      <c r="G25" s="9">
        <v>1</v>
      </c>
      <c r="H25" s="4"/>
      <c r="I25" s="5">
        <f t="shared" si="0"/>
        <v>0</v>
      </c>
      <c r="J25" s="5">
        <f t="shared" si="1"/>
        <v>0</v>
      </c>
      <c r="K25" s="5">
        <f t="shared" si="2"/>
        <v>0</v>
      </c>
      <c r="L25" s="5">
        <f t="shared" si="3"/>
        <v>0</v>
      </c>
      <c r="M25" s="89">
        <v>11</v>
      </c>
    </row>
    <row r="26" spans="1:13" ht="15" customHeight="1" x14ac:dyDescent="0.25">
      <c r="A26" t="s">
        <v>97</v>
      </c>
      <c r="B26" s="4" t="s">
        <v>203</v>
      </c>
      <c r="C26" t="s">
        <v>103</v>
      </c>
      <c r="D26" s="9">
        <v>1</v>
      </c>
      <c r="E26" s="10">
        <f>SUMPRODUCT(D8:D25,E8:E25)*Сборка_мебели_проц</f>
        <v>329082.90000000002</v>
      </c>
      <c r="F26" s="9" t="s">
        <v>100</v>
      </c>
      <c r="G26" s="9">
        <v>1</v>
      </c>
      <c r="H26" s="4"/>
      <c r="I26" s="5">
        <f t="shared" si="0"/>
        <v>329082.90000000002</v>
      </c>
      <c r="J26" s="5">
        <f t="shared" si="1"/>
        <v>329082.90000000002</v>
      </c>
      <c r="K26" s="5">
        <f t="shared" si="2"/>
        <v>0</v>
      </c>
      <c r="L26" s="5">
        <f t="shared" si="3"/>
        <v>0</v>
      </c>
      <c r="M26" s="89">
        <v>11</v>
      </c>
    </row>
    <row r="27" spans="1:13" s="86" customFormat="1" ht="15" customHeight="1" x14ac:dyDescent="0.25">
      <c r="A27" s="86" t="s">
        <v>97</v>
      </c>
      <c r="B27" s="4" t="s">
        <v>430</v>
      </c>
      <c r="C27" s="86" t="s">
        <v>103</v>
      </c>
      <c r="D27" s="9">
        <v>1</v>
      </c>
      <c r="E27" s="10">
        <f>ROUND(25000/(1+НДС),0)</f>
        <v>21552</v>
      </c>
      <c r="F27" s="9" t="s">
        <v>100</v>
      </c>
      <c r="G27" s="9">
        <v>1</v>
      </c>
      <c r="H27" s="4"/>
      <c r="I27" s="5">
        <f>IF(F27="разово",IF(G27&lt;=3,D27*E27,0),IF(F27="мес",D27*E27*MAX(0,4-G27),D27*E27*MAX(0,4-G27)/12))</f>
        <v>21552</v>
      </c>
      <c r="J27" s="5">
        <f t="shared" si="1"/>
        <v>21552</v>
      </c>
      <c r="K27" s="5">
        <f t="shared" si="2"/>
        <v>0</v>
      </c>
      <c r="L27" s="5">
        <f t="shared" si="3"/>
        <v>0</v>
      </c>
      <c r="M27" s="89">
        <v>11</v>
      </c>
    </row>
    <row r="28" spans="1:13" ht="27.75" customHeight="1" x14ac:dyDescent="0.25">
      <c r="A28" t="s">
        <v>97</v>
      </c>
      <c r="B28" s="4" t="s">
        <v>160</v>
      </c>
      <c r="C28" t="s">
        <v>99</v>
      </c>
      <c r="D28" s="9">
        <v>1</v>
      </c>
      <c r="E28" s="10">
        <v>2500000</v>
      </c>
      <c r="F28" s="9" t="s">
        <v>100</v>
      </c>
      <c r="G28" s="9">
        <v>1</v>
      </c>
      <c r="H28" s="4"/>
      <c r="I28" s="5">
        <f t="shared" si="0"/>
        <v>2500000</v>
      </c>
      <c r="J28" s="5">
        <f t="shared" si="1"/>
        <v>2500000</v>
      </c>
      <c r="K28" s="5">
        <f t="shared" si="2"/>
        <v>0</v>
      </c>
      <c r="L28" s="5">
        <f t="shared" si="3"/>
        <v>0</v>
      </c>
      <c r="M28" s="89">
        <v>11</v>
      </c>
    </row>
    <row r="29" spans="1:13" ht="15" customHeight="1" x14ac:dyDescent="0.25">
      <c r="A29" t="s">
        <v>97</v>
      </c>
      <c r="B29" s="4" t="s">
        <v>161</v>
      </c>
      <c r="C29" t="s">
        <v>103</v>
      </c>
      <c r="D29" s="9">
        <v>1</v>
      </c>
      <c r="E29" s="10">
        <v>300000</v>
      </c>
      <c r="F29" s="9" t="s">
        <v>100</v>
      </c>
      <c r="G29" s="9">
        <v>1</v>
      </c>
      <c r="H29" s="4"/>
      <c r="I29" s="5">
        <f t="shared" si="0"/>
        <v>300000</v>
      </c>
      <c r="J29" s="5">
        <f t="shared" si="1"/>
        <v>300000</v>
      </c>
      <c r="K29" s="5">
        <f t="shared" si="2"/>
        <v>0</v>
      </c>
      <c r="L29" s="5">
        <f t="shared" si="3"/>
        <v>0</v>
      </c>
      <c r="M29" s="89">
        <v>11</v>
      </c>
    </row>
    <row r="30" spans="1:13" ht="15" customHeight="1" x14ac:dyDescent="0.25">
      <c r="A30" t="s">
        <v>97</v>
      </c>
      <c r="B30" s="4" t="s">
        <v>162</v>
      </c>
      <c r="C30" t="s">
        <v>99</v>
      </c>
      <c r="D30" s="9">
        <v>2</v>
      </c>
      <c r="E30" s="10">
        <v>280000</v>
      </c>
      <c r="F30" s="9" t="s">
        <v>100</v>
      </c>
      <c r="G30" s="9">
        <v>1</v>
      </c>
      <c r="H30" s="4"/>
      <c r="I30" s="5">
        <f t="shared" si="0"/>
        <v>560000</v>
      </c>
      <c r="J30" s="5">
        <f t="shared" si="1"/>
        <v>560000</v>
      </c>
      <c r="K30" s="5">
        <f t="shared" si="2"/>
        <v>0</v>
      </c>
      <c r="L30" s="5">
        <f t="shared" si="3"/>
        <v>0</v>
      </c>
      <c r="M30" s="89">
        <v>11</v>
      </c>
    </row>
    <row r="31" spans="1:13" ht="15" customHeight="1" x14ac:dyDescent="0.25">
      <c r="A31" t="s">
        <v>97</v>
      </c>
      <c r="B31" s="4" t="s">
        <v>163</v>
      </c>
      <c r="C31" t="s">
        <v>99</v>
      </c>
      <c r="D31" s="9">
        <v>4</v>
      </c>
      <c r="E31" s="10">
        <v>55000</v>
      </c>
      <c r="F31" s="9" t="s">
        <v>100</v>
      </c>
      <c r="G31" s="9">
        <v>1</v>
      </c>
      <c r="H31" s="4"/>
      <c r="I31" s="5">
        <f t="shared" si="0"/>
        <v>220000</v>
      </c>
      <c r="J31" s="5">
        <f t="shared" si="1"/>
        <v>0</v>
      </c>
      <c r="K31" s="5">
        <f t="shared" si="2"/>
        <v>220000</v>
      </c>
      <c r="L31" s="5">
        <f t="shared" si="3"/>
        <v>0</v>
      </c>
      <c r="M31" s="89">
        <v>12</v>
      </c>
    </row>
    <row r="32" spans="1:13" ht="15" customHeight="1" x14ac:dyDescent="0.25">
      <c r="A32" t="s">
        <v>97</v>
      </c>
      <c r="B32" s="4" t="s">
        <v>164</v>
      </c>
      <c r="C32" t="s">
        <v>103</v>
      </c>
      <c r="D32" s="9">
        <v>1</v>
      </c>
      <c r="E32" s="10">
        <v>300000</v>
      </c>
      <c r="F32" s="9" t="s">
        <v>100</v>
      </c>
      <c r="G32" s="9">
        <v>1</v>
      </c>
      <c r="H32" s="4"/>
      <c r="I32" s="5">
        <f t="shared" si="0"/>
        <v>300000</v>
      </c>
      <c r="J32" s="5">
        <f t="shared" si="1"/>
        <v>0</v>
      </c>
      <c r="K32" s="5">
        <f t="shared" si="2"/>
        <v>300000</v>
      </c>
      <c r="L32" s="5">
        <f t="shared" si="3"/>
        <v>0</v>
      </c>
      <c r="M32" s="89">
        <v>12</v>
      </c>
    </row>
    <row r="33" spans="1:13" ht="15" customHeight="1" x14ac:dyDescent="0.25">
      <c r="A33" t="s">
        <v>97</v>
      </c>
      <c r="B33" s="4" t="s">
        <v>208</v>
      </c>
      <c r="C33" t="s">
        <v>99</v>
      </c>
      <c r="D33" s="9"/>
      <c r="E33" s="10">
        <f>ROUND(42340/(1+НДС),0)</f>
        <v>36500</v>
      </c>
      <c r="F33" s="9" t="s">
        <v>100</v>
      </c>
      <c r="G33" s="9">
        <v>1</v>
      </c>
      <c r="H33" s="4"/>
      <c r="I33" s="5">
        <f t="shared" si="0"/>
        <v>0</v>
      </c>
      <c r="J33" s="5">
        <f t="shared" si="1"/>
        <v>0</v>
      </c>
      <c r="K33" s="5">
        <f t="shared" si="2"/>
        <v>0</v>
      </c>
      <c r="L33" s="5">
        <f t="shared" si="3"/>
        <v>0</v>
      </c>
      <c r="M33" s="89">
        <v>11</v>
      </c>
    </row>
    <row r="34" spans="1:13" ht="15" customHeight="1" x14ac:dyDescent="0.25">
      <c r="A34" t="s">
        <v>97</v>
      </c>
      <c r="B34" s="4" t="s">
        <v>209</v>
      </c>
      <c r="C34" t="s">
        <v>210</v>
      </c>
      <c r="D34" s="9"/>
      <c r="E34" s="10">
        <f>ROUND(6000/(1+НДС),0)</f>
        <v>5172</v>
      </c>
      <c r="F34" s="9" t="s">
        <v>100</v>
      </c>
      <c r="G34" s="9">
        <v>1</v>
      </c>
      <c r="H34" s="4"/>
      <c r="I34" s="5">
        <f t="shared" si="0"/>
        <v>0</v>
      </c>
      <c r="J34" s="5">
        <f t="shared" si="1"/>
        <v>0</v>
      </c>
      <c r="K34" s="5">
        <f t="shared" si="2"/>
        <v>0</v>
      </c>
      <c r="L34" s="5">
        <f t="shared" si="3"/>
        <v>0</v>
      </c>
      <c r="M34" s="89">
        <v>11</v>
      </c>
    </row>
    <row r="35" spans="1:13" ht="15" customHeight="1" x14ac:dyDescent="0.25">
      <c r="A35" t="s">
        <v>97</v>
      </c>
      <c r="B35" s="4" t="s">
        <v>211</v>
      </c>
      <c r="C35" t="s">
        <v>99</v>
      </c>
      <c r="D35" s="9"/>
      <c r="E35" s="10">
        <f>ROUND(114327/(1+НДС),0)</f>
        <v>98558</v>
      </c>
      <c r="F35" s="9" t="s">
        <v>100</v>
      </c>
      <c r="G35" s="9">
        <v>1</v>
      </c>
      <c r="H35" s="4"/>
      <c r="I35" s="5">
        <f t="shared" si="0"/>
        <v>0</v>
      </c>
      <c r="J35" s="5">
        <f t="shared" si="1"/>
        <v>0</v>
      </c>
      <c r="K35" s="5">
        <f t="shared" si="2"/>
        <v>0</v>
      </c>
      <c r="L35" s="5">
        <f t="shared" si="3"/>
        <v>0</v>
      </c>
      <c r="M35" s="89">
        <v>11</v>
      </c>
    </row>
    <row r="36" spans="1:13" ht="15" customHeight="1" x14ac:dyDescent="0.25">
      <c r="A36" t="s">
        <v>97</v>
      </c>
      <c r="B36" s="4" t="s">
        <v>212</v>
      </c>
      <c r="C36" t="s">
        <v>103</v>
      </c>
      <c r="D36" s="9"/>
      <c r="E36" s="10">
        <f>ROUND((100*55+100*68+100*26+100*37+100*57+100*244)/(1+НДС),0)</f>
        <v>41983</v>
      </c>
      <c r="F36" s="9" t="s">
        <v>100</v>
      </c>
      <c r="G36" s="9">
        <v>1</v>
      </c>
      <c r="H36" s="4"/>
      <c r="I36" s="5">
        <f t="shared" si="0"/>
        <v>0</v>
      </c>
      <c r="J36" s="5">
        <f t="shared" si="1"/>
        <v>0</v>
      </c>
      <c r="K36" s="5">
        <f t="shared" si="2"/>
        <v>0</v>
      </c>
      <c r="L36" s="5">
        <f t="shared" si="3"/>
        <v>0</v>
      </c>
      <c r="M36" s="89">
        <v>11</v>
      </c>
    </row>
    <row r="37" spans="1:13" ht="15" customHeight="1" x14ac:dyDescent="0.25">
      <c r="A37" t="s">
        <v>97</v>
      </c>
      <c r="B37" s="4" t="s">
        <v>237</v>
      </c>
      <c r="C37" t="s">
        <v>99</v>
      </c>
      <c r="D37" s="9">
        <v>21</v>
      </c>
      <c r="E37" s="10">
        <f>ROUND(4118/(1+НДС),0)</f>
        <v>3550</v>
      </c>
      <c r="F37" s="9" t="s">
        <v>100</v>
      </c>
      <c r="G37" s="9">
        <v>1</v>
      </c>
      <c r="H37" s="4"/>
      <c r="I37" s="5">
        <f t="shared" si="0"/>
        <v>74550</v>
      </c>
      <c r="J37" s="5">
        <f t="shared" ref="J37:J57" si="9">IF($F37="разово",IF($M37=12,0,$I37),IF($F37="мес",$D37*$E37*(($G37&lt;=1)+($G37&lt;=2)),IF($F37="год",$D37*$E37/12*(($G37&lt;=1)+($G37&lt;=2)),$I37/2)))</f>
        <v>74550</v>
      </c>
      <c r="K37" s="5">
        <f t="shared" ref="K37:K68" si="10">IF($F37="разово",IF($M37=12,$I37,0),IF($F37="мес",$D37*$E37*($G37&lt;=3),IF($F37="год",$D37*$E37/12*($G37&lt;=3),$I37/2)))</f>
        <v>0</v>
      </c>
      <c r="L37" s="5">
        <f t="shared" ref="L37:L68" si="11">IF($F37="разово",0,IF($F37="мес",$D37*$E37*($G37&lt;=3),IF($F37="год",$D37*$E37/12*($G37&lt;=3),$I37/2)))</f>
        <v>0</v>
      </c>
      <c r="M37" s="89">
        <v>11</v>
      </c>
    </row>
    <row r="38" spans="1:13" ht="15" customHeight="1" x14ac:dyDescent="0.25">
      <c r="A38" t="s">
        <v>97</v>
      </c>
      <c r="B38" s="4" t="s">
        <v>236</v>
      </c>
      <c r="C38" t="s">
        <v>99</v>
      </c>
      <c r="D38" s="9">
        <v>3</v>
      </c>
      <c r="E38" s="10">
        <f>ROUND(6101/(1+НДС),0)</f>
        <v>5259</v>
      </c>
      <c r="F38" s="9" t="s">
        <v>100</v>
      </c>
      <c r="G38" s="9">
        <v>1</v>
      </c>
      <c r="H38" s="4"/>
      <c r="I38" s="5">
        <f t="shared" si="0"/>
        <v>15777</v>
      </c>
      <c r="J38" s="5">
        <f t="shared" si="9"/>
        <v>15777</v>
      </c>
      <c r="K38" s="5">
        <f t="shared" si="10"/>
        <v>0</v>
      </c>
      <c r="L38" s="5">
        <f t="shared" si="11"/>
        <v>0</v>
      </c>
      <c r="M38" s="89">
        <v>11</v>
      </c>
    </row>
    <row r="39" spans="1:13" ht="15" customHeight="1" x14ac:dyDescent="0.25">
      <c r="A39" t="s">
        <v>97</v>
      </c>
      <c r="B39" s="4" t="s">
        <v>238</v>
      </c>
      <c r="C39" t="s">
        <v>99</v>
      </c>
      <c r="D39" s="9">
        <v>4</v>
      </c>
      <c r="E39" s="10">
        <f>ROUND(7235/(1+НДС),0)</f>
        <v>6237</v>
      </c>
      <c r="F39" s="9" t="s">
        <v>100</v>
      </c>
      <c r="G39" s="9">
        <v>1</v>
      </c>
      <c r="H39" s="4"/>
      <c r="I39" s="5">
        <f t="shared" si="0"/>
        <v>24948</v>
      </c>
      <c r="J39" s="5">
        <f t="shared" si="9"/>
        <v>24948</v>
      </c>
      <c r="K39" s="5">
        <f t="shared" si="10"/>
        <v>0</v>
      </c>
      <c r="L39" s="5">
        <f t="shared" si="11"/>
        <v>0</v>
      </c>
      <c r="M39" s="89">
        <v>11</v>
      </c>
    </row>
    <row r="40" spans="1:13" ht="15" customHeight="1" x14ac:dyDescent="0.25">
      <c r="A40" t="s">
        <v>97</v>
      </c>
      <c r="B40" s="4" t="s">
        <v>239</v>
      </c>
      <c r="C40" t="s">
        <v>99</v>
      </c>
      <c r="D40" s="9">
        <v>10</v>
      </c>
      <c r="E40" s="10">
        <f>ROUND(9039/(1+НДС),0)</f>
        <v>7792</v>
      </c>
      <c r="F40" s="9" t="s">
        <v>100</v>
      </c>
      <c r="G40" s="9">
        <v>1</v>
      </c>
      <c r="H40" s="4"/>
      <c r="I40" s="5">
        <f t="shared" si="0"/>
        <v>77920</v>
      </c>
      <c r="J40" s="5">
        <f t="shared" si="9"/>
        <v>77920</v>
      </c>
      <c r="K40" s="5">
        <f t="shared" si="10"/>
        <v>0</v>
      </c>
      <c r="L40" s="5">
        <f t="shared" si="11"/>
        <v>0</v>
      </c>
      <c r="M40" s="89">
        <v>11</v>
      </c>
    </row>
    <row r="41" spans="1:13" ht="15" customHeight="1" x14ac:dyDescent="0.25">
      <c r="A41" t="s">
        <v>97</v>
      </c>
      <c r="B41" s="4" t="s">
        <v>280</v>
      </c>
      <c r="C41" t="s">
        <v>99</v>
      </c>
      <c r="D41" s="9">
        <v>10</v>
      </c>
      <c r="E41" s="10">
        <f>ROUND(89302/(1+НДС),0)</f>
        <v>76984</v>
      </c>
      <c r="F41" s="9" t="s">
        <v>100</v>
      </c>
      <c r="G41" s="9">
        <v>1</v>
      </c>
      <c r="H41" s="4"/>
      <c r="I41" s="5">
        <f t="shared" ref="I41" si="12">IF(F41="разово",IF(G41&lt;=3,D41*E41,0),IF(F41="мес",D41*E41*MAX(0,4-G41),D41*E41*MAX(0,4-G41)/12))</f>
        <v>769840</v>
      </c>
      <c r="J41" s="5">
        <f t="shared" si="9"/>
        <v>769840</v>
      </c>
      <c r="K41" s="5">
        <f t="shared" si="10"/>
        <v>0</v>
      </c>
      <c r="L41" s="5">
        <f t="shared" si="11"/>
        <v>0</v>
      </c>
      <c r="M41" s="89">
        <v>11</v>
      </c>
    </row>
    <row r="42" spans="1:13" s="105" customFormat="1" ht="15" customHeight="1" x14ac:dyDescent="0.25">
      <c r="A42" s="105" t="s">
        <v>97</v>
      </c>
      <c r="B42" s="4" t="s">
        <v>487</v>
      </c>
      <c r="C42" s="105" t="s">
        <v>99</v>
      </c>
      <c r="D42" s="9">
        <v>1</v>
      </c>
      <c r="E42" s="10">
        <f>ROUND(36238/(1+НДС),0)</f>
        <v>31240</v>
      </c>
      <c r="F42" s="9" t="s">
        <v>100</v>
      </c>
      <c r="G42" s="9">
        <v>1</v>
      </c>
      <c r="H42" s="4"/>
      <c r="I42" s="5">
        <f>IF(F42="разово",IF(G42&lt;=3,D42*E42,0),IF(F42="мес",D42*E42*MAX(0,4-G42),D42*E42*MAX(0,4-G42)/12))</f>
        <v>31240</v>
      </c>
      <c r="J42" s="5">
        <f t="shared" si="9"/>
        <v>31240</v>
      </c>
      <c r="K42" s="5">
        <f t="shared" si="10"/>
        <v>0</v>
      </c>
      <c r="L42" s="5">
        <f t="shared" si="11"/>
        <v>0</v>
      </c>
      <c r="M42" s="89">
        <v>11</v>
      </c>
    </row>
    <row r="43" spans="1:13" ht="15" customHeight="1" x14ac:dyDescent="0.25">
      <c r="A43" t="s">
        <v>97</v>
      </c>
      <c r="B43" s="4" t="s">
        <v>281</v>
      </c>
      <c r="C43" t="s">
        <v>99</v>
      </c>
      <c r="D43" s="9">
        <v>0</v>
      </c>
      <c r="E43" s="10">
        <f>ROUND(989997/(1+НДС),0)</f>
        <v>853446</v>
      </c>
      <c r="F43" s="9" t="s">
        <v>100</v>
      </c>
      <c r="G43" s="9">
        <v>1</v>
      </c>
      <c r="H43" s="4"/>
      <c r="I43" s="5">
        <f t="shared" si="0"/>
        <v>0</v>
      </c>
      <c r="J43" s="5">
        <f t="shared" si="9"/>
        <v>0</v>
      </c>
      <c r="K43" s="5">
        <f t="shared" si="10"/>
        <v>0</v>
      </c>
      <c r="L43" s="5">
        <f t="shared" si="11"/>
        <v>0</v>
      </c>
      <c r="M43" s="89">
        <v>11</v>
      </c>
    </row>
    <row r="44" spans="1:13" ht="15" customHeight="1" x14ac:dyDescent="0.25">
      <c r="A44" t="s">
        <v>97</v>
      </c>
      <c r="B44" s="4" t="s">
        <v>432</v>
      </c>
      <c r="C44" t="s">
        <v>99</v>
      </c>
      <c r="D44" s="9">
        <v>1</v>
      </c>
      <c r="E44" s="10">
        <f>ROUND(56990/(1+НДС),0)</f>
        <v>49129</v>
      </c>
      <c r="F44" s="9" t="s">
        <v>100</v>
      </c>
      <c r="G44" s="9">
        <v>1</v>
      </c>
      <c r="H44" s="4"/>
      <c r="I44" s="5">
        <f t="shared" si="0"/>
        <v>49129</v>
      </c>
      <c r="J44" s="5">
        <f t="shared" si="9"/>
        <v>49129</v>
      </c>
      <c r="K44" s="5">
        <f t="shared" si="10"/>
        <v>0</v>
      </c>
      <c r="L44" s="5">
        <f t="shared" si="11"/>
        <v>0</v>
      </c>
      <c r="M44" s="89">
        <v>11</v>
      </c>
    </row>
    <row r="45" spans="1:13" s="90" customFormat="1" ht="15" customHeight="1" x14ac:dyDescent="0.25">
      <c r="A45" s="90" t="s">
        <v>97</v>
      </c>
      <c r="B45" s="4" t="s">
        <v>443</v>
      </c>
      <c r="C45" s="90" t="s">
        <v>99</v>
      </c>
      <c r="D45" s="9">
        <v>1</v>
      </c>
      <c r="E45" s="10">
        <f>ROUND(111605/(1+НДС),0)</f>
        <v>96211</v>
      </c>
      <c r="F45" s="9" t="s">
        <v>100</v>
      </c>
      <c r="G45" s="9">
        <v>1</v>
      </c>
      <c r="H45" s="4"/>
      <c r="I45" s="5">
        <f>IF(F45="разово",IF(G45&lt;=3,D45*E45,0),IF(F45="мес",D45*E45*MAX(0,4-G45),D45*E45*MAX(0,4-G45)/12))</f>
        <v>96211</v>
      </c>
      <c r="J45" s="5">
        <f t="shared" si="9"/>
        <v>0</v>
      </c>
      <c r="K45" s="5">
        <f t="shared" si="10"/>
        <v>96211</v>
      </c>
      <c r="L45" s="5">
        <f t="shared" si="11"/>
        <v>0</v>
      </c>
      <c r="M45" s="89">
        <v>12</v>
      </c>
    </row>
    <row r="46" spans="1:13" ht="15" customHeight="1" x14ac:dyDescent="0.25">
      <c r="A46" t="s">
        <v>97</v>
      </c>
      <c r="B46" s="4" t="s">
        <v>480</v>
      </c>
      <c r="C46" t="s">
        <v>103</v>
      </c>
      <c r="D46" s="9">
        <v>1</v>
      </c>
      <c r="E46" s="10">
        <v>300000</v>
      </c>
      <c r="F46" s="9" t="s">
        <v>100</v>
      </c>
      <c r="G46" s="9">
        <v>1</v>
      </c>
      <c r="H46" s="4"/>
      <c r="I46" s="5">
        <f t="shared" si="0"/>
        <v>300000</v>
      </c>
      <c r="J46" s="5">
        <f t="shared" si="9"/>
        <v>0</v>
      </c>
      <c r="K46" s="5">
        <f t="shared" si="10"/>
        <v>300000</v>
      </c>
      <c r="L46" s="5">
        <f t="shared" si="11"/>
        <v>0</v>
      </c>
      <c r="M46" s="89">
        <v>12</v>
      </c>
    </row>
    <row r="47" spans="1:13" ht="15" customHeight="1" x14ac:dyDescent="0.25">
      <c r="A47" t="s">
        <v>97</v>
      </c>
      <c r="B47" s="4" t="s">
        <v>105</v>
      </c>
      <c r="C47" t="s">
        <v>103</v>
      </c>
      <c r="D47" s="9">
        <v>0</v>
      </c>
      <c r="E47" s="10">
        <v>800000</v>
      </c>
      <c r="F47" s="9" t="s">
        <v>100</v>
      </c>
      <c r="G47" s="9">
        <v>1</v>
      </c>
      <c r="H47" s="4"/>
      <c r="I47" s="5">
        <f t="shared" si="0"/>
        <v>0</v>
      </c>
      <c r="J47" s="5">
        <f t="shared" si="9"/>
        <v>0</v>
      </c>
      <c r="K47" s="5">
        <f t="shared" si="10"/>
        <v>0</v>
      </c>
      <c r="L47" s="5">
        <f t="shared" si="11"/>
        <v>0</v>
      </c>
      <c r="M47" s="89">
        <v>11</v>
      </c>
    </row>
    <row r="48" spans="1:13" ht="15" customHeight="1" x14ac:dyDescent="0.25">
      <c r="A48" t="s">
        <v>97</v>
      </c>
      <c r="B48" s="4" t="s">
        <v>106</v>
      </c>
      <c r="C48" t="s">
        <v>99</v>
      </c>
      <c r="D48" s="9">
        <v>0</v>
      </c>
      <c r="E48" s="10">
        <v>700000</v>
      </c>
      <c r="F48" s="9" t="s">
        <v>100</v>
      </c>
      <c r="G48" s="9">
        <v>1</v>
      </c>
      <c r="H48" s="4"/>
      <c r="I48" s="5">
        <f t="shared" si="0"/>
        <v>0</v>
      </c>
      <c r="J48" s="5">
        <f t="shared" si="9"/>
        <v>0</v>
      </c>
      <c r="K48" s="5">
        <f t="shared" si="10"/>
        <v>0</v>
      </c>
      <c r="L48" s="5">
        <f t="shared" si="11"/>
        <v>0</v>
      </c>
      <c r="M48" s="89">
        <v>11</v>
      </c>
    </row>
    <row r="49" spans="1:13" ht="27.75" customHeight="1" x14ac:dyDescent="0.25">
      <c r="A49" t="s">
        <v>97</v>
      </c>
      <c r="B49" s="4" t="s">
        <v>310</v>
      </c>
      <c r="C49" t="s">
        <v>107</v>
      </c>
      <c r="D49" s="9">
        <v>1</v>
      </c>
      <c r="E49" s="10">
        <f>'Смета фото-видео'!G24</f>
        <v>300000</v>
      </c>
      <c r="F49" s="9" t="s">
        <v>100</v>
      </c>
      <c r="G49" s="9">
        <v>1</v>
      </c>
      <c r="H49" s="4"/>
      <c r="I49" s="5">
        <f t="shared" si="0"/>
        <v>300000</v>
      </c>
      <c r="J49" s="5">
        <f t="shared" si="9"/>
        <v>0</v>
      </c>
      <c r="K49" s="5">
        <f t="shared" si="10"/>
        <v>300000</v>
      </c>
      <c r="L49" s="5">
        <f t="shared" si="11"/>
        <v>0</v>
      </c>
      <c r="M49" s="89">
        <v>12</v>
      </c>
    </row>
    <row r="50" spans="1:13" ht="15" customHeight="1" x14ac:dyDescent="0.25">
      <c r="A50" t="s">
        <v>97</v>
      </c>
      <c r="B50" s="4" t="s">
        <v>282</v>
      </c>
      <c r="C50" t="s">
        <v>103</v>
      </c>
      <c r="D50" s="9">
        <v>1</v>
      </c>
      <c r="E50" s="10">
        <v>400000</v>
      </c>
      <c r="F50" s="9" t="s">
        <v>100</v>
      </c>
      <c r="G50" s="9">
        <v>1</v>
      </c>
      <c r="H50" s="4"/>
      <c r="I50" s="5">
        <f t="shared" si="0"/>
        <v>400000</v>
      </c>
      <c r="J50" s="5">
        <f t="shared" si="9"/>
        <v>400000</v>
      </c>
      <c r="K50" s="5">
        <f t="shared" si="10"/>
        <v>0</v>
      </c>
      <c r="L50" s="5">
        <f t="shared" si="11"/>
        <v>0</v>
      </c>
      <c r="M50" s="89">
        <v>11</v>
      </c>
    </row>
    <row r="51" spans="1:13" ht="15" customHeight="1" x14ac:dyDescent="0.25">
      <c r="A51" t="s">
        <v>97</v>
      </c>
      <c r="B51" s="4" t="s">
        <v>283</v>
      </c>
      <c r="C51" t="s">
        <v>99</v>
      </c>
      <c r="D51" s="9">
        <v>1</v>
      </c>
      <c r="E51" s="10">
        <f>ROUND(35990/(1+НДС),0)</f>
        <v>31026</v>
      </c>
      <c r="F51" s="9" t="s">
        <v>100</v>
      </c>
      <c r="G51" s="9">
        <v>1</v>
      </c>
      <c r="H51" s="4"/>
      <c r="I51" s="5">
        <f t="shared" ref="I51" si="13">IF(F51="разово",IF(G51&lt;=3,D51*E51,0),IF(F51="мес",D51*E51*MAX(0,4-G51),D51*E51*MAX(0,4-G51)/12))</f>
        <v>31026</v>
      </c>
      <c r="J51" s="5">
        <f t="shared" si="9"/>
        <v>31026</v>
      </c>
      <c r="K51" s="5">
        <f t="shared" si="10"/>
        <v>0</v>
      </c>
      <c r="L51" s="5">
        <f t="shared" si="11"/>
        <v>0</v>
      </c>
      <c r="M51" s="89">
        <v>11</v>
      </c>
    </row>
    <row r="52" spans="1:13" ht="15" customHeight="1" x14ac:dyDescent="0.25">
      <c r="A52" t="s">
        <v>97</v>
      </c>
      <c r="B52" s="4" t="s">
        <v>431</v>
      </c>
      <c r="C52" t="s">
        <v>99</v>
      </c>
      <c r="D52" s="9">
        <v>20</v>
      </c>
      <c r="E52" s="10">
        <f>ROUND(7595/(1+НДС),0)</f>
        <v>6547</v>
      </c>
      <c r="F52" s="9" t="s">
        <v>100</v>
      </c>
      <c r="G52" s="9">
        <v>1</v>
      </c>
      <c r="H52" s="4"/>
      <c r="I52" s="5">
        <f t="shared" ref="I52:I54" si="14">IF(F52="разово",IF(G52&lt;=3,D52*E52,0),IF(F52="мес",D52*E52*MAX(0,4-G52),D52*E52*MAX(0,4-G52)/12))</f>
        <v>130940</v>
      </c>
      <c r="J52" s="5">
        <f t="shared" si="9"/>
        <v>130940</v>
      </c>
      <c r="K52" s="5">
        <f t="shared" si="10"/>
        <v>0</v>
      </c>
      <c r="L52" s="5">
        <f t="shared" si="11"/>
        <v>0</v>
      </c>
      <c r="M52" s="89">
        <v>11</v>
      </c>
    </row>
    <row r="53" spans="1:13" ht="15" customHeight="1" x14ac:dyDescent="0.25">
      <c r="A53" t="s">
        <v>97</v>
      </c>
      <c r="B53" s="4" t="s">
        <v>481</v>
      </c>
      <c r="C53" t="s">
        <v>103</v>
      </c>
      <c r="D53" s="9">
        <v>1</v>
      </c>
      <c r="E53" s="10">
        <f>ROUND(428736/(1+НДС),0)</f>
        <v>369600</v>
      </c>
      <c r="F53" s="9" t="s">
        <v>100</v>
      </c>
      <c r="G53" s="9">
        <v>1</v>
      </c>
      <c r="H53" s="4"/>
      <c r="I53" s="5">
        <f t="shared" si="14"/>
        <v>369600</v>
      </c>
      <c r="J53" s="5">
        <f t="shared" si="9"/>
        <v>369600</v>
      </c>
      <c r="K53" s="5">
        <f t="shared" si="10"/>
        <v>0</v>
      </c>
      <c r="L53" s="5">
        <f t="shared" si="11"/>
        <v>0</v>
      </c>
      <c r="M53" s="89">
        <v>11</v>
      </c>
    </row>
    <row r="54" spans="1:13" ht="15" customHeight="1" x14ac:dyDescent="0.25">
      <c r="A54" t="s">
        <v>97</v>
      </c>
      <c r="B54" s="4" t="s">
        <v>349</v>
      </c>
      <c r="C54" t="s">
        <v>99</v>
      </c>
      <c r="D54" s="9">
        <v>3</v>
      </c>
      <c r="E54" s="10">
        <f>ROUND(30701/(1+НДС),0)</f>
        <v>26466</v>
      </c>
      <c r="F54" s="9" t="s">
        <v>100</v>
      </c>
      <c r="G54" s="9">
        <v>1</v>
      </c>
      <c r="H54" s="4"/>
      <c r="I54" s="5">
        <f t="shared" si="14"/>
        <v>79398</v>
      </c>
      <c r="J54" s="5">
        <f t="shared" si="9"/>
        <v>0</v>
      </c>
      <c r="K54" s="5">
        <f t="shared" si="10"/>
        <v>79398</v>
      </c>
      <c r="L54" s="5">
        <f t="shared" si="11"/>
        <v>0</v>
      </c>
      <c r="M54" s="89">
        <v>12</v>
      </c>
    </row>
    <row r="55" spans="1:13" ht="15" customHeight="1" x14ac:dyDescent="0.25">
      <c r="A55" t="s">
        <v>97</v>
      </c>
      <c r="B55" s="4" t="s">
        <v>108</v>
      </c>
      <c r="C55" t="s">
        <v>103</v>
      </c>
      <c r="D55" s="9">
        <v>1</v>
      </c>
      <c r="E55" s="10">
        <v>150000</v>
      </c>
      <c r="F55" s="9" t="s">
        <v>100</v>
      </c>
      <c r="G55" s="9">
        <v>1</v>
      </c>
      <c r="H55" s="4"/>
      <c r="I55" s="5">
        <f t="shared" si="0"/>
        <v>150000</v>
      </c>
      <c r="J55" s="5">
        <f t="shared" si="9"/>
        <v>150000</v>
      </c>
      <c r="K55" s="5">
        <f t="shared" si="10"/>
        <v>0</v>
      </c>
      <c r="L55" s="5">
        <f t="shared" si="11"/>
        <v>0</v>
      </c>
      <c r="M55" s="89">
        <v>11</v>
      </c>
    </row>
    <row r="56" spans="1:13" ht="15" customHeight="1" x14ac:dyDescent="0.25">
      <c r="A56" t="s">
        <v>97</v>
      </c>
      <c r="B56" s="4" t="s">
        <v>109</v>
      </c>
      <c r="C56" t="s">
        <v>103</v>
      </c>
      <c r="D56" s="9">
        <v>1</v>
      </c>
      <c r="E56" s="10">
        <v>400000</v>
      </c>
      <c r="F56" s="9" t="s">
        <v>100</v>
      </c>
      <c r="G56" s="9">
        <v>1</v>
      </c>
      <c r="H56" s="4"/>
      <c r="I56" s="5">
        <f t="shared" si="0"/>
        <v>400000</v>
      </c>
      <c r="J56" s="5">
        <f t="shared" si="9"/>
        <v>0</v>
      </c>
      <c r="K56" s="5">
        <f t="shared" si="10"/>
        <v>400000</v>
      </c>
      <c r="L56" s="5">
        <f t="shared" si="11"/>
        <v>0</v>
      </c>
      <c r="M56" s="89">
        <v>12</v>
      </c>
    </row>
    <row r="57" spans="1:13" ht="15" customHeight="1" x14ac:dyDescent="0.25">
      <c r="A57" t="s">
        <v>97</v>
      </c>
      <c r="B57" s="4" t="s">
        <v>311</v>
      </c>
      <c r="C57" t="s">
        <v>99</v>
      </c>
      <c r="D57" s="9">
        <v>1</v>
      </c>
      <c r="E57" s="10">
        <v>10000</v>
      </c>
      <c r="F57" s="9" t="s">
        <v>100</v>
      </c>
      <c r="G57" s="9">
        <v>1</v>
      </c>
      <c r="H57" s="4"/>
      <c r="I57" s="5">
        <f t="shared" si="0"/>
        <v>10000</v>
      </c>
      <c r="J57" s="5">
        <f t="shared" si="9"/>
        <v>10000</v>
      </c>
      <c r="K57" s="5">
        <f t="shared" si="10"/>
        <v>0</v>
      </c>
      <c r="L57" s="5">
        <f t="shared" si="11"/>
        <v>0</v>
      </c>
      <c r="M57" s="89">
        <v>11</v>
      </c>
    </row>
    <row r="58" spans="1:13" ht="27.75" customHeight="1" x14ac:dyDescent="0.25">
      <c r="A58" t="s">
        <v>110</v>
      </c>
      <c r="B58" s="4" t="s">
        <v>111</v>
      </c>
      <c r="C58" t="s">
        <v>112</v>
      </c>
      <c r="D58" s="9">
        <v>1</v>
      </c>
      <c r="E58" s="10">
        <f>Аренда_мес</f>
        <v>4869152.0999999996</v>
      </c>
      <c r="F58" s="9" t="s">
        <v>113</v>
      </c>
      <c r="G58" s="9">
        <v>1</v>
      </c>
      <c r="H58" s="4"/>
      <c r="I58" s="5">
        <f>D58*E58*Аренда_мес_2026</f>
        <v>11466067.848387096</v>
      </c>
      <c r="J58" s="5">
        <f>$D58*$E58*(Аренда_мес_2026-1)</f>
        <v>6596915.7483870964</v>
      </c>
      <c r="K58" s="5">
        <f t="shared" si="10"/>
        <v>4869152.0999999996</v>
      </c>
      <c r="L58" s="5">
        <f t="shared" si="11"/>
        <v>4869152.0999999996</v>
      </c>
      <c r="M58" s="89"/>
    </row>
    <row r="59" spans="1:13" ht="15" customHeight="1" x14ac:dyDescent="0.25">
      <c r="A59" t="s">
        <v>110</v>
      </c>
      <c r="B59" s="4" t="s">
        <v>204</v>
      </c>
      <c r="C59" t="s">
        <v>114</v>
      </c>
      <c r="D59" s="9">
        <v>1</v>
      </c>
      <c r="E59" s="10">
        <f>Аренда_мес*Депозит_мес</f>
        <v>4869152.0999999996</v>
      </c>
      <c r="F59" s="9" t="s">
        <v>100</v>
      </c>
      <c r="G59" s="9">
        <v>1</v>
      </c>
      <c r="H59" s="4"/>
      <c r="I59" s="5">
        <f t="shared" ref="I59:I76" si="15">IF(F59="разово",IF(G59&lt;=3,D59*E59,0),IF(F59="мес",D59*E59*MAX(0,4-G59),D59*E59*MAX(0,4-G59)/12))</f>
        <v>4869152.0999999996</v>
      </c>
      <c r="J59" s="5">
        <f t="shared" ref="J59:J76" si="16">IF($F59="разово",IF($M59=12,0,$I59),IF($F59="мес",$D59*$E59*(($G59&lt;=1)+($G59&lt;=2)),IF($F59="год",$D59*$E59/12*(($G59&lt;=1)+($G59&lt;=2)),$I59/2)))</f>
        <v>4869152.0999999996</v>
      </c>
      <c r="K59" s="5">
        <f t="shared" si="10"/>
        <v>0</v>
      </c>
      <c r="L59" s="5">
        <f t="shared" si="11"/>
        <v>0</v>
      </c>
      <c r="M59" s="89">
        <v>11</v>
      </c>
    </row>
    <row r="60" spans="1:13" ht="15" customHeight="1" x14ac:dyDescent="0.25">
      <c r="A60" t="s">
        <v>110</v>
      </c>
      <c r="B60" s="4" t="s">
        <v>115</v>
      </c>
      <c r="C60" t="s">
        <v>112</v>
      </c>
      <c r="D60" s="9">
        <v>1</v>
      </c>
      <c r="E60" s="10">
        <v>100000</v>
      </c>
      <c r="F60" s="9" t="s">
        <v>113</v>
      </c>
      <c r="G60" s="9">
        <v>2</v>
      </c>
      <c r="H60" s="4"/>
      <c r="I60" s="5">
        <f t="shared" si="15"/>
        <v>200000</v>
      </c>
      <c r="J60" s="5">
        <f t="shared" si="16"/>
        <v>100000</v>
      </c>
      <c r="K60" s="5">
        <f t="shared" si="10"/>
        <v>100000</v>
      </c>
      <c r="L60" s="5">
        <f t="shared" si="11"/>
        <v>100000</v>
      </c>
      <c r="M60" s="89"/>
    </row>
    <row r="61" spans="1:13" ht="15" customHeight="1" x14ac:dyDescent="0.25">
      <c r="A61" t="s">
        <v>110</v>
      </c>
      <c r="B61" s="4" t="s">
        <v>116</v>
      </c>
      <c r="C61" t="s">
        <v>112</v>
      </c>
      <c r="D61" s="9">
        <v>1</v>
      </c>
      <c r="E61" s="10">
        <v>30000</v>
      </c>
      <c r="F61" s="9" t="s">
        <v>113</v>
      </c>
      <c r="G61" s="9">
        <v>2</v>
      </c>
      <c r="H61" s="4"/>
      <c r="I61" s="5">
        <f t="shared" si="15"/>
        <v>60000</v>
      </c>
      <c r="J61" s="5">
        <f t="shared" si="16"/>
        <v>30000</v>
      </c>
      <c r="K61" s="5">
        <f t="shared" si="10"/>
        <v>30000</v>
      </c>
      <c r="L61" s="5">
        <f t="shared" si="11"/>
        <v>30000</v>
      </c>
      <c r="M61" s="89"/>
    </row>
    <row r="62" spans="1:13" ht="15" customHeight="1" x14ac:dyDescent="0.25">
      <c r="A62" t="s">
        <v>110</v>
      </c>
      <c r="B62" s="4" t="s">
        <v>117</v>
      </c>
      <c r="C62" t="s">
        <v>112</v>
      </c>
      <c r="D62" s="9">
        <v>1</v>
      </c>
      <c r="E62" s="10">
        <v>50000</v>
      </c>
      <c r="F62" s="9" t="s">
        <v>113</v>
      </c>
      <c r="G62" s="9">
        <v>2</v>
      </c>
      <c r="H62" s="4"/>
      <c r="I62" s="5">
        <f t="shared" si="15"/>
        <v>100000</v>
      </c>
      <c r="J62" s="5">
        <f t="shared" si="16"/>
        <v>50000</v>
      </c>
      <c r="K62" s="5">
        <f t="shared" si="10"/>
        <v>50000</v>
      </c>
      <c r="L62" s="5">
        <f t="shared" si="11"/>
        <v>50000</v>
      </c>
      <c r="M62" s="89"/>
    </row>
    <row r="63" spans="1:13" s="105" customFormat="1" ht="15" customHeight="1" x14ac:dyDescent="0.25">
      <c r="A63" s="105" t="s">
        <v>110</v>
      </c>
      <c r="B63" s="4" t="s">
        <v>488</v>
      </c>
      <c r="C63" s="105" t="s">
        <v>489</v>
      </c>
      <c r="D63" s="9">
        <v>2</v>
      </c>
      <c r="E63" s="10">
        <f>ROUND(5490/(1+НДС),0)</f>
        <v>4733</v>
      </c>
      <c r="F63" s="9" t="s">
        <v>113</v>
      </c>
      <c r="G63" s="9">
        <v>2</v>
      </c>
      <c r="H63" s="4"/>
      <c r="I63" s="5">
        <f>IF(F63="разово",IF(G63&lt;=3,D63*E63,0),IF(F63="мес",D63*E63*MAX(0,4-G63),D63*E63*MAX(0,4-G63)/12))</f>
        <v>18932</v>
      </c>
      <c r="J63" s="5">
        <f t="shared" si="16"/>
        <v>9466</v>
      </c>
      <c r="K63" s="5">
        <f t="shared" si="10"/>
        <v>9466</v>
      </c>
      <c r="L63" s="5">
        <f t="shared" si="11"/>
        <v>9466</v>
      </c>
      <c r="M63" s="89"/>
    </row>
    <row r="64" spans="1:13" ht="15" customHeight="1" x14ac:dyDescent="0.25">
      <c r="A64" t="s">
        <v>110</v>
      </c>
      <c r="B64" s="4" t="s">
        <v>118</v>
      </c>
      <c r="C64" t="s">
        <v>112</v>
      </c>
      <c r="D64" s="9">
        <v>1</v>
      </c>
      <c r="E64" s="10">
        <v>30000</v>
      </c>
      <c r="F64" s="9" t="s">
        <v>113</v>
      </c>
      <c r="G64" s="9">
        <v>2</v>
      </c>
      <c r="H64" s="4"/>
      <c r="I64" s="5">
        <f t="shared" si="15"/>
        <v>60000</v>
      </c>
      <c r="J64" s="5">
        <f t="shared" si="16"/>
        <v>30000</v>
      </c>
      <c r="K64" s="5">
        <f t="shared" si="10"/>
        <v>30000</v>
      </c>
      <c r="L64" s="5">
        <f t="shared" si="11"/>
        <v>30000</v>
      </c>
      <c r="M64" s="89"/>
    </row>
    <row r="65" spans="1:13" ht="15" customHeight="1" x14ac:dyDescent="0.25">
      <c r="A65" t="s">
        <v>110</v>
      </c>
      <c r="B65" s="4" t="s">
        <v>315</v>
      </c>
      <c r="C65" t="s">
        <v>112</v>
      </c>
      <c r="D65" s="9">
        <v>1</v>
      </c>
      <c r="E65" s="10">
        <f>Канцелярия!F11</f>
        <v>24125</v>
      </c>
      <c r="F65" s="9" t="s">
        <v>113</v>
      </c>
      <c r="G65" s="9">
        <v>2</v>
      </c>
      <c r="H65" s="4"/>
      <c r="I65" s="5">
        <f t="shared" si="15"/>
        <v>48250</v>
      </c>
      <c r="J65" s="5">
        <f t="shared" si="16"/>
        <v>24125</v>
      </c>
      <c r="K65" s="5">
        <f t="shared" si="10"/>
        <v>24125</v>
      </c>
      <c r="L65" s="5">
        <f t="shared" si="11"/>
        <v>24125</v>
      </c>
      <c r="M65" s="89"/>
    </row>
    <row r="66" spans="1:13" ht="15" customHeight="1" x14ac:dyDescent="0.25">
      <c r="A66" t="s">
        <v>110</v>
      </c>
      <c r="B66" s="4" t="s">
        <v>316</v>
      </c>
      <c r="C66" t="s">
        <v>103</v>
      </c>
      <c r="D66" s="9">
        <v>1</v>
      </c>
      <c r="E66" s="10">
        <f>Канцелярия!F21</f>
        <v>20048</v>
      </c>
      <c r="F66" s="9" t="s">
        <v>100</v>
      </c>
      <c r="G66" s="9">
        <v>1</v>
      </c>
      <c r="H66" s="4"/>
      <c r="I66" s="5">
        <f t="shared" ref="I66" si="17">IF(F66="разово",IF(G66&lt;=3,D66*E66,0),IF(F66="мес",D66*E66*MAX(0,4-G66),D66*E66*MAX(0,4-G66)/12))</f>
        <v>20048</v>
      </c>
      <c r="J66" s="5">
        <f t="shared" si="16"/>
        <v>20048</v>
      </c>
      <c r="K66" s="5">
        <f t="shared" si="10"/>
        <v>0</v>
      </c>
      <c r="L66" s="5">
        <f t="shared" si="11"/>
        <v>0</v>
      </c>
      <c r="M66" s="89">
        <v>11</v>
      </c>
    </row>
    <row r="67" spans="1:13" ht="15" customHeight="1" x14ac:dyDescent="0.25">
      <c r="A67" t="s">
        <v>110</v>
      </c>
      <c r="B67" s="4" t="s">
        <v>119</v>
      </c>
      <c r="C67" t="s">
        <v>112</v>
      </c>
      <c r="D67" s="9">
        <v>1</v>
      </c>
      <c r="E67" s="10">
        <v>100000</v>
      </c>
      <c r="F67" s="9" t="s">
        <v>113</v>
      </c>
      <c r="G67" s="9">
        <v>2</v>
      </c>
      <c r="H67" s="4"/>
      <c r="I67" s="5">
        <f t="shared" si="15"/>
        <v>200000</v>
      </c>
      <c r="J67" s="5">
        <f t="shared" si="16"/>
        <v>100000</v>
      </c>
      <c r="K67" s="5">
        <f t="shared" si="10"/>
        <v>100000</v>
      </c>
      <c r="L67" s="5">
        <f t="shared" si="11"/>
        <v>100000</v>
      </c>
      <c r="M67" s="89"/>
    </row>
    <row r="68" spans="1:13" ht="15" customHeight="1" x14ac:dyDescent="0.25">
      <c r="A68" t="s">
        <v>120</v>
      </c>
      <c r="B68" s="4" t="s">
        <v>121</v>
      </c>
      <c r="C68" t="s">
        <v>122</v>
      </c>
      <c r="D68" s="9">
        <v>19</v>
      </c>
      <c r="E68" s="10">
        <v>7000</v>
      </c>
      <c r="F68" s="9" t="s">
        <v>113</v>
      </c>
      <c r="G68" s="9">
        <v>2</v>
      </c>
      <c r="H68" s="4"/>
      <c r="I68" s="5">
        <f t="shared" si="15"/>
        <v>266000</v>
      </c>
      <c r="J68" s="5">
        <f t="shared" si="16"/>
        <v>133000</v>
      </c>
      <c r="K68" s="5">
        <f t="shared" si="10"/>
        <v>133000</v>
      </c>
      <c r="L68" s="5">
        <f t="shared" si="11"/>
        <v>133000</v>
      </c>
      <c r="M68" s="89"/>
    </row>
    <row r="69" spans="1:13" ht="15" customHeight="1" x14ac:dyDescent="0.25">
      <c r="A69" t="s">
        <v>120</v>
      </c>
      <c r="B69" s="4" t="s">
        <v>123</v>
      </c>
      <c r="C69" t="s">
        <v>122</v>
      </c>
      <c r="D69" s="9">
        <v>3</v>
      </c>
      <c r="E69" s="10">
        <v>7500</v>
      </c>
      <c r="F69" s="9" t="s">
        <v>113</v>
      </c>
      <c r="G69" s="9">
        <v>2</v>
      </c>
      <c r="H69" s="4"/>
      <c r="I69" s="5">
        <f t="shared" si="15"/>
        <v>45000</v>
      </c>
      <c r="J69" s="5">
        <f t="shared" si="16"/>
        <v>22500</v>
      </c>
      <c r="K69" s="5">
        <f t="shared" ref="K69:K76" si="18">IF($F69="разово",IF($M69=12,$I69,0),IF($F69="мес",$D69*$E69*($G69&lt;=3),IF($F69="год",$D69*$E69/12*($G69&lt;=3),$I69/2)))</f>
        <v>22500</v>
      </c>
      <c r="L69" s="5">
        <f t="shared" ref="L69:L76" si="19">IF($F69="разово",0,IF($F69="мес",$D69*$E69*($G69&lt;=3),IF($F69="год",$D69*$E69/12*($G69&lt;=3),$I69/2)))</f>
        <v>22500</v>
      </c>
      <c r="M69" s="89"/>
    </row>
    <row r="70" spans="1:13" ht="15" customHeight="1" x14ac:dyDescent="0.25">
      <c r="A70" t="s">
        <v>120</v>
      </c>
      <c r="B70" s="4" t="s">
        <v>124</v>
      </c>
      <c r="C70" t="s">
        <v>125</v>
      </c>
      <c r="D70" s="9">
        <v>2</v>
      </c>
      <c r="E70" s="10">
        <v>30000</v>
      </c>
      <c r="F70" s="9" t="s">
        <v>113</v>
      </c>
      <c r="G70" s="9">
        <v>2</v>
      </c>
      <c r="H70" s="4"/>
      <c r="I70" s="5">
        <f t="shared" si="15"/>
        <v>120000</v>
      </c>
      <c r="J70" s="5">
        <f t="shared" si="16"/>
        <v>60000</v>
      </c>
      <c r="K70" s="5">
        <f t="shared" si="18"/>
        <v>60000</v>
      </c>
      <c r="L70" s="5">
        <f t="shared" si="19"/>
        <v>60000</v>
      </c>
      <c r="M70" s="89"/>
    </row>
    <row r="71" spans="1:13" ht="15" customHeight="1" x14ac:dyDescent="0.25">
      <c r="A71" t="s">
        <v>120</v>
      </c>
      <c r="B71" s="4" t="s">
        <v>483</v>
      </c>
      <c r="C71" t="s">
        <v>125</v>
      </c>
      <c r="D71" s="9">
        <v>1</v>
      </c>
      <c r="E71" s="10">
        <f>ROUND(149.9*Курс,0)</f>
        <v>79447</v>
      </c>
      <c r="F71" s="9" t="s">
        <v>100</v>
      </c>
      <c r="G71" s="9">
        <v>2</v>
      </c>
      <c r="H71" s="4"/>
      <c r="I71" s="5">
        <f t="shared" si="15"/>
        <v>79447</v>
      </c>
      <c r="J71" s="5">
        <f t="shared" si="16"/>
        <v>79447</v>
      </c>
      <c r="K71" s="5">
        <f t="shared" si="18"/>
        <v>0</v>
      </c>
      <c r="L71" s="5">
        <f t="shared" si="19"/>
        <v>0</v>
      </c>
      <c r="M71" s="89">
        <v>11</v>
      </c>
    </row>
    <row r="72" spans="1:13" s="102" customFormat="1" ht="15" customHeight="1" x14ac:dyDescent="0.25">
      <c r="A72" s="102" t="s">
        <v>120</v>
      </c>
      <c r="B72" s="4" t="s">
        <v>467</v>
      </c>
      <c r="C72" s="102" t="s">
        <v>468</v>
      </c>
      <c r="D72" s="9">
        <v>1</v>
      </c>
      <c r="E72" s="10">
        <v>38000</v>
      </c>
      <c r="F72" s="9" t="s">
        <v>113</v>
      </c>
      <c r="G72" s="9">
        <v>2</v>
      </c>
      <c r="H72" s="4"/>
      <c r="I72" s="5">
        <f>IF(F72="разово",IF(G72&lt;=3,D72*E72,0),IF(F72="мес",D72*E72*MAX(0,4-G72),D72*E72*MAX(0,4-G72)/12))</f>
        <v>76000</v>
      </c>
      <c r="J72" s="5">
        <f t="shared" si="16"/>
        <v>38000</v>
      </c>
      <c r="K72" s="5">
        <f t="shared" si="18"/>
        <v>38000</v>
      </c>
      <c r="L72" s="5">
        <f t="shared" si="19"/>
        <v>38000</v>
      </c>
      <c r="M72" s="89"/>
    </row>
    <row r="73" spans="1:13" ht="15" customHeight="1" x14ac:dyDescent="0.25">
      <c r="A73" t="s">
        <v>126</v>
      </c>
      <c r="B73" s="4" t="s">
        <v>273</v>
      </c>
      <c r="C73" t="s">
        <v>214</v>
      </c>
      <c r="D73" s="9"/>
      <c r="E73" s="10"/>
      <c r="F73" s="9" t="s">
        <v>213</v>
      </c>
      <c r="G73" s="9"/>
      <c r="H73" s="4"/>
      <c r="I73" s="5">
        <v>2000000</v>
      </c>
      <c r="J73" s="5">
        <f t="shared" si="16"/>
        <v>1000000</v>
      </c>
      <c r="K73" s="5">
        <f t="shared" si="18"/>
        <v>1000000</v>
      </c>
      <c r="L73" s="5">
        <f t="shared" si="19"/>
        <v>1000000</v>
      </c>
      <c r="M73" s="89"/>
    </row>
    <row r="74" spans="1:13" ht="15" customHeight="1" x14ac:dyDescent="0.25">
      <c r="A74" t="s">
        <v>126</v>
      </c>
      <c r="B74" s="4" t="s">
        <v>127</v>
      </c>
      <c r="C74" t="s">
        <v>112</v>
      </c>
      <c r="D74" s="9">
        <v>1</v>
      </c>
      <c r="E74" s="10">
        <v>150000</v>
      </c>
      <c r="F74" s="9" t="s">
        <v>113</v>
      </c>
      <c r="G74" s="9">
        <v>2</v>
      </c>
      <c r="H74" s="4"/>
      <c r="I74" s="5">
        <f t="shared" si="15"/>
        <v>300000</v>
      </c>
      <c r="J74" s="5">
        <f t="shared" si="16"/>
        <v>150000</v>
      </c>
      <c r="K74" s="5">
        <f t="shared" si="18"/>
        <v>150000</v>
      </c>
      <c r="L74" s="5">
        <f t="shared" si="19"/>
        <v>150000</v>
      </c>
      <c r="M74" s="89"/>
    </row>
    <row r="75" spans="1:13" ht="15" customHeight="1" x14ac:dyDescent="0.25">
      <c r="A75" t="s">
        <v>126</v>
      </c>
      <c r="B75" s="4" t="s">
        <v>128</v>
      </c>
      <c r="C75" t="s">
        <v>112</v>
      </c>
      <c r="D75" s="9">
        <v>1</v>
      </c>
      <c r="E75" s="10">
        <v>25000</v>
      </c>
      <c r="F75" s="9" t="s">
        <v>113</v>
      </c>
      <c r="G75" s="9">
        <v>2</v>
      </c>
      <c r="H75" s="4"/>
      <c r="I75" s="5">
        <f t="shared" si="15"/>
        <v>50000</v>
      </c>
      <c r="J75" s="5">
        <f t="shared" si="16"/>
        <v>25000</v>
      </c>
      <c r="K75" s="5">
        <f t="shared" si="18"/>
        <v>25000</v>
      </c>
      <c r="L75" s="5">
        <f t="shared" si="19"/>
        <v>25000</v>
      </c>
      <c r="M75" s="89"/>
    </row>
    <row r="76" spans="1:13" ht="15" customHeight="1" x14ac:dyDescent="0.25">
      <c r="A76" t="s">
        <v>110</v>
      </c>
      <c r="B76" s="4" t="s">
        <v>482</v>
      </c>
      <c r="C76" t="s">
        <v>103</v>
      </c>
      <c r="D76" s="9">
        <v>1</v>
      </c>
      <c r="E76" s="10">
        <v>350000</v>
      </c>
      <c r="F76" s="9" t="s">
        <v>100</v>
      </c>
      <c r="G76" s="9">
        <v>1</v>
      </c>
      <c r="H76" s="4"/>
      <c r="I76" s="5">
        <f t="shared" si="15"/>
        <v>350000</v>
      </c>
      <c r="J76" s="5">
        <f t="shared" si="16"/>
        <v>350000</v>
      </c>
      <c r="K76" s="5">
        <f t="shared" si="18"/>
        <v>0</v>
      </c>
      <c r="L76" s="5">
        <f t="shared" si="19"/>
        <v>0</v>
      </c>
      <c r="M76" s="89">
        <v>11</v>
      </c>
    </row>
    <row r="77" spans="1:13" ht="15" customHeight="1" x14ac:dyDescent="0.25">
      <c r="B77" s="4"/>
      <c r="D77" s="9"/>
      <c r="E77" s="10"/>
      <c r="F77" s="9"/>
      <c r="G77" s="9"/>
      <c r="H77" s="4"/>
      <c r="I77" s="5"/>
      <c r="J77" s="5"/>
      <c r="K77" s="5"/>
      <c r="L77" s="5"/>
      <c r="M77" s="89"/>
    </row>
  </sheetData>
  <pageMargins left="0.7" right="0.7" top="0.75" bottom="0.75" header="0.511811023622047" footer="0.511811023622047"/>
  <pageSetup paperSize="9" scale="59" fitToHeight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3"/>
  <sheetViews>
    <sheetView workbookViewId="0">
      <selection activeCell="H5" sqref="H5:J13"/>
    </sheetView>
  </sheetViews>
  <sheetFormatPr defaultRowHeight="15" x14ac:dyDescent="0.25"/>
  <cols>
    <col min="1" max="1" width="12.7109375" customWidth="1"/>
    <col min="2" max="2" width="66.7109375" customWidth="1"/>
    <col min="3" max="3" width="8.7109375" customWidth="1"/>
    <col min="4" max="4" width="10.7109375" hidden="1" customWidth="1"/>
    <col min="5" max="5" width="13.7109375" hidden="1" customWidth="1"/>
    <col min="6" max="6" width="10.7109375" hidden="1" customWidth="1"/>
    <col min="7" max="10" width="14.7109375" customWidth="1"/>
    <col min="11" max="12" width="8.7109375" customWidth="1"/>
  </cols>
  <sheetData>
    <row r="1" spans="1:10" ht="17.25" x14ac:dyDescent="0.3">
      <c r="A1" s="1" t="s">
        <v>295</v>
      </c>
    </row>
    <row r="2" spans="1:10" x14ac:dyDescent="0.25">
      <c r="A2" s="2"/>
    </row>
    <row r="4" spans="1:10" ht="31.5" customHeight="1" x14ac:dyDescent="0.25">
      <c r="A4" s="3" t="s">
        <v>92</v>
      </c>
      <c r="B4" s="3" t="s">
        <v>0</v>
      </c>
      <c r="C4" s="3" t="s">
        <v>93</v>
      </c>
      <c r="D4" s="3" t="s">
        <v>71</v>
      </c>
      <c r="E4" s="3" t="s">
        <v>94</v>
      </c>
      <c r="F4" s="3" t="s">
        <v>95</v>
      </c>
      <c r="G4" s="34" t="s">
        <v>90</v>
      </c>
      <c r="H4" s="34" t="s">
        <v>490</v>
      </c>
      <c r="I4" s="34" t="s">
        <v>491</v>
      </c>
      <c r="J4" s="34" t="s">
        <v>492</v>
      </c>
    </row>
    <row r="5" spans="1:10" ht="30" x14ac:dyDescent="0.25">
      <c r="A5" t="s">
        <v>249</v>
      </c>
      <c r="B5" s="4" t="s">
        <v>406</v>
      </c>
      <c r="C5" t="s">
        <v>214</v>
      </c>
      <c r="D5" s="9"/>
      <c r="E5" s="10"/>
      <c r="F5" s="9" t="s">
        <v>213</v>
      </c>
      <c r="G5" s="5">
        <f>'Taza talqy'!F12</f>
        <v>10755520</v>
      </c>
      <c r="H5" s="5">
        <f>$G5*1/3</f>
        <v>3585173.3333333335</v>
      </c>
      <c r="I5" s="5">
        <f>$G5*1/3</f>
        <v>3585173.3333333335</v>
      </c>
      <c r="J5" s="5">
        <f>$G5*1/3</f>
        <v>3585173.3333333335</v>
      </c>
    </row>
    <row r="6" spans="1:10" x14ac:dyDescent="0.25">
      <c r="A6" t="s">
        <v>249</v>
      </c>
      <c r="B6" s="4" t="s">
        <v>407</v>
      </c>
      <c r="C6" t="s">
        <v>214</v>
      </c>
      <c r="D6" s="9"/>
      <c r="E6" s="10"/>
      <c r="F6" s="9" t="s">
        <v>213</v>
      </c>
      <c r="G6" s="5">
        <f>'Презентация офисе'!F15</f>
        <v>6414800</v>
      </c>
      <c r="H6" s="5">
        <f>$G6*1</f>
        <v>6414800</v>
      </c>
      <c r="I6" s="5">
        <f>$G6*0</f>
        <v>0</v>
      </c>
      <c r="J6" s="5">
        <f>$G6*0</f>
        <v>0</v>
      </c>
    </row>
    <row r="7" spans="1:10" x14ac:dyDescent="0.25">
      <c r="A7" t="s">
        <v>249</v>
      </c>
      <c r="B7" s="4" t="s">
        <v>215</v>
      </c>
      <c r="C7" t="s">
        <v>214</v>
      </c>
      <c r="D7" s="9"/>
      <c r="E7" s="10"/>
      <c r="F7" s="9" t="s">
        <v>213</v>
      </c>
      <c r="G7" s="5">
        <f>'креативные проекты'!F9</f>
        <v>17284000</v>
      </c>
      <c r="H7" s="5">
        <f t="shared" ref="H7:J8" si="0">$G7*1/3</f>
        <v>5761333.333333333</v>
      </c>
      <c r="I7" s="5">
        <f t="shared" si="0"/>
        <v>5761333.333333333</v>
      </c>
      <c r="J7" s="5">
        <f t="shared" si="0"/>
        <v>5761333.333333333</v>
      </c>
    </row>
    <row r="8" spans="1:10" x14ac:dyDescent="0.25">
      <c r="A8" t="s">
        <v>249</v>
      </c>
      <c r="B8" s="4" t="s">
        <v>408</v>
      </c>
      <c r="C8" t="s">
        <v>214</v>
      </c>
      <c r="D8" s="9"/>
      <c r="E8" s="10"/>
      <c r="F8" s="9" t="s">
        <v>213</v>
      </c>
      <c r="G8" s="5">
        <f>'Информ сопровождение'!F13</f>
        <v>23432000</v>
      </c>
      <c r="H8" s="5">
        <f t="shared" si="0"/>
        <v>7810666.666666667</v>
      </c>
      <c r="I8" s="5">
        <f t="shared" si="0"/>
        <v>7810666.666666667</v>
      </c>
      <c r="J8" s="5">
        <f t="shared" si="0"/>
        <v>7810666.666666667</v>
      </c>
    </row>
    <row r="9" spans="1:10" x14ac:dyDescent="0.25">
      <c r="A9" t="s">
        <v>249</v>
      </c>
      <c r="B9" s="4" t="s">
        <v>409</v>
      </c>
      <c r="C9" t="s">
        <v>214</v>
      </c>
      <c r="D9" s="9"/>
      <c r="E9" s="10"/>
      <c r="F9" s="9" t="s">
        <v>213</v>
      </c>
      <c r="G9" s="5">
        <f>'Соц исследования'!F8</f>
        <v>13108000</v>
      </c>
      <c r="H9" s="5">
        <f>$G9*1/2</f>
        <v>6554000</v>
      </c>
      <c r="I9" s="5">
        <f>$G9*1/2</f>
        <v>6554000</v>
      </c>
      <c r="J9" s="5">
        <f>$G9*0</f>
        <v>0</v>
      </c>
    </row>
    <row r="10" spans="1:10" x14ac:dyDescent="0.25">
      <c r="A10" t="s">
        <v>249</v>
      </c>
      <c r="B10" s="4" t="s">
        <v>405</v>
      </c>
      <c r="C10" t="s">
        <v>214</v>
      </c>
      <c r="D10" s="9"/>
      <c r="E10" s="10"/>
      <c r="F10" s="9" t="s">
        <v>213</v>
      </c>
      <c r="G10" s="5">
        <f>'Разработка платформы'!F7</f>
        <v>16239999.999999998</v>
      </c>
      <c r="H10" s="5">
        <f>$G10*1/2</f>
        <v>8119999.9999999991</v>
      </c>
      <c r="I10" s="5">
        <f>$G10*1/2</f>
        <v>8119999.9999999991</v>
      </c>
      <c r="J10" s="5">
        <f>$G10*0</f>
        <v>0</v>
      </c>
    </row>
    <row r="11" spans="1:10" x14ac:dyDescent="0.25">
      <c r="B11" s="4"/>
      <c r="D11" s="9"/>
      <c r="E11" s="10"/>
      <c r="F11" s="9"/>
      <c r="G11" s="5"/>
      <c r="H11" s="5"/>
      <c r="I11" s="5"/>
      <c r="J11" s="5"/>
    </row>
    <row r="12" spans="1:10" x14ac:dyDescent="0.25">
      <c r="G12" s="5"/>
      <c r="H12" s="5"/>
      <c r="I12" s="5"/>
      <c r="J12" s="5"/>
    </row>
    <row r="13" spans="1:10" x14ac:dyDescent="0.25">
      <c r="B13" s="7" t="s">
        <v>296</v>
      </c>
      <c r="C13" s="7"/>
      <c r="D13" s="7"/>
      <c r="E13" s="7"/>
      <c r="F13" s="7"/>
      <c r="G13" s="6">
        <f>SUM(G5:G11)</f>
        <v>87234320</v>
      </c>
      <c r="H13" s="6">
        <f>SUM(H5:H11)</f>
        <v>38245973.333333336</v>
      </c>
      <c r="I13" s="6">
        <f>SUM(I5:I11)</f>
        <v>31831173.333333332</v>
      </c>
      <c r="J13" s="6">
        <f>SUM(J5:J11)</f>
        <v>17157173.333333332</v>
      </c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="163" workbookViewId="0">
      <selection activeCell="E8" sqref="E8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14" t="s">
        <v>351</v>
      </c>
      <c r="B1" s="114"/>
      <c r="C1" s="114"/>
      <c r="D1" s="114"/>
      <c r="E1" s="114"/>
      <c r="F1" s="115"/>
      <c r="G1" s="115"/>
      <c r="H1" s="115"/>
      <c r="I1" s="115"/>
      <c r="J1" s="115"/>
      <c r="K1" s="115"/>
      <c r="L1" s="115"/>
    </row>
    <row r="3" spans="1:12" ht="38.25" x14ac:dyDescent="0.2">
      <c r="A3" s="47" t="s">
        <v>65</v>
      </c>
      <c r="B3" s="48" t="s">
        <v>352</v>
      </c>
      <c r="C3" s="49" t="s">
        <v>353</v>
      </c>
      <c r="D3" s="49" t="s">
        <v>354</v>
      </c>
      <c r="E3" s="50" t="s">
        <v>355</v>
      </c>
      <c r="F3" s="50" t="s">
        <v>356</v>
      </c>
    </row>
    <row r="4" spans="1:12" x14ac:dyDescent="0.2">
      <c r="A4" s="51"/>
      <c r="B4" s="48" t="s">
        <v>357</v>
      </c>
      <c r="C4" s="49"/>
      <c r="D4" s="49"/>
      <c r="E4" s="52"/>
      <c r="F4" s="53">
        <f>F11</f>
        <v>9272000</v>
      </c>
    </row>
    <row r="5" spans="1:12" ht="25.5" x14ac:dyDescent="0.2">
      <c r="A5" s="51" t="s">
        <v>358</v>
      </c>
      <c r="B5" s="54" t="s">
        <v>359</v>
      </c>
      <c r="C5" s="55" t="s">
        <v>360</v>
      </c>
      <c r="D5" s="55">
        <v>56</v>
      </c>
      <c r="E5" s="56">
        <v>30000</v>
      </c>
      <c r="F5" s="56">
        <f t="shared" ref="F5:F10" si="0">E5*D5</f>
        <v>1680000</v>
      </c>
    </row>
    <row r="6" spans="1:12" ht="25.5" x14ac:dyDescent="0.2">
      <c r="A6" s="51" t="s">
        <v>361</v>
      </c>
      <c r="B6" s="57" t="s">
        <v>362</v>
      </c>
      <c r="C6" s="55" t="s">
        <v>363</v>
      </c>
      <c r="D6" s="55">
        <v>56</v>
      </c>
      <c r="E6" s="56">
        <v>25000</v>
      </c>
      <c r="F6" s="56">
        <f t="shared" si="0"/>
        <v>1400000</v>
      </c>
      <c r="G6" s="58"/>
    </row>
    <row r="7" spans="1:12" x14ac:dyDescent="0.2">
      <c r="A7" s="51" t="s">
        <v>364</v>
      </c>
      <c r="B7" s="57" t="s">
        <v>365</v>
      </c>
      <c r="C7" s="55" t="s">
        <v>363</v>
      </c>
      <c r="D7" s="55">
        <v>6</v>
      </c>
      <c r="E7" s="56">
        <v>100000</v>
      </c>
      <c r="F7" s="56">
        <f t="shared" si="0"/>
        <v>600000</v>
      </c>
    </row>
    <row r="8" spans="1:12" x14ac:dyDescent="0.2">
      <c r="A8" s="51" t="s">
        <v>366</v>
      </c>
      <c r="B8" s="57" t="s">
        <v>367</v>
      </c>
      <c r="C8" s="55" t="s">
        <v>363</v>
      </c>
      <c r="D8" s="55">
        <v>6</v>
      </c>
      <c r="E8" s="56">
        <v>400000</v>
      </c>
      <c r="F8" s="56">
        <f t="shared" si="0"/>
        <v>2400000</v>
      </c>
    </row>
    <row r="9" spans="1:12" x14ac:dyDescent="0.2">
      <c r="A9" s="51" t="s">
        <v>368</v>
      </c>
      <c r="B9" s="57" t="s">
        <v>369</v>
      </c>
      <c r="C9" s="55" t="s">
        <v>363</v>
      </c>
      <c r="D9" s="55">
        <v>6</v>
      </c>
      <c r="E9" s="56">
        <v>500000</v>
      </c>
      <c r="F9" s="56">
        <f t="shared" si="0"/>
        <v>3000000</v>
      </c>
    </row>
    <row r="10" spans="1:12" x14ac:dyDescent="0.2">
      <c r="A10" s="51" t="s">
        <v>370</v>
      </c>
      <c r="B10" s="57" t="s">
        <v>371</v>
      </c>
      <c r="C10" s="55" t="s">
        <v>363</v>
      </c>
      <c r="D10" s="55">
        <v>48</v>
      </c>
      <c r="E10" s="56">
        <v>4000</v>
      </c>
      <c r="F10" s="56">
        <f t="shared" si="0"/>
        <v>192000</v>
      </c>
    </row>
    <row r="11" spans="1:12" x14ac:dyDescent="0.2">
      <c r="A11" s="51"/>
      <c r="B11" s="59" t="s">
        <v>372</v>
      </c>
      <c r="C11" s="49"/>
      <c r="D11" s="55"/>
      <c r="E11" s="56"/>
      <c r="F11" s="53">
        <f>SUM(F5:F10)</f>
        <v>9272000</v>
      </c>
    </row>
    <row r="12" spans="1:12" x14ac:dyDescent="0.2">
      <c r="A12" s="51"/>
      <c r="B12" s="60" t="s">
        <v>373</v>
      </c>
      <c r="C12" s="61"/>
      <c r="D12" s="61"/>
      <c r="E12" s="62"/>
      <c r="F12" s="63">
        <f>F11*1.16</f>
        <v>10755520</v>
      </c>
    </row>
    <row r="14" spans="1:12" x14ac:dyDescent="0.2">
      <c r="A14" s="64"/>
      <c r="B14" s="65"/>
      <c r="C14" s="65"/>
      <c r="D14" s="65"/>
      <c r="E14" s="65"/>
      <c r="F14" s="65"/>
    </row>
    <row r="15" spans="1:12" x14ac:dyDescent="0.2">
      <c r="A15" s="66"/>
      <c r="B15" s="67"/>
      <c r="F15" s="68"/>
    </row>
    <row r="16" spans="1:12" x14ac:dyDescent="0.2">
      <c r="A16" s="69"/>
    </row>
    <row r="17" spans="1:8" x14ac:dyDescent="0.2">
      <c r="B17" s="67"/>
      <c r="F17" s="68"/>
    </row>
    <row r="18" spans="1:8" x14ac:dyDescent="0.2">
      <c r="H18" s="70"/>
    </row>
    <row r="19" spans="1:8" s="65" customFormat="1" x14ac:dyDescent="0.2">
      <c r="A19" s="58"/>
      <c r="B19" s="46"/>
      <c r="C19" s="46"/>
      <c r="D19" s="46"/>
      <c r="E19" s="46"/>
      <c r="F19" s="46"/>
      <c r="H19" s="71"/>
    </row>
    <row r="22" spans="1:8" x14ac:dyDescent="0.2">
      <c r="F22" s="72"/>
    </row>
    <row r="23" spans="1:8" x14ac:dyDescent="0.2">
      <c r="E23" s="73"/>
      <c r="F23" s="72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zoomScale="144" workbookViewId="0">
      <selection activeCell="E13" sqref="E13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14" t="s">
        <v>374</v>
      </c>
      <c r="B1" s="114"/>
      <c r="C1" s="114"/>
      <c r="D1" s="114"/>
      <c r="E1" s="114"/>
      <c r="F1" s="115"/>
      <c r="G1" s="115"/>
      <c r="H1" s="115"/>
      <c r="I1" s="115"/>
      <c r="J1" s="115"/>
      <c r="K1" s="115"/>
      <c r="L1" s="115"/>
    </row>
    <row r="3" spans="1:12" ht="38.25" x14ac:dyDescent="0.2">
      <c r="A3" s="47" t="s">
        <v>65</v>
      </c>
      <c r="B3" s="48" t="s">
        <v>352</v>
      </c>
      <c r="C3" s="49" t="s">
        <v>353</v>
      </c>
      <c r="D3" s="49" t="s">
        <v>354</v>
      </c>
      <c r="E3" s="50" t="s">
        <v>355</v>
      </c>
      <c r="F3" s="50" t="s">
        <v>356</v>
      </c>
    </row>
    <row r="4" spans="1:12" x14ac:dyDescent="0.2">
      <c r="A4" s="51"/>
      <c r="B4" s="48" t="s">
        <v>357</v>
      </c>
      <c r="C4" s="49"/>
      <c r="D4" s="49"/>
      <c r="E4" s="52"/>
      <c r="F4" s="53">
        <f>F14</f>
        <v>5530000</v>
      </c>
    </row>
    <row r="5" spans="1:12" x14ac:dyDescent="0.2">
      <c r="A5" s="51" t="s">
        <v>358</v>
      </c>
      <c r="B5" s="57" t="s">
        <v>375</v>
      </c>
      <c r="C5" s="55" t="s">
        <v>376</v>
      </c>
      <c r="D5" s="55">
        <v>1</v>
      </c>
      <c r="E5" s="56">
        <v>500000</v>
      </c>
      <c r="F5" s="56">
        <f>E5*D5</f>
        <v>500000</v>
      </c>
    </row>
    <row r="6" spans="1:12" ht="38.25" x14ac:dyDescent="0.2">
      <c r="A6" s="51" t="s">
        <v>361</v>
      </c>
      <c r="B6" s="57" t="s">
        <v>377</v>
      </c>
      <c r="C6" s="55" t="s">
        <v>376</v>
      </c>
      <c r="D6" s="55">
        <v>1</v>
      </c>
      <c r="E6" s="56">
        <v>1500000</v>
      </c>
      <c r="F6" s="56">
        <f>E6*D6</f>
        <v>1500000</v>
      </c>
      <c r="G6" s="58"/>
    </row>
    <row r="7" spans="1:12" x14ac:dyDescent="0.2">
      <c r="A7" s="51" t="s">
        <v>364</v>
      </c>
      <c r="B7" s="57" t="s">
        <v>378</v>
      </c>
      <c r="C7" s="55" t="s">
        <v>376</v>
      </c>
      <c r="D7" s="55">
        <v>1</v>
      </c>
      <c r="E7" s="56">
        <v>100000</v>
      </c>
      <c r="F7" s="56">
        <f>E7*D7</f>
        <v>100000</v>
      </c>
    </row>
    <row r="8" spans="1:12" ht="25.5" x14ac:dyDescent="0.2">
      <c r="A8" s="51" t="s">
        <v>366</v>
      </c>
      <c r="B8" s="57" t="s">
        <v>379</v>
      </c>
      <c r="C8" s="55" t="s">
        <v>380</v>
      </c>
      <c r="D8" s="55">
        <v>1</v>
      </c>
      <c r="E8" s="56">
        <v>500000</v>
      </c>
      <c r="F8" s="56">
        <f>D8*E8</f>
        <v>500000</v>
      </c>
    </row>
    <row r="9" spans="1:12" ht="25.5" x14ac:dyDescent="0.2">
      <c r="A9" s="51" t="s">
        <v>368</v>
      </c>
      <c r="B9" s="57" t="s">
        <v>381</v>
      </c>
      <c r="C9" s="55" t="s">
        <v>382</v>
      </c>
      <c r="D9" s="74">
        <v>100</v>
      </c>
      <c r="E9" s="56">
        <v>3000</v>
      </c>
      <c r="F9" s="56">
        <f>D9*E9</f>
        <v>300000</v>
      </c>
    </row>
    <row r="10" spans="1:12" x14ac:dyDescent="0.2">
      <c r="A10" s="51" t="s">
        <v>370</v>
      </c>
      <c r="B10" s="57" t="s">
        <v>383</v>
      </c>
      <c r="C10" s="55" t="s">
        <v>382</v>
      </c>
      <c r="D10" s="74">
        <v>100</v>
      </c>
      <c r="E10" s="56">
        <v>7000</v>
      </c>
      <c r="F10" s="56">
        <f>D10*E10</f>
        <v>700000</v>
      </c>
    </row>
    <row r="11" spans="1:12" x14ac:dyDescent="0.2">
      <c r="A11" s="51"/>
      <c r="B11" s="57" t="s">
        <v>384</v>
      </c>
      <c r="C11" s="55" t="s">
        <v>382</v>
      </c>
      <c r="D11" s="74">
        <v>1</v>
      </c>
      <c r="E11" s="56">
        <v>130000</v>
      </c>
      <c r="F11" s="56">
        <f>D11*E11</f>
        <v>130000</v>
      </c>
    </row>
    <row r="12" spans="1:12" x14ac:dyDescent="0.2">
      <c r="A12" s="51" t="s">
        <v>370</v>
      </c>
      <c r="B12" s="57" t="s">
        <v>367</v>
      </c>
      <c r="C12" s="55" t="s">
        <v>380</v>
      </c>
      <c r="D12" s="55">
        <v>4</v>
      </c>
      <c r="E12" s="56">
        <v>400000</v>
      </c>
      <c r="F12" s="56">
        <f>D12*E12</f>
        <v>1600000</v>
      </c>
    </row>
    <row r="13" spans="1:12" x14ac:dyDescent="0.2">
      <c r="A13" s="51" t="s">
        <v>385</v>
      </c>
      <c r="B13" s="75" t="s">
        <v>386</v>
      </c>
      <c r="C13" s="76" t="s">
        <v>360</v>
      </c>
      <c r="D13" s="76">
        <v>1</v>
      </c>
      <c r="E13" s="77">
        <v>200000</v>
      </c>
      <c r="F13" s="78">
        <f>E13*D13</f>
        <v>200000</v>
      </c>
    </row>
    <row r="14" spans="1:12" x14ac:dyDescent="0.2">
      <c r="A14" s="51"/>
      <c r="B14" s="59" t="s">
        <v>372</v>
      </c>
      <c r="C14" s="49"/>
      <c r="D14" s="55"/>
      <c r="E14" s="56"/>
      <c r="F14" s="53">
        <f>SUM(F5:F13)</f>
        <v>5530000</v>
      </c>
    </row>
    <row r="15" spans="1:12" x14ac:dyDescent="0.2">
      <c r="A15" s="51"/>
      <c r="B15" s="60" t="s">
        <v>373</v>
      </c>
      <c r="C15" s="61"/>
      <c r="D15" s="61"/>
      <c r="E15" s="62"/>
      <c r="F15" s="63">
        <f>F14*1.16</f>
        <v>6414800</v>
      </c>
    </row>
    <row r="16" spans="1:12" x14ac:dyDescent="0.2">
      <c r="H16" s="70"/>
    </row>
    <row r="17" spans="1:8" s="65" customFormat="1" x14ac:dyDescent="0.2">
      <c r="A17" s="58"/>
      <c r="B17" s="46"/>
      <c r="C17" s="46"/>
      <c r="D17" s="46"/>
      <c r="E17" s="46"/>
      <c r="F17" s="46"/>
      <c r="H17" s="71"/>
    </row>
    <row r="20" spans="1:8" x14ac:dyDescent="0.2">
      <c r="F20" s="72"/>
    </row>
    <row r="21" spans="1:8" x14ac:dyDescent="0.2">
      <c r="E21" s="73"/>
      <c r="F21" s="72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71" workbookViewId="0">
      <selection activeCell="E6" sqref="E6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14" t="s">
        <v>387</v>
      </c>
      <c r="B1" s="114"/>
      <c r="C1" s="114"/>
      <c r="D1" s="114"/>
      <c r="E1" s="114"/>
      <c r="F1" s="115"/>
      <c r="G1" s="115"/>
      <c r="H1" s="115"/>
      <c r="I1" s="115"/>
      <c r="J1" s="115"/>
      <c r="K1" s="115"/>
      <c r="L1" s="115"/>
    </row>
    <row r="3" spans="1:12" ht="38.25" x14ac:dyDescent="0.2">
      <c r="A3" s="47" t="s">
        <v>65</v>
      </c>
      <c r="B3" s="48" t="s">
        <v>352</v>
      </c>
      <c r="C3" s="49" t="s">
        <v>353</v>
      </c>
      <c r="D3" s="49" t="s">
        <v>354</v>
      </c>
      <c r="E3" s="50" t="s">
        <v>355</v>
      </c>
      <c r="F3" s="50" t="s">
        <v>356</v>
      </c>
    </row>
    <row r="4" spans="1:12" x14ac:dyDescent="0.2">
      <c r="A4" s="51"/>
      <c r="B4" s="48" t="s">
        <v>357</v>
      </c>
      <c r="C4" s="49"/>
      <c r="D4" s="49"/>
      <c r="E4" s="52"/>
      <c r="F4" s="53">
        <f>F8</f>
        <v>14900000</v>
      </c>
    </row>
    <row r="5" spans="1:12" x14ac:dyDescent="0.2">
      <c r="A5" s="51" t="s">
        <v>358</v>
      </c>
      <c r="B5" s="57" t="s">
        <v>388</v>
      </c>
      <c r="C5" s="55" t="s">
        <v>389</v>
      </c>
      <c r="D5" s="55">
        <v>4</v>
      </c>
      <c r="E5" s="56">
        <v>1100000</v>
      </c>
      <c r="F5" s="56">
        <f>E5*D5</f>
        <v>4400000</v>
      </c>
    </row>
    <row r="6" spans="1:12" x14ac:dyDescent="0.2">
      <c r="A6" s="51" t="s">
        <v>361</v>
      </c>
      <c r="B6" s="57" t="s">
        <v>390</v>
      </c>
      <c r="C6" s="55" t="s">
        <v>391</v>
      </c>
      <c r="D6" s="55">
        <v>1</v>
      </c>
      <c r="E6" s="56">
        <v>6500000</v>
      </c>
      <c r="F6" s="56">
        <f>E6*D6</f>
        <v>6500000</v>
      </c>
      <c r="G6" s="58"/>
    </row>
    <row r="7" spans="1:12" x14ac:dyDescent="0.2">
      <c r="A7" s="51" t="s">
        <v>364</v>
      </c>
      <c r="B7" s="57" t="s">
        <v>392</v>
      </c>
      <c r="C7" s="55" t="s">
        <v>391</v>
      </c>
      <c r="D7" s="55">
        <v>1</v>
      </c>
      <c r="E7" s="56">
        <v>4000000</v>
      </c>
      <c r="F7" s="56">
        <f>E7*D7</f>
        <v>4000000</v>
      </c>
    </row>
    <row r="8" spans="1:12" x14ac:dyDescent="0.2">
      <c r="A8" s="51"/>
      <c r="B8" s="59" t="s">
        <v>372</v>
      </c>
      <c r="C8" s="49"/>
      <c r="D8" s="55"/>
      <c r="E8" s="56"/>
      <c r="F8" s="53">
        <f>SUM(F5:F7)</f>
        <v>14900000</v>
      </c>
    </row>
    <row r="9" spans="1:12" x14ac:dyDescent="0.2">
      <c r="A9" s="51"/>
      <c r="B9" s="60" t="s">
        <v>373</v>
      </c>
      <c r="C9" s="61"/>
      <c r="D9" s="61"/>
      <c r="E9" s="62"/>
      <c r="F9" s="63">
        <f>F8*1.16</f>
        <v>17284000</v>
      </c>
    </row>
    <row r="14" spans="1:12" x14ac:dyDescent="0.2">
      <c r="F14" s="72"/>
    </row>
    <row r="15" spans="1:12" x14ac:dyDescent="0.2">
      <c r="E15" s="73"/>
      <c r="F15" s="72"/>
    </row>
    <row r="16" spans="1:12" x14ac:dyDescent="0.2">
      <c r="H16" s="70"/>
    </row>
    <row r="17" spans="1:8" s="65" customFormat="1" x14ac:dyDescent="0.2">
      <c r="A17" s="58"/>
      <c r="B17" s="46"/>
      <c r="C17" s="46"/>
      <c r="D17" s="46"/>
      <c r="E17" s="46"/>
      <c r="F17" s="46"/>
      <c r="H17" s="71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zoomScale="143" workbookViewId="0">
      <selection activeCell="D12" sqref="D12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7.285156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14" t="s">
        <v>393</v>
      </c>
      <c r="B1" s="114"/>
      <c r="C1" s="114"/>
      <c r="D1" s="114"/>
      <c r="E1" s="114"/>
      <c r="F1" s="115"/>
      <c r="G1" s="115"/>
      <c r="H1" s="115"/>
      <c r="I1" s="115"/>
      <c r="J1" s="115"/>
      <c r="K1" s="115"/>
      <c r="L1" s="115"/>
    </row>
    <row r="3" spans="1:12" ht="38.25" x14ac:dyDescent="0.2">
      <c r="A3" s="47" t="s">
        <v>65</v>
      </c>
      <c r="B3" s="48" t="s">
        <v>352</v>
      </c>
      <c r="C3" s="49" t="s">
        <v>353</v>
      </c>
      <c r="D3" s="49" t="s">
        <v>354</v>
      </c>
      <c r="E3" s="50" t="s">
        <v>355</v>
      </c>
      <c r="F3" s="50" t="s">
        <v>356</v>
      </c>
    </row>
    <row r="4" spans="1:12" x14ac:dyDescent="0.2">
      <c r="A4" s="51"/>
      <c r="B4" s="48" t="s">
        <v>357</v>
      </c>
      <c r="C4" s="49"/>
      <c r="D4" s="49"/>
      <c r="E4" s="52"/>
      <c r="F4" s="53">
        <f>F12</f>
        <v>20200000</v>
      </c>
    </row>
    <row r="5" spans="1:12" ht="25.5" x14ac:dyDescent="0.2">
      <c r="A5" s="51" t="s">
        <v>358</v>
      </c>
      <c r="B5" s="57" t="s">
        <v>394</v>
      </c>
      <c r="C5" s="55" t="s">
        <v>380</v>
      </c>
      <c r="D5" s="55">
        <v>6</v>
      </c>
      <c r="E5" s="56">
        <v>400000</v>
      </c>
      <c r="F5" s="56">
        <f>E5*D5</f>
        <v>2400000</v>
      </c>
    </row>
    <row r="6" spans="1:12" ht="25.5" x14ac:dyDescent="0.2">
      <c r="A6" s="51" t="s">
        <v>361</v>
      </c>
      <c r="B6" s="57" t="s">
        <v>395</v>
      </c>
      <c r="C6" s="55" t="s">
        <v>389</v>
      </c>
      <c r="D6" s="55">
        <v>1</v>
      </c>
      <c r="E6" s="56">
        <v>3500000</v>
      </c>
      <c r="F6" s="56">
        <f>E6*D6</f>
        <v>3500000</v>
      </c>
      <c r="G6" s="58"/>
    </row>
    <row r="7" spans="1:12" ht="25.5" x14ac:dyDescent="0.2">
      <c r="A7" s="51" t="s">
        <v>364</v>
      </c>
      <c r="B7" s="57" t="s">
        <v>396</v>
      </c>
      <c r="C7" s="55" t="s">
        <v>380</v>
      </c>
      <c r="D7" s="55">
        <v>1</v>
      </c>
      <c r="E7" s="56">
        <v>1500000</v>
      </c>
      <c r="F7" s="56">
        <f>E7*D7</f>
        <v>1500000</v>
      </c>
    </row>
    <row r="8" spans="1:12" ht="25.5" x14ac:dyDescent="0.2">
      <c r="A8" s="51" t="s">
        <v>366</v>
      </c>
      <c r="B8" s="57" t="s">
        <v>397</v>
      </c>
      <c r="C8" s="55" t="s">
        <v>380</v>
      </c>
      <c r="D8" s="55">
        <v>9</v>
      </c>
      <c r="E8" s="56">
        <v>800000</v>
      </c>
      <c r="F8" s="56">
        <f>D8*E8</f>
        <v>7200000</v>
      </c>
    </row>
    <row r="9" spans="1:12" ht="25.5" x14ac:dyDescent="0.2">
      <c r="A9" s="51" t="s">
        <v>368</v>
      </c>
      <c r="B9" s="57" t="s">
        <v>398</v>
      </c>
      <c r="C9" s="55" t="s">
        <v>380</v>
      </c>
      <c r="D9" s="74">
        <v>32</v>
      </c>
      <c r="E9" s="56">
        <v>100000</v>
      </c>
      <c r="F9" s="56">
        <f>D9*E9</f>
        <v>3200000</v>
      </c>
    </row>
    <row r="10" spans="1:12" ht="25.5" x14ac:dyDescent="0.2">
      <c r="A10" s="51" t="s">
        <v>370</v>
      </c>
      <c r="B10" s="57" t="s">
        <v>399</v>
      </c>
      <c r="C10" s="55" t="s">
        <v>380</v>
      </c>
      <c r="D10" s="55">
        <v>3</v>
      </c>
      <c r="E10" s="56">
        <v>400000</v>
      </c>
      <c r="F10" s="56">
        <f>E10*D10</f>
        <v>1200000</v>
      </c>
    </row>
    <row r="11" spans="1:12" x14ac:dyDescent="0.2">
      <c r="A11" s="51" t="s">
        <v>385</v>
      </c>
      <c r="B11" s="57" t="s">
        <v>400</v>
      </c>
      <c r="C11" s="55" t="s">
        <v>382</v>
      </c>
      <c r="D11" s="55">
        <v>3</v>
      </c>
      <c r="E11" s="56">
        <v>400000</v>
      </c>
      <c r="F11" s="56">
        <f>E11*D11</f>
        <v>1200000</v>
      </c>
      <c r="G11" s="73"/>
    </row>
    <row r="12" spans="1:12" x14ac:dyDescent="0.2">
      <c r="A12" s="51"/>
      <c r="B12" s="59" t="s">
        <v>372</v>
      </c>
      <c r="C12" s="49"/>
      <c r="D12" s="55"/>
      <c r="E12" s="56"/>
      <c r="F12" s="53">
        <f>SUM(F5:F11)</f>
        <v>20200000</v>
      </c>
    </row>
    <row r="13" spans="1:12" x14ac:dyDescent="0.2">
      <c r="A13" s="51"/>
      <c r="B13" s="60" t="s">
        <v>373</v>
      </c>
      <c r="C13" s="61"/>
      <c r="D13" s="61"/>
      <c r="E13" s="62"/>
      <c r="F13" s="63">
        <f>F12*1.16</f>
        <v>23432000</v>
      </c>
    </row>
    <row r="17" spans="1:8" x14ac:dyDescent="0.2">
      <c r="H17" s="70"/>
    </row>
    <row r="18" spans="1:8" s="65" customFormat="1" x14ac:dyDescent="0.2">
      <c r="A18" s="58"/>
      <c r="B18" s="46"/>
      <c r="C18" s="46"/>
      <c r="D18" s="46"/>
      <c r="E18" s="46"/>
      <c r="F18" s="72"/>
      <c r="H18" s="71"/>
    </row>
    <row r="19" spans="1:8" x14ac:dyDescent="0.2">
      <c r="E19" s="73"/>
      <c r="F19" s="72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50" workbookViewId="0">
      <selection activeCell="E6" sqref="E6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14" t="s">
        <v>401</v>
      </c>
      <c r="B1" s="114"/>
      <c r="C1" s="114"/>
      <c r="D1" s="114"/>
      <c r="E1" s="114"/>
      <c r="F1" s="115"/>
      <c r="G1" s="115"/>
      <c r="H1" s="115"/>
      <c r="I1" s="115"/>
      <c r="J1" s="115"/>
      <c r="K1" s="115"/>
      <c r="L1" s="115"/>
    </row>
    <row r="3" spans="1:12" ht="38.25" x14ac:dyDescent="0.2">
      <c r="A3" s="47" t="s">
        <v>65</v>
      </c>
      <c r="B3" s="48" t="s">
        <v>352</v>
      </c>
      <c r="C3" s="49" t="s">
        <v>353</v>
      </c>
      <c r="D3" s="49" t="s">
        <v>354</v>
      </c>
      <c r="E3" s="50" t="s">
        <v>355</v>
      </c>
      <c r="F3" s="50" t="s">
        <v>356</v>
      </c>
    </row>
    <row r="4" spans="1:12" x14ac:dyDescent="0.2">
      <c r="A4" s="51"/>
      <c r="B4" s="48" t="s">
        <v>357</v>
      </c>
      <c r="C4" s="49"/>
      <c r="D4" s="49"/>
      <c r="E4" s="52"/>
      <c r="F4" s="53">
        <f>F7</f>
        <v>11300000</v>
      </c>
    </row>
    <row r="5" spans="1:12" x14ac:dyDescent="0.2">
      <c r="A5" s="51" t="s">
        <v>358</v>
      </c>
      <c r="B5" s="57" t="s">
        <v>402</v>
      </c>
      <c r="C5" s="55" t="s">
        <v>380</v>
      </c>
      <c r="D5" s="55">
        <v>1</v>
      </c>
      <c r="E5" s="56">
        <v>10000000</v>
      </c>
      <c r="F5" s="56">
        <f>E5*D5</f>
        <v>10000000</v>
      </c>
    </row>
    <row r="6" spans="1:12" ht="33" customHeight="1" x14ac:dyDescent="0.2">
      <c r="A6" s="51" t="s">
        <v>361</v>
      </c>
      <c r="B6" s="57" t="s">
        <v>403</v>
      </c>
      <c r="C6" s="55" t="s">
        <v>389</v>
      </c>
      <c r="D6" s="55">
        <v>1</v>
      </c>
      <c r="E6" s="56">
        <v>1300000</v>
      </c>
      <c r="F6" s="56">
        <f>E6*D6</f>
        <v>1300000</v>
      </c>
      <c r="G6" s="58"/>
    </row>
    <row r="7" spans="1:12" x14ac:dyDescent="0.2">
      <c r="A7" s="51"/>
      <c r="B7" s="59" t="s">
        <v>372</v>
      </c>
      <c r="C7" s="49"/>
      <c r="D7" s="55"/>
      <c r="E7" s="56"/>
      <c r="F7" s="53">
        <f>F6+F5</f>
        <v>11300000</v>
      </c>
    </row>
    <row r="8" spans="1:12" x14ac:dyDescent="0.2">
      <c r="A8" s="51"/>
      <c r="B8" s="60" t="s">
        <v>373</v>
      </c>
      <c r="C8" s="61"/>
      <c r="D8" s="61"/>
      <c r="E8" s="62"/>
      <c r="F8" s="63">
        <f>F7*1.16</f>
        <v>13108000</v>
      </c>
    </row>
    <row r="13" spans="1:12" x14ac:dyDescent="0.2">
      <c r="F13" s="72"/>
    </row>
    <row r="14" spans="1:12" x14ac:dyDescent="0.2">
      <c r="E14" s="73"/>
      <c r="F14" s="72"/>
    </row>
    <row r="16" spans="1:12" x14ac:dyDescent="0.2">
      <c r="H16" s="70"/>
    </row>
    <row r="17" spans="1:8" s="65" customFormat="1" x14ac:dyDescent="0.2">
      <c r="A17" s="58"/>
      <c r="B17" s="46"/>
      <c r="C17" s="46"/>
      <c r="D17" s="46"/>
      <c r="E17" s="46"/>
      <c r="F17" s="46"/>
      <c r="H17" s="71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81" workbookViewId="0">
      <selection activeCell="E8" sqref="E8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14" t="s">
        <v>404</v>
      </c>
      <c r="B1" s="114"/>
      <c r="C1" s="114"/>
      <c r="D1" s="114"/>
      <c r="E1" s="114"/>
      <c r="F1" s="115"/>
      <c r="G1" s="115"/>
      <c r="H1" s="115"/>
      <c r="I1" s="115"/>
      <c r="J1" s="115"/>
      <c r="K1" s="115"/>
      <c r="L1" s="115"/>
    </row>
    <row r="3" spans="1:12" ht="38.25" x14ac:dyDescent="0.2">
      <c r="A3" s="47" t="s">
        <v>65</v>
      </c>
      <c r="B3" s="48" t="s">
        <v>352</v>
      </c>
      <c r="C3" s="49" t="s">
        <v>353</v>
      </c>
      <c r="D3" s="49" t="s">
        <v>354</v>
      </c>
      <c r="E3" s="50" t="s">
        <v>355</v>
      </c>
      <c r="F3" s="50" t="s">
        <v>356</v>
      </c>
    </row>
    <row r="4" spans="1:12" x14ac:dyDescent="0.2">
      <c r="A4" s="51"/>
      <c r="B4" s="48" t="s">
        <v>357</v>
      </c>
      <c r="C4" s="49"/>
      <c r="D4" s="49"/>
      <c r="E4" s="52"/>
      <c r="F4" s="53">
        <f>F6</f>
        <v>14000000</v>
      </c>
    </row>
    <row r="5" spans="1:12" x14ac:dyDescent="0.2">
      <c r="A5" s="51" t="s">
        <v>358</v>
      </c>
      <c r="B5" s="57" t="s">
        <v>405</v>
      </c>
      <c r="C5" s="55" t="s">
        <v>380</v>
      </c>
      <c r="D5" s="55">
        <v>1</v>
      </c>
      <c r="E5" s="56">
        <v>14000000</v>
      </c>
      <c r="F5" s="56">
        <f>E5*D5</f>
        <v>14000000</v>
      </c>
    </row>
    <row r="6" spans="1:12" ht="33" customHeight="1" x14ac:dyDescent="0.2">
      <c r="A6" s="51"/>
      <c r="B6" s="59" t="s">
        <v>372</v>
      </c>
      <c r="C6" s="49"/>
      <c r="D6" s="55"/>
      <c r="E6" s="56"/>
      <c r="F6" s="53">
        <f>F5</f>
        <v>14000000</v>
      </c>
      <c r="G6" s="58"/>
    </row>
    <row r="7" spans="1:12" x14ac:dyDescent="0.2">
      <c r="A7" s="51"/>
      <c r="B7" s="60" t="s">
        <v>373</v>
      </c>
      <c r="C7" s="61"/>
      <c r="D7" s="61"/>
      <c r="E7" s="62"/>
      <c r="F7" s="63">
        <f>F6*1.16</f>
        <v>16239999.999999998</v>
      </c>
    </row>
    <row r="12" spans="1:12" x14ac:dyDescent="0.2">
      <c r="F12" s="72"/>
    </row>
    <row r="13" spans="1:12" x14ac:dyDescent="0.2">
      <c r="E13" s="73"/>
      <c r="F13" s="72"/>
    </row>
    <row r="16" spans="1:12" x14ac:dyDescent="0.2">
      <c r="H16" s="70"/>
    </row>
    <row r="17" spans="1:8" s="65" customFormat="1" x14ac:dyDescent="0.2">
      <c r="A17" s="58"/>
      <c r="B17" s="46"/>
      <c r="C17" s="46"/>
      <c r="D17" s="46"/>
      <c r="E17" s="46"/>
      <c r="F17" s="46"/>
      <c r="H17" s="71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topLeftCell="A2" workbookViewId="0">
      <selection activeCell="E25" sqref="E25"/>
    </sheetView>
  </sheetViews>
  <sheetFormatPr defaultRowHeight="15" x14ac:dyDescent="0.25"/>
  <cols>
    <col min="1" max="1" width="18.7109375" customWidth="1"/>
    <col min="2" max="2" width="62.7109375" customWidth="1"/>
    <col min="3" max="3" width="10.7109375" customWidth="1"/>
    <col min="4" max="4" width="16.7109375" customWidth="1"/>
    <col min="5" max="5" width="12.7109375" customWidth="1"/>
    <col min="6" max="6" width="18.7109375" customWidth="1"/>
    <col min="7" max="7" width="48.7109375" customWidth="1"/>
  </cols>
  <sheetData>
    <row r="1" spans="1:7" s="7" customFormat="1" x14ac:dyDescent="0.25">
      <c r="A1" s="7" t="s">
        <v>314</v>
      </c>
    </row>
    <row r="4" spans="1:7" s="7" customFormat="1" x14ac:dyDescent="0.25">
      <c r="A4" s="7" t="s">
        <v>165</v>
      </c>
      <c r="B4" s="7" t="s">
        <v>166</v>
      </c>
      <c r="C4" s="7" t="s">
        <v>93</v>
      </c>
      <c r="D4" s="7" t="s">
        <v>167</v>
      </c>
      <c r="E4" s="7" t="s">
        <v>94</v>
      </c>
      <c r="F4" s="7" t="s">
        <v>168</v>
      </c>
      <c r="G4" s="7" t="s">
        <v>96</v>
      </c>
    </row>
    <row r="5" spans="1:7" x14ac:dyDescent="0.25">
      <c r="A5" t="s">
        <v>169</v>
      </c>
      <c r="B5" t="s">
        <v>170</v>
      </c>
      <c r="C5" t="s">
        <v>171</v>
      </c>
      <c r="D5" s="13">
        <v>3.5</v>
      </c>
      <c r="E5" s="5">
        <v>3000</v>
      </c>
      <c r="F5" s="5">
        <f t="shared" ref="F5:F10" si="0">D5*E5</f>
        <v>10500</v>
      </c>
      <c r="G5" t="s">
        <v>274</v>
      </c>
    </row>
    <row r="6" spans="1:7" x14ac:dyDescent="0.25">
      <c r="A6" t="s">
        <v>169</v>
      </c>
      <c r="B6" t="s">
        <v>172</v>
      </c>
      <c r="C6" t="s">
        <v>171</v>
      </c>
      <c r="D6" s="13">
        <v>0.25</v>
      </c>
      <c r="E6" s="5">
        <v>6500</v>
      </c>
      <c r="F6" s="5">
        <f t="shared" si="0"/>
        <v>1625</v>
      </c>
      <c r="G6" t="s">
        <v>173</v>
      </c>
    </row>
    <row r="7" spans="1:7" x14ac:dyDescent="0.25">
      <c r="A7" t="s">
        <v>169</v>
      </c>
      <c r="B7" t="s">
        <v>174</v>
      </c>
      <c r="C7" t="s">
        <v>175</v>
      </c>
      <c r="D7" s="13">
        <v>0.5</v>
      </c>
      <c r="E7" s="5">
        <v>6000</v>
      </c>
      <c r="F7" s="5">
        <f t="shared" si="0"/>
        <v>3000</v>
      </c>
      <c r="G7" t="s">
        <v>176</v>
      </c>
    </row>
    <row r="8" spans="1:7" x14ac:dyDescent="0.25">
      <c r="A8" t="s">
        <v>169</v>
      </c>
      <c r="B8" t="s">
        <v>177</v>
      </c>
      <c r="C8" t="s">
        <v>103</v>
      </c>
      <c r="D8" s="13">
        <v>0</v>
      </c>
      <c r="E8" s="5">
        <v>5000</v>
      </c>
      <c r="F8" s="5">
        <f t="shared" si="0"/>
        <v>0</v>
      </c>
      <c r="G8" t="s">
        <v>178</v>
      </c>
    </row>
    <row r="9" spans="1:7" x14ac:dyDescent="0.25">
      <c r="A9" t="s">
        <v>179</v>
      </c>
      <c r="B9" t="s">
        <v>180</v>
      </c>
      <c r="C9" t="s">
        <v>103</v>
      </c>
      <c r="D9" s="13">
        <v>0</v>
      </c>
      <c r="E9" s="5">
        <v>1200</v>
      </c>
      <c r="F9" s="5">
        <f t="shared" si="0"/>
        <v>0</v>
      </c>
      <c r="G9" t="s">
        <v>181</v>
      </c>
    </row>
    <row r="10" spans="1:7" x14ac:dyDescent="0.25">
      <c r="A10" t="s">
        <v>179</v>
      </c>
      <c r="B10" t="s">
        <v>182</v>
      </c>
      <c r="C10" t="s">
        <v>103</v>
      </c>
      <c r="D10" s="13">
        <v>10</v>
      </c>
      <c r="E10" s="5">
        <v>900</v>
      </c>
      <c r="F10" s="5">
        <f t="shared" si="0"/>
        <v>9000</v>
      </c>
      <c r="G10" t="s">
        <v>181</v>
      </c>
    </row>
    <row r="11" spans="1:7" s="7" customFormat="1" x14ac:dyDescent="0.25">
      <c r="B11" s="7" t="s">
        <v>194</v>
      </c>
      <c r="D11" s="32"/>
      <c r="E11" s="6"/>
      <c r="F11" s="6">
        <f>SUM(F5:F10)</f>
        <v>24125</v>
      </c>
    </row>
    <row r="13" spans="1:7" x14ac:dyDescent="0.25">
      <c r="A13" s="7" t="s">
        <v>312</v>
      </c>
      <c r="B13" s="7"/>
      <c r="C13" s="7"/>
      <c r="D13" s="32" t="s">
        <v>71</v>
      </c>
      <c r="E13" s="6"/>
      <c r="F13" s="6" t="s">
        <v>133</v>
      </c>
      <c r="G13" s="7"/>
    </row>
    <row r="14" spans="1:7" x14ac:dyDescent="0.25">
      <c r="A14" t="s">
        <v>179</v>
      </c>
      <c r="B14" t="s">
        <v>183</v>
      </c>
      <c r="C14" t="s">
        <v>103</v>
      </c>
      <c r="D14" s="45">
        <v>5</v>
      </c>
      <c r="E14" s="5">
        <v>1500</v>
      </c>
      <c r="F14" s="5">
        <f t="shared" ref="F14:F19" si="1">D14*E14</f>
        <v>7500</v>
      </c>
      <c r="G14" t="s">
        <v>184</v>
      </c>
    </row>
    <row r="15" spans="1:7" x14ac:dyDescent="0.25">
      <c r="A15" t="s">
        <v>179</v>
      </c>
      <c r="B15" t="s">
        <v>185</v>
      </c>
      <c r="C15" t="s">
        <v>103</v>
      </c>
      <c r="D15" s="45"/>
      <c r="E15" s="5">
        <v>8000</v>
      </c>
      <c r="F15" s="5">
        <f t="shared" si="1"/>
        <v>0</v>
      </c>
      <c r="G15" t="s">
        <v>186</v>
      </c>
    </row>
    <row r="16" spans="1:7" x14ac:dyDescent="0.25">
      <c r="A16" t="s">
        <v>179</v>
      </c>
      <c r="B16" t="s">
        <v>187</v>
      </c>
      <c r="C16" t="s">
        <v>103</v>
      </c>
      <c r="D16" s="45"/>
      <c r="E16" s="5">
        <v>10000</v>
      </c>
      <c r="F16" s="5">
        <f t="shared" si="1"/>
        <v>0</v>
      </c>
      <c r="G16" t="s">
        <v>188</v>
      </c>
    </row>
    <row r="17" spans="1:7" x14ac:dyDescent="0.25">
      <c r="A17" t="s">
        <v>179</v>
      </c>
      <c r="B17" t="s">
        <v>189</v>
      </c>
      <c r="C17" t="s">
        <v>103</v>
      </c>
      <c r="D17" s="45"/>
      <c r="E17" s="5">
        <v>6000</v>
      </c>
      <c r="F17" s="5">
        <f t="shared" si="1"/>
        <v>0</v>
      </c>
    </row>
    <row r="18" spans="1:7" x14ac:dyDescent="0.25">
      <c r="A18" t="s">
        <v>179</v>
      </c>
      <c r="B18" t="s">
        <v>190</v>
      </c>
      <c r="C18" t="s">
        <v>103</v>
      </c>
      <c r="D18" s="45"/>
      <c r="E18" s="5">
        <v>12000</v>
      </c>
      <c r="F18" s="5">
        <f t="shared" si="1"/>
        <v>0</v>
      </c>
      <c r="G18" t="s">
        <v>191</v>
      </c>
    </row>
    <row r="19" spans="1:7" x14ac:dyDescent="0.25">
      <c r="A19" t="s">
        <v>179</v>
      </c>
      <c r="B19" t="s">
        <v>192</v>
      </c>
      <c r="C19" t="s">
        <v>103</v>
      </c>
      <c r="D19" s="45">
        <v>1</v>
      </c>
      <c r="E19" s="5">
        <v>8000</v>
      </c>
      <c r="F19" s="5">
        <f t="shared" si="1"/>
        <v>8000</v>
      </c>
      <c r="G19" t="s">
        <v>193</v>
      </c>
    </row>
    <row r="20" spans="1:7" s="104" customFormat="1" x14ac:dyDescent="0.25">
      <c r="A20" s="104" t="s">
        <v>179</v>
      </c>
      <c r="B20" s="104" t="s">
        <v>484</v>
      </c>
      <c r="C20" s="104" t="s">
        <v>103</v>
      </c>
      <c r="D20" s="45">
        <v>1</v>
      </c>
      <c r="E20" s="5">
        <f>ROUND((3676+1600)/(1+НДС),0)</f>
        <v>4548</v>
      </c>
      <c r="F20" s="5">
        <f>D20*E20</f>
        <v>4548</v>
      </c>
      <c r="G20" s="104" t="s">
        <v>486</v>
      </c>
    </row>
    <row r="21" spans="1:7" x14ac:dyDescent="0.25">
      <c r="A21" s="7"/>
      <c r="B21" s="7" t="s">
        <v>313</v>
      </c>
      <c r="C21" s="7"/>
      <c r="D21" s="32"/>
      <c r="E21" s="6"/>
      <c r="F21" s="6">
        <f>SUM(F14:F20)</f>
        <v>20048</v>
      </c>
      <c r="G21" s="7"/>
    </row>
  </sheetData>
  <pageMargins left="0.7" right="0.7" top="0.75" bottom="0.75" header="0.3" footer="0.3"/>
  <pageSetup paperSize="9" scale="6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zoomScaleNormal="100" workbookViewId="0">
      <selection activeCell="D39" sqref="D39"/>
    </sheetView>
  </sheetViews>
  <sheetFormatPr defaultColWidth="8.7109375" defaultRowHeight="15" x14ac:dyDescent="0.25"/>
  <cols>
    <col min="1" max="1" width="5.7109375" customWidth="1"/>
    <col min="2" max="2" width="62.7109375" customWidth="1"/>
    <col min="3" max="3" width="10.7109375" customWidth="1"/>
    <col min="4" max="4" width="22.7109375" customWidth="1"/>
    <col min="5" max="5" width="7.7109375" customWidth="1"/>
    <col min="6" max="6" width="13.7109375" customWidth="1"/>
    <col min="7" max="7" width="14.7109375" customWidth="1"/>
  </cols>
  <sheetData>
    <row r="1" spans="1:7" ht="15.75" customHeight="1" x14ac:dyDescent="0.3">
      <c r="A1" s="1" t="s">
        <v>129</v>
      </c>
    </row>
    <row r="2" spans="1:7" ht="15" customHeight="1" x14ac:dyDescent="0.25">
      <c r="A2" s="2"/>
    </row>
    <row r="4" spans="1:7" ht="27.75" customHeight="1" x14ac:dyDescent="0.25">
      <c r="A4" s="3" t="s">
        <v>65</v>
      </c>
      <c r="B4" s="3" t="s">
        <v>130</v>
      </c>
      <c r="C4" s="3" t="s">
        <v>131</v>
      </c>
      <c r="D4" s="3" t="s">
        <v>132</v>
      </c>
      <c r="E4" s="3" t="s">
        <v>71</v>
      </c>
      <c r="F4" s="3" t="s">
        <v>94</v>
      </c>
      <c r="G4" s="3" t="s">
        <v>133</v>
      </c>
    </row>
    <row r="5" spans="1:7" ht="15" customHeight="1" x14ac:dyDescent="0.25">
      <c r="A5" s="7" t="s">
        <v>134</v>
      </c>
      <c r="B5" s="7"/>
      <c r="C5" s="7"/>
      <c r="D5" s="7"/>
      <c r="E5" s="7"/>
      <c r="F5" s="7"/>
      <c r="G5" s="7"/>
    </row>
    <row r="6" spans="1:7" ht="15" customHeight="1" x14ac:dyDescent="0.25">
      <c r="A6">
        <v>1</v>
      </c>
      <c r="B6" t="s">
        <v>135</v>
      </c>
      <c r="C6">
        <v>5659</v>
      </c>
      <c r="D6" t="s">
        <v>136</v>
      </c>
      <c r="E6">
        <v>0</v>
      </c>
      <c r="F6" s="5">
        <v>1669990</v>
      </c>
      <c r="G6" s="5">
        <f t="shared" ref="G6:G12" si="0">E6*F6</f>
        <v>0</v>
      </c>
    </row>
    <row r="7" spans="1:7" ht="15" customHeight="1" x14ac:dyDescent="0.25">
      <c r="A7">
        <v>2</v>
      </c>
      <c r="B7" t="s">
        <v>137</v>
      </c>
      <c r="C7">
        <v>2584</v>
      </c>
      <c r="D7" t="s">
        <v>138</v>
      </c>
      <c r="E7">
        <v>0</v>
      </c>
      <c r="F7" s="5">
        <v>485990</v>
      </c>
      <c r="G7" s="5">
        <f t="shared" si="0"/>
        <v>0</v>
      </c>
    </row>
    <row r="8" spans="1:7" ht="15" customHeight="1" x14ac:dyDescent="0.25">
      <c r="A8">
        <v>4</v>
      </c>
      <c r="B8" t="s">
        <v>139</v>
      </c>
      <c r="C8">
        <v>6218</v>
      </c>
      <c r="D8" t="s">
        <v>138</v>
      </c>
      <c r="E8">
        <v>0</v>
      </c>
      <c r="F8" s="5">
        <v>479990</v>
      </c>
      <c r="G8" s="5">
        <f t="shared" si="0"/>
        <v>0</v>
      </c>
    </row>
    <row r="9" spans="1:7" ht="15" customHeight="1" x14ac:dyDescent="0.25">
      <c r="A9">
        <v>6</v>
      </c>
      <c r="B9" t="s">
        <v>140</v>
      </c>
      <c r="C9">
        <v>4240</v>
      </c>
      <c r="D9" t="s">
        <v>138</v>
      </c>
      <c r="E9">
        <v>0</v>
      </c>
      <c r="F9" s="5">
        <v>104990</v>
      </c>
      <c r="G9" s="5">
        <f t="shared" si="0"/>
        <v>0</v>
      </c>
    </row>
    <row r="10" spans="1:7" ht="15" customHeight="1" x14ac:dyDescent="0.25">
      <c r="A10">
        <v>7</v>
      </c>
      <c r="B10" t="s">
        <v>141</v>
      </c>
      <c r="C10">
        <v>6976</v>
      </c>
      <c r="D10" t="s">
        <v>138</v>
      </c>
      <c r="E10">
        <v>0</v>
      </c>
      <c r="F10" s="5">
        <v>119990</v>
      </c>
      <c r="G10" s="5">
        <f t="shared" si="0"/>
        <v>0</v>
      </c>
    </row>
    <row r="11" spans="1:7" ht="15" customHeight="1" x14ac:dyDescent="0.25">
      <c r="A11">
        <v>9</v>
      </c>
      <c r="B11" t="s">
        <v>142</v>
      </c>
      <c r="C11">
        <v>3288</v>
      </c>
      <c r="D11" t="s">
        <v>138</v>
      </c>
      <c r="E11">
        <v>0</v>
      </c>
      <c r="F11" s="5">
        <v>58990</v>
      </c>
      <c r="G11" s="5">
        <f t="shared" si="0"/>
        <v>0</v>
      </c>
    </row>
    <row r="12" spans="1:7" ht="15" customHeight="1" x14ac:dyDescent="0.25">
      <c r="A12">
        <v>10</v>
      </c>
      <c r="B12" t="s">
        <v>143</v>
      </c>
      <c r="C12">
        <v>1756</v>
      </c>
      <c r="D12" t="s">
        <v>138</v>
      </c>
      <c r="E12">
        <v>0</v>
      </c>
      <c r="F12" s="5">
        <v>31990</v>
      </c>
      <c r="G12" s="5">
        <f t="shared" si="0"/>
        <v>0</v>
      </c>
    </row>
    <row r="13" spans="1:7" ht="15" customHeight="1" x14ac:dyDescent="0.25">
      <c r="A13" s="7"/>
      <c r="B13" s="7" t="s">
        <v>144</v>
      </c>
      <c r="C13" s="7"/>
      <c r="D13" s="7"/>
      <c r="E13" s="7"/>
      <c r="F13" s="6"/>
      <c r="G13" s="6">
        <f>SUM(G6:G12)</f>
        <v>0</v>
      </c>
    </row>
    <row r="14" spans="1:7" ht="15" customHeight="1" x14ac:dyDescent="0.25">
      <c r="F14" s="5"/>
      <c r="G14" s="5"/>
    </row>
    <row r="15" spans="1:7" ht="15" customHeight="1" x14ac:dyDescent="0.25">
      <c r="A15" s="7" t="s">
        <v>308</v>
      </c>
      <c r="B15" s="7"/>
      <c r="C15" s="7"/>
      <c r="D15" s="7"/>
      <c r="E15" s="7"/>
      <c r="F15" s="6"/>
      <c r="G15" s="6"/>
    </row>
    <row r="16" spans="1:7" ht="15" customHeight="1" x14ac:dyDescent="0.25">
      <c r="A16">
        <v>2.1</v>
      </c>
      <c r="B16" t="s">
        <v>145</v>
      </c>
      <c r="E16">
        <v>0</v>
      </c>
      <c r="F16" s="5">
        <v>240000</v>
      </c>
      <c r="G16" s="5">
        <f t="shared" ref="G16" si="1">E16*F16</f>
        <v>0</v>
      </c>
    </row>
    <row r="17" spans="1:7" ht="15" customHeight="1" x14ac:dyDescent="0.25">
      <c r="A17" s="7"/>
      <c r="B17" s="7" t="s">
        <v>146</v>
      </c>
      <c r="C17" s="7"/>
      <c r="D17" s="7"/>
      <c r="E17" s="7"/>
      <c r="F17" s="6"/>
      <c r="G17" s="6">
        <f>SUM(G16:G16)</f>
        <v>0</v>
      </c>
    </row>
    <row r="18" spans="1:7" ht="15" customHeight="1" x14ac:dyDescent="0.25">
      <c r="F18" s="5"/>
      <c r="G18" s="5"/>
    </row>
    <row r="19" spans="1:7" ht="15" customHeight="1" x14ac:dyDescent="0.25">
      <c r="A19" s="7" t="s">
        <v>147</v>
      </c>
      <c r="B19" s="7"/>
      <c r="C19" s="7"/>
      <c r="D19" s="7"/>
      <c r="E19" s="7"/>
      <c r="F19" s="6"/>
      <c r="G19" s="6"/>
    </row>
    <row r="20" spans="1:7" ht="15" customHeight="1" x14ac:dyDescent="0.25">
      <c r="A20">
        <v>3.3</v>
      </c>
      <c r="B20" t="s">
        <v>148</v>
      </c>
      <c r="E20">
        <v>0</v>
      </c>
      <c r="F20" s="5">
        <v>250000</v>
      </c>
      <c r="G20" s="5">
        <f>E20*F20</f>
        <v>0</v>
      </c>
    </row>
    <row r="21" spans="1:7" ht="15" customHeight="1" x14ac:dyDescent="0.25">
      <c r="A21">
        <v>3.4</v>
      </c>
      <c r="B21" t="s">
        <v>149</v>
      </c>
      <c r="E21">
        <v>2</v>
      </c>
      <c r="F21" s="5">
        <v>150000</v>
      </c>
      <c r="G21" s="5">
        <f>E21*F21</f>
        <v>300000</v>
      </c>
    </row>
    <row r="22" spans="1:7" ht="15" customHeight="1" x14ac:dyDescent="0.25">
      <c r="A22" s="7"/>
      <c r="B22" s="7" t="s">
        <v>150</v>
      </c>
      <c r="C22" s="7"/>
      <c r="D22" s="7"/>
      <c r="E22" s="7"/>
      <c r="F22" s="6"/>
      <c r="G22" s="6">
        <f>SUM(G20:G21)</f>
        <v>300000</v>
      </c>
    </row>
    <row r="23" spans="1:7" ht="15" customHeight="1" x14ac:dyDescent="0.25">
      <c r="F23" s="5"/>
      <c r="G23" s="5"/>
    </row>
    <row r="24" spans="1:7" ht="15" customHeight="1" x14ac:dyDescent="0.25">
      <c r="A24" s="11"/>
      <c r="B24" s="11" t="s">
        <v>151</v>
      </c>
      <c r="C24" s="11"/>
      <c r="D24" s="11"/>
      <c r="E24" s="11"/>
      <c r="F24" s="12"/>
      <c r="G24" s="12">
        <f>G13+G17+G22</f>
        <v>300000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 x14ac:dyDescent="0.25"/>
  <cols>
    <col min="1" max="1" width="44.7109375" customWidth="1"/>
    <col min="2" max="2" width="46.7109375" customWidth="1"/>
    <col min="3" max="3" width="18.7109375" customWidth="1"/>
    <col min="4" max="6" width="15.7109375" customWidth="1"/>
  </cols>
  <sheetData>
    <row r="1" spans="1:6" ht="15.75" x14ac:dyDescent="0.25">
      <c r="A1" s="107" t="s">
        <v>498</v>
      </c>
    </row>
    <row r="3" spans="1:6" ht="30" x14ac:dyDescent="0.25">
      <c r="A3" s="108" t="s">
        <v>67</v>
      </c>
      <c r="B3" s="108" t="s">
        <v>499</v>
      </c>
      <c r="C3" s="108" t="s">
        <v>500</v>
      </c>
      <c r="D3" s="108" t="s">
        <v>501</v>
      </c>
      <c r="E3" s="108" t="s">
        <v>502</v>
      </c>
      <c r="F3" s="108" t="s">
        <v>503</v>
      </c>
    </row>
    <row r="4" spans="1:6" ht="30" x14ac:dyDescent="0.25">
      <c r="A4" s="109" t="s">
        <v>504</v>
      </c>
      <c r="B4" s="109" t="s">
        <v>505</v>
      </c>
      <c r="C4" s="109" t="s">
        <v>506</v>
      </c>
      <c r="D4" s="110">
        <v>1300000</v>
      </c>
      <c r="E4" s="110">
        <f t="shared" ref="E4:E10" si="0">ROUND(Ставка_СН*D4*(1-Ставка_ОПВ-Ставка_ВОСМС)+Ставка_ОПВР*D4+Ставка_СО*MIN(D4*(1-Ставка_ОПВ),Кап_СО*МЗП)+Ставка_ООСМС*MIN(D4,Кап_ООСМС*МЗП),0)</f>
        <v>182890</v>
      </c>
      <c r="F4" s="110">
        <f t="shared" ref="F4:F10" si="1">D4+E4</f>
        <v>1482890</v>
      </c>
    </row>
    <row r="5" spans="1:6" ht="30" x14ac:dyDescent="0.25">
      <c r="A5" s="109" t="s">
        <v>221</v>
      </c>
      <c r="B5" s="109" t="s">
        <v>505</v>
      </c>
      <c r="C5" s="109" t="s">
        <v>507</v>
      </c>
      <c r="D5" s="110">
        <v>1000000</v>
      </c>
      <c r="E5" s="110">
        <f t="shared" si="0"/>
        <v>147550</v>
      </c>
      <c r="F5" s="110">
        <f t="shared" si="1"/>
        <v>1147550</v>
      </c>
    </row>
    <row r="6" spans="1:6" ht="30" x14ac:dyDescent="0.25">
      <c r="A6" s="109" t="s">
        <v>223</v>
      </c>
      <c r="B6" s="109" t="s">
        <v>505</v>
      </c>
      <c r="C6" s="109" t="s">
        <v>508</v>
      </c>
      <c r="D6" s="110">
        <v>700000</v>
      </c>
      <c r="E6" s="110">
        <f t="shared" si="0"/>
        <v>112210</v>
      </c>
      <c r="F6" s="110">
        <f t="shared" si="1"/>
        <v>812210</v>
      </c>
    </row>
    <row r="7" spans="1:6" ht="30" x14ac:dyDescent="0.25">
      <c r="A7" s="109" t="s">
        <v>223</v>
      </c>
      <c r="B7" s="109" t="s">
        <v>505</v>
      </c>
      <c r="C7" s="109" t="s">
        <v>509</v>
      </c>
      <c r="D7" s="110">
        <v>700000</v>
      </c>
      <c r="E7" s="110">
        <f t="shared" si="0"/>
        <v>112210</v>
      </c>
      <c r="F7" s="110">
        <f t="shared" si="1"/>
        <v>812210</v>
      </c>
    </row>
    <row r="8" spans="1:6" ht="30" x14ac:dyDescent="0.25">
      <c r="A8" s="109" t="s">
        <v>223</v>
      </c>
      <c r="B8" s="109" t="s">
        <v>505</v>
      </c>
      <c r="C8" s="109" t="s">
        <v>510</v>
      </c>
      <c r="D8" s="110">
        <v>700000</v>
      </c>
      <c r="E8" s="110">
        <f t="shared" si="0"/>
        <v>112210</v>
      </c>
      <c r="F8" s="110">
        <f t="shared" si="1"/>
        <v>812210</v>
      </c>
    </row>
    <row r="9" spans="1:6" x14ac:dyDescent="0.25">
      <c r="A9" s="109" t="s">
        <v>511</v>
      </c>
      <c r="B9" s="109" t="s">
        <v>512</v>
      </c>
      <c r="C9" s="109" t="s">
        <v>513</v>
      </c>
      <c r="D9" s="110">
        <v>700000</v>
      </c>
      <c r="E9" s="110">
        <f t="shared" si="0"/>
        <v>112210</v>
      </c>
      <c r="F9" s="110">
        <f t="shared" si="1"/>
        <v>812210</v>
      </c>
    </row>
    <row r="10" spans="1:6" x14ac:dyDescent="0.25">
      <c r="A10" s="109" t="s">
        <v>553</v>
      </c>
      <c r="B10" s="109" t="s">
        <v>514</v>
      </c>
      <c r="C10" s="109" t="s">
        <v>515</v>
      </c>
      <c r="D10" s="110">
        <v>800000</v>
      </c>
      <c r="E10" s="110">
        <f t="shared" si="0"/>
        <v>123990</v>
      </c>
      <c r="F10" s="110">
        <f t="shared" si="1"/>
        <v>923990</v>
      </c>
    </row>
    <row r="11" spans="1:6" x14ac:dyDescent="0.25">
      <c r="A11" s="111" t="s">
        <v>516</v>
      </c>
      <c r="B11" s="111"/>
      <c r="C11" s="111"/>
      <c r="D11" s="112">
        <f>SUM(D4:D10)</f>
        <v>5900000</v>
      </c>
      <c r="E11" s="112">
        <f>SUM(E4:E10)</f>
        <v>903270</v>
      </c>
      <c r="F11" s="112">
        <f>SUM(F4:F10)</f>
        <v>6803270</v>
      </c>
    </row>
    <row r="12" spans="1:6" x14ac:dyDescent="0.25">
      <c r="A12" s="109"/>
      <c r="B12" s="109"/>
      <c r="C12" s="109"/>
      <c r="D12" s="110"/>
      <c r="E12" s="110"/>
      <c r="F12" s="110"/>
    </row>
    <row r="13" spans="1:6" ht="30" x14ac:dyDescent="0.25">
      <c r="A13" s="111" t="s">
        <v>517</v>
      </c>
      <c r="B13" s="109"/>
      <c r="C13" s="109"/>
      <c r="D13" s="110"/>
      <c r="E13" s="110"/>
      <c r="F13" s="110"/>
    </row>
    <row r="14" spans="1:6" x14ac:dyDescent="0.25">
      <c r="A14" s="108" t="s">
        <v>166</v>
      </c>
      <c r="B14" s="108" t="s">
        <v>518</v>
      </c>
      <c r="C14" s="108"/>
      <c r="D14" s="113" t="s">
        <v>71</v>
      </c>
      <c r="E14" s="113" t="s">
        <v>519</v>
      </c>
      <c r="F14" s="113" t="s">
        <v>520</v>
      </c>
    </row>
    <row r="15" spans="1:6" ht="30" x14ac:dyDescent="0.25">
      <c r="A15" s="109" t="s">
        <v>521</v>
      </c>
      <c r="B15" s="109" t="s">
        <v>522</v>
      </c>
      <c r="C15" s="109"/>
      <c r="D15" s="110">
        <v>5</v>
      </c>
      <c r="E15" s="110">
        <f>'Оснащение и офис'!E8</f>
        <v>69708</v>
      </c>
      <c r="F15" s="110">
        <f>D15*E15</f>
        <v>348540</v>
      </c>
    </row>
    <row r="16" spans="1:6" ht="30" x14ac:dyDescent="0.25">
      <c r="A16" s="109" t="s">
        <v>523</v>
      </c>
      <c r="B16" s="109" t="s">
        <v>524</v>
      </c>
      <c r="C16" s="109"/>
      <c r="D16" s="110">
        <v>6</v>
      </c>
      <c r="E16" s="110">
        <f>'Оснащение и офис'!E9</f>
        <v>14750</v>
      </c>
      <c r="F16" s="110">
        <f>D16*E16</f>
        <v>88500</v>
      </c>
    </row>
    <row r="17" spans="1:6" x14ac:dyDescent="0.25">
      <c r="A17" s="109" t="s">
        <v>525</v>
      </c>
      <c r="B17" s="109" t="s">
        <v>526</v>
      </c>
      <c r="C17" s="109"/>
      <c r="D17" s="110">
        <v>7</v>
      </c>
      <c r="E17" s="110">
        <f>'Оснащение и офис'!E37</f>
        <v>3550</v>
      </c>
      <c r="F17" s="110">
        <f>D17*E17</f>
        <v>24850</v>
      </c>
    </row>
    <row r="18" spans="1:6" ht="30" x14ac:dyDescent="0.25">
      <c r="A18" s="109" t="s">
        <v>203</v>
      </c>
      <c r="B18" s="109" t="s">
        <v>527</v>
      </c>
      <c r="C18" s="109"/>
      <c r="D18" s="110"/>
      <c r="E18" s="110"/>
      <c r="F18" s="110">
        <f>ROUND((F15+F16)*Сборка_мебели_проц,0)</f>
        <v>43704</v>
      </c>
    </row>
    <row r="19" spans="1:6" x14ac:dyDescent="0.25">
      <c r="A19" s="111" t="s">
        <v>528</v>
      </c>
      <c r="B19" s="111"/>
      <c r="C19" s="111"/>
      <c r="D19" s="112"/>
      <c r="E19" s="112"/>
      <c r="F19" s="112">
        <f>SUM(F15:F18)</f>
        <v>505594</v>
      </c>
    </row>
    <row r="20" spans="1:6" x14ac:dyDescent="0.25">
      <c r="A20" s="109"/>
      <c r="B20" s="109"/>
      <c r="C20" s="109"/>
      <c r="D20" s="110"/>
      <c r="E20" s="110"/>
      <c r="F20" s="110"/>
    </row>
    <row r="21" spans="1:6" x14ac:dyDescent="0.25">
      <c r="A21" s="111" t="s">
        <v>529</v>
      </c>
      <c r="B21" s="109"/>
      <c r="C21" s="109"/>
      <c r="D21" s="110"/>
      <c r="E21" s="110"/>
      <c r="F21" s="110"/>
    </row>
    <row r="22" spans="1:6" x14ac:dyDescent="0.25">
      <c r="A22" s="109" t="s">
        <v>530</v>
      </c>
      <c r="B22" s="109"/>
      <c r="C22" s="109"/>
      <c r="D22" s="110">
        <v>7</v>
      </c>
      <c r="E22" s="110">
        <f>'Оснащение и офис'!E68</f>
        <v>7000</v>
      </c>
      <c r="F22" s="110">
        <f>D22*E22</f>
        <v>49000</v>
      </c>
    </row>
    <row r="23" spans="1:6" x14ac:dyDescent="0.25">
      <c r="A23" s="109" t="s">
        <v>531</v>
      </c>
      <c r="B23" s="109" t="s">
        <v>532</v>
      </c>
      <c r="C23" s="109"/>
      <c r="D23" s="110"/>
      <c r="E23" s="110"/>
      <c r="F23" s="110">
        <f>ROUND(0.29%*12*D11,-3)</f>
        <v>205000</v>
      </c>
    </row>
    <row r="24" spans="1:6" ht="45" x14ac:dyDescent="0.25">
      <c r="A24" s="109" t="s">
        <v>533</v>
      </c>
      <c r="B24" s="109" t="s">
        <v>534</v>
      </c>
      <c r="C24" s="109"/>
      <c r="D24" s="110"/>
      <c r="E24" s="110"/>
      <c r="F24" s="110">
        <f>5*6/12*Поездка_РК+1*(3/12*Поездка_РК+3*Поездка_местн)</f>
        <v>596062.5</v>
      </c>
    </row>
    <row r="25" spans="1:6" x14ac:dyDescent="0.25">
      <c r="A25" s="109" t="s">
        <v>559</v>
      </c>
      <c r="B25" s="109" t="s">
        <v>535</v>
      </c>
      <c r="C25" s="109"/>
      <c r="D25" s="110"/>
      <c r="E25" s="110"/>
      <c r="F25" s="110">
        <f>Проекты!G13/3</f>
        <v>29078106.666666668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45</vt:i4>
      </vt:variant>
    </vt:vector>
  </HeadingPairs>
  <TitlesOfParts>
    <vt:vector size="62" baseType="lpstr">
      <vt:lpstr>Свод</vt:lpstr>
      <vt:lpstr>Параметры</vt:lpstr>
      <vt:lpstr>Штат</vt:lpstr>
      <vt:lpstr>Аутсорс</vt:lpstr>
      <vt:lpstr>Комиссия Antal</vt:lpstr>
      <vt:lpstr>Командировки</vt:lpstr>
      <vt:lpstr>Оснащение и офис</vt:lpstr>
      <vt:lpstr>Проекты</vt:lpstr>
      <vt:lpstr>Taza talqy</vt:lpstr>
      <vt:lpstr>Презентация офисе</vt:lpstr>
      <vt:lpstr>креативные проекты</vt:lpstr>
      <vt:lpstr>Информ сопровождение</vt:lpstr>
      <vt:lpstr>Соц исследования</vt:lpstr>
      <vt:lpstr>Разработка платформы</vt:lpstr>
      <vt:lpstr>Канцелярия</vt:lpstr>
      <vt:lpstr>Смета фото-видео</vt:lpstr>
      <vt:lpstr>Февраль 2027</vt:lpstr>
      <vt:lpstr>Авиа_межд</vt:lpstr>
      <vt:lpstr>Авиа_РК</vt:lpstr>
      <vt:lpstr>Аренда_депозит</vt:lpstr>
      <vt:lpstr>Аренда_мес</vt:lpstr>
      <vt:lpstr>Аренда_мес_2026</vt:lpstr>
      <vt:lpstr>Аренда_с_НДС</vt:lpstr>
      <vt:lpstr>Депозит_мес</vt:lpstr>
      <vt:lpstr>Дней_межд</vt:lpstr>
      <vt:lpstr>Дней_РК</vt:lpstr>
      <vt:lpstr>Кап_ООСМС</vt:lpstr>
      <vt:lpstr>Кап_СО</vt:lpstr>
      <vt:lpstr>Коммун_мес</vt:lpstr>
      <vt:lpstr>Курс</vt:lpstr>
      <vt:lpstr>Мес_2026_новые</vt:lpstr>
      <vt:lpstr>МЗП</vt:lpstr>
      <vt:lpstr>МРП</vt:lpstr>
      <vt:lpstr>НДС</vt:lpstr>
      <vt:lpstr>Ночей_межд</vt:lpstr>
      <vt:lpstr>Ночей_РК</vt:lpstr>
      <vt:lpstr>Обязательства_ЗП</vt:lpstr>
      <vt:lpstr>Обязательства_НДС</vt:lpstr>
      <vt:lpstr>Обязательства_прочие</vt:lpstr>
      <vt:lpstr>ОСНС</vt:lpstr>
      <vt:lpstr>ОСНС_полис</vt:lpstr>
      <vt:lpstr>Отель_межд</vt:lpstr>
      <vt:lpstr>Отель_РК</vt:lpstr>
      <vt:lpstr>Парковка_мест</vt:lpstr>
      <vt:lpstr>Парковка_цена</vt:lpstr>
      <vt:lpstr>Площадь_офиса</vt:lpstr>
      <vt:lpstr>Поездка_межд</vt:lpstr>
      <vt:lpstr>Поездка_местн</vt:lpstr>
      <vt:lpstr>Поездка_РК</vt:lpstr>
      <vt:lpstr>Резерв</vt:lpstr>
      <vt:lpstr>Сборка_мебели_проц</vt:lpstr>
      <vt:lpstr>Ставка_аренды_м2</vt:lpstr>
      <vt:lpstr>Ставка_ВОСМС</vt:lpstr>
      <vt:lpstr>Ставка_ООСМС</vt:lpstr>
      <vt:lpstr>Ставка_ОПВ</vt:lpstr>
      <vt:lpstr>Ставка_ОПВР</vt:lpstr>
      <vt:lpstr>Ставка_СН</vt:lpstr>
      <vt:lpstr>Ставка_СО</vt:lpstr>
      <vt:lpstr>Страх_межд</vt:lpstr>
      <vt:lpstr>Сут_межд</vt:lpstr>
      <vt:lpstr>Сут_РК</vt:lpstr>
      <vt:lpstr>Трансп_РК</vt:lpstr>
    </vt:vector>
  </TitlesOfParts>
  <Company>CACF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dc:description/>
  <cp:lastModifiedBy>Temirbekov</cp:lastModifiedBy>
  <cp:revision>0</cp:revision>
  <cp:lastPrinted>2026-10-10T04:31:58Z</cp:lastPrinted>
  <dcterms:created xsi:type="dcterms:W3CDTF">2026-09-12T13:59:35Z</dcterms:created>
  <dcterms:modified xsi:type="dcterms:W3CDTF">2026-10-30T10:28:22Z</dcterms:modified>
  <dc:language>en-US</dc:language>
</cp:coreProperties>
</file>