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bsidian\Procurement\_документы\"/>
    </mc:Choice>
  </mc:AlternateContent>
  <bookViews>
    <workbookView xWindow="0" yWindow="0" windowWidth="21570" windowHeight="10125" activeTab="1"/>
  </bookViews>
  <sheets>
    <sheet name="Свод" sheetId="3" r:id="rId1"/>
    <sheet name="IV кв. 2026" sheetId="1" r:id="rId2"/>
    <sheet name="Цены поставщика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3" l="1"/>
  <c r="C15" i="3"/>
  <c r="B15" i="3"/>
  <c r="C14" i="3"/>
  <c r="C13" i="3"/>
  <c r="C12" i="3"/>
  <c r="C11" i="3"/>
  <c r="C10" i="3"/>
  <c r="C9" i="3"/>
  <c r="C8" i="3"/>
  <c r="C7" i="3"/>
  <c r="C6" i="3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</calcChain>
</file>

<file path=xl/sharedStrings.xml><?xml version="1.0" encoding="utf-8"?>
<sst xmlns="http://schemas.openxmlformats.org/spreadsheetml/2006/main" count="742" uniqueCount="302">
  <si>
    <t>Утвержден Решением Управляющего Совета</t>
  </si>
  <si>
    <t>ЧФ "Central Asia Climate Foundation"</t>
  </si>
  <si>
    <t>БИН: 240240900538</t>
  </si>
  <si>
    <t>Наименование организации (на казахском языке): "Central Asia Climate Foundation" Жеке Қор. Наименование организации (на русском языке): Частный Фонд "Central Asia Climate Foundation"</t>
  </si>
  <si>
    <t>Приоритетность</t>
  </si>
  <si>
    <t>№</t>
  </si>
  <si>
    <t>Вид предмета закупок</t>
  </si>
  <si>
    <t>Наименование закупаемых товаров, работ и услуг</t>
  </si>
  <si>
    <t>Характеристика (описание) товаров, работ и услуг</t>
  </si>
  <si>
    <t>Способ закупки</t>
  </si>
  <si>
    <t>Объём, кол-во единиц</t>
  </si>
  <si>
    <t>Стоимость единицы с НДС, тенге</t>
  </si>
  <si>
    <t>Сумма для закупки с НДС, тенге</t>
  </si>
  <si>
    <t>Планируемый срок осуществления закупок (месяц)</t>
  </si>
  <si>
    <t>Планируемый срок поставки товара, выполнения работ, оказания услуг</t>
  </si>
  <si>
    <t>Место поставки товара, выполнения работ, оказания услуг</t>
  </si>
  <si>
    <t>Примечание (раздел бюджета, источник цены)</t>
  </si>
  <si>
    <t>Товар</t>
  </si>
  <si>
    <t>Ноутбук стандартный</t>
  </si>
  <si>
    <t>Core i5 / Ryzen 5, 16 ГБ ОЗУ, SSD 512 ГБ, Windows 11 Pro, гарантия 12 мес. Доставка и настройка в офисе Заказчика.</t>
  </si>
  <si>
    <t>ЗЦП</t>
  </si>
  <si>
    <t>октябрь 2026</t>
  </si>
  <si>
    <t>октябрь–ноябрь 2026</t>
  </si>
  <si>
    <t>Астана</t>
  </si>
  <si>
    <t>Ноутбук производительный</t>
  </si>
  <si>
    <t>Монитор 24" с клавиатурой, мышью и гарнитурой</t>
  </si>
  <si>
    <t>Комплект на рабочее место: монитор 24" IPS Full HD, проводная клавиатура и мышь, гарнитура с микрофоном.</t>
  </si>
  <si>
    <t>Мебель: рабочее место (стол, кресло, тумба)</t>
  </si>
  <si>
    <t>Стол, эргономичное кресло, тумба. 16 рабочих мест в open space и 3 гостевых (продакшн-группа, региональные координаторы в приезд).</t>
  </si>
  <si>
    <t>Мебель кабинетов руководства</t>
  </si>
  <si>
    <t>Оснащение</t>
  </si>
  <si>
    <t>Мебель переговорной</t>
  </si>
  <si>
    <t>Стол переговорный и 12 стульев.</t>
  </si>
  <si>
    <t>ноябрь 2026</t>
  </si>
  <si>
    <t>Шкафы для документов и сейф</t>
  </si>
  <si>
    <t>МФУ цветное А3</t>
  </si>
  <si>
    <t>Тонеры CMYK для МФУ А3</t>
  </si>
  <si>
    <t>Стартовый и резервный комплекты по 4 цвета, оригинальные или рекомендованные производителем.</t>
  </si>
  <si>
    <t>МФУ А4 чёрно-белое</t>
  </si>
  <si>
    <t>Картриджи для МФУ А4 (резерв)</t>
  </si>
  <si>
    <t>Электронный магазин / ЗЦП</t>
  </si>
  <si>
    <t>ноябрь–декабрь 2026</t>
  </si>
  <si>
    <t>Конференц-камера и спикерфон</t>
  </si>
  <si>
    <t>Комплект для ВКС с акиматами и региональными координаторами: камера с широким углом, спикерфон.</t>
  </si>
  <si>
    <t>Товар, работа</t>
  </si>
  <si>
    <t>Сетевое оборудование и СКС с монтажом</t>
  </si>
  <si>
    <t>Сетевой накопитель (NAS) с дисками</t>
  </si>
  <si>
    <t>Кинокамера Canon EOS C70</t>
  </si>
  <si>
    <t>Кинокамера Canon EOS C70 Cinema Camera (арт. 5659): сенсор Super 35 DGO, крепление RF, встроенные ND-фильтры, запись 4K. Гарантия производителя, доставка.</t>
  </si>
  <si>
    <t>Объектив Canon RF 24-105mm f/4L IS USM</t>
  </si>
  <si>
    <t>Штатный зум-объектив с байонетом RF (арт. 2584), стабилизация, для съёмки мероприятий.</t>
  </si>
  <si>
    <t>Электронный стабилизатор DJI RS 4 Pro Combo</t>
  </si>
  <si>
    <t>Трёхосевой стабилизатор для камеры с нагрузкой до 4,5 кг (арт. 6218), в комплектации Combo.</t>
  </si>
  <si>
    <t>Монопод E-Image MA600+610FH</t>
  </si>
  <si>
    <t>Монопод с видеоголовой (арт. 3288) для съёмки мероприятий.</t>
  </si>
  <si>
    <t>Видеоштатив с видеоголовой</t>
  </si>
  <si>
    <t>Штатив для видеосъёмки с жидкостной видеоголовой, нагрузка не менее 8 кг, чехол.</t>
  </si>
  <si>
    <t>Сумка для видеокамеры E-Image OSCAR S50</t>
  </si>
  <si>
    <t>Транспортная сумка для кинокамеры и оптики (арт. 1756, EB0925).</t>
  </si>
  <si>
    <t>Беспроводная микрофонная система DJI Mic 3</t>
  </si>
  <si>
    <t>Карта памяти Sony 128GB SF-G Tough UHS-II SDXC</t>
  </si>
  <si>
    <t>Внешний SSD 2 ТБ</t>
  </si>
  <si>
    <t>Внешний твердотельный накопитель для исходных материалов, интерфейс USB 3.2 / USB-C.</t>
  </si>
  <si>
    <t>Аккумулятор Canon BP-A30</t>
  </si>
  <si>
    <t>Бытовая техника (комплект: кулер, холодильник, микроволновая печь, кофемашина)</t>
  </si>
  <si>
    <t>Услуга</t>
  </si>
  <si>
    <t>Лицензии 1С на дополнительные рабочие места</t>
  </si>
  <si>
    <t>Расширение лицензий 1С на новых сотрудников финансового блока, установка и настройка.</t>
  </si>
  <si>
    <t>Из одного источника</t>
  </si>
  <si>
    <t>Работа</t>
  </si>
  <si>
    <t>Вывеска и брендирование офиса</t>
  </si>
  <si>
    <t>Изготовление и монтаж вывески, навигация по офису, брендирование зон.</t>
  </si>
  <si>
    <t>октябрь–декабрь 2026</t>
  </si>
  <si>
    <t>Текущий мелкий ремонт и хозяйственные работы</t>
  </si>
  <si>
    <t>Офис</t>
  </si>
  <si>
    <t>Курьерские и почтовые услуги</t>
  </si>
  <si>
    <t>Доставка корреспонденции: МЭПР, акиматы, партнёры, регионы.</t>
  </si>
  <si>
    <t>Интернет (выделенный канал)</t>
  </si>
  <si>
    <t>Выделенный канал в офис, резервирование, статический IP-адрес.</t>
  </si>
  <si>
    <t>Обслуживание МФУ и расходные материалы</t>
  </si>
  <si>
    <t>Техническое обслуживание МФУ А3 и А4, поставка расходных материалов.</t>
  </si>
  <si>
    <t>Бумага для печати А4, 80 г/м²</t>
  </si>
  <si>
    <t>Бумага для печати А3, 80 г/м²</t>
  </si>
  <si>
    <t>Блок бумаги для флипчарта</t>
  </si>
  <si>
    <t>Плотная бумага и обложки для брошюровки</t>
  </si>
  <si>
    <t>Ручки, карандаши, маркеры, текстовыделители</t>
  </si>
  <si>
    <t>Блокноты, стикеры, закладки</t>
  </si>
  <si>
    <t>Папки-регистраторы, скоросшиватели, файлы А4</t>
  </si>
  <si>
    <t>Конверты, почтовые пакеты, бумага для заметок</t>
  </si>
  <si>
    <t>Скобы, скрепки, клей, ножницы, ножи, линейки</t>
  </si>
  <si>
    <t>Степлеры, дыроколы, лотки, органайзеры</t>
  </si>
  <si>
    <t>Архивные короба и файлы для архива</t>
  </si>
  <si>
    <t>Короба, папки и файлы для архивного хранения документов проекта, нить и шило для подшивки.</t>
  </si>
  <si>
    <t>Батарейки, удлинители, мелкая электрика</t>
  </si>
  <si>
    <t>Товар, услуга</t>
  </si>
  <si>
    <t>Microsoft 365 Business Standard</t>
  </si>
  <si>
    <t>Power BI Pro</t>
  </si>
  <si>
    <t>Canva Teams / Adobe Creative Cloud</t>
  </si>
  <si>
    <t>Zoom Pro</t>
  </si>
  <si>
    <t>Продвижение в социальных сетях (таргетированная реклама)</t>
  </si>
  <si>
    <t>Таргетированная реклама в Instagram, Facebook, TikTok, YouTube; отчётность по охватам и вовлечённости.</t>
  </si>
  <si>
    <t>Полиграфия и брендированная продукция</t>
  </si>
  <si>
    <t>Буклеты, папки, блокноты, ручки с логотипом, бейджи, баннеры, дизайн и печать.</t>
  </si>
  <si>
    <t>Подписки: фотобанк и музыка</t>
  </si>
  <si>
    <t>Лицензионные фотографии, видео и музыка для роликов и публикаций.</t>
  </si>
  <si>
    <t>Медиа</t>
  </si>
  <si>
    <t>Прочие</t>
  </si>
  <si>
    <t>Страхование оборудования</t>
  </si>
  <si>
    <t>Страхование работников от несчастных случаев (ОСНС)</t>
  </si>
  <si>
    <t>Авиабилеты и бронирование гостиниц (командировки)</t>
  </si>
  <si>
    <t>ЗЦП / Из одного источника</t>
  </si>
  <si>
    <t>РК и зарубежные поездки</t>
  </si>
  <si>
    <t>ИТОГО по плану закупок</t>
  </si>
  <si>
    <t>Бюджет: раздел</t>
  </si>
  <si>
    <t>Бюджет окт–дек 2026, ₸ без НДС</t>
  </si>
  <si>
    <t>План закупок окт–дек 2026, ₸ с НДС</t>
  </si>
  <si>
    <t>ИТОГО</t>
  </si>
  <si>
    <t>Позиция</t>
  </si>
  <si>
    <t>Наименование по каталогу</t>
  </si>
  <si>
    <t>Цена, ₸</t>
  </si>
  <si>
    <t>Единица</t>
  </si>
  <si>
    <t>Раздел каталога / ссылка</t>
  </si>
  <si>
    <t>Бумага А4</t>
  </si>
  <si>
    <t>Бумага для печати "SvetoCopy Classic", А4, 80 гр/м², белая, класс C, 500 л в пачке</t>
  </si>
  <si>
    <t>пачка</t>
  </si>
  <si>
    <t>b2bcompany.kz/catalog/bumazhnaya_produktsiya/bumaga_dlya_ofisnoy_tekhniki/bumaga_ofisnaya_a4/</t>
  </si>
  <si>
    <t>Бумага А4 (дешевле)</t>
  </si>
  <si>
    <t>Бумага для печати "DELI MateCopy", А4, 80 гр/м², класс C+, 500 л в пачке</t>
  </si>
  <si>
    <t>то же</t>
  </si>
  <si>
    <t>Бумага А3</t>
  </si>
  <si>
    <t>Бумага для печати "SvetoCopy Classic", А3, 80 гр/м², белая, класс C, 500 л в пачке</t>
  </si>
  <si>
    <t>b2bcompany.kz/catalog/bumazhnaya_produktsiya/bumaga_dlya_ofisnoy_tekhniki/bumaga_ofisnaya_a3/</t>
  </si>
  <si>
    <t>Блок для флипчарта</t>
  </si>
  <si>
    <t>блок</t>
  </si>
  <si>
    <t>b2bcompany.kz/catalog/sredstva_dlya_prezentatsii/bloki_bumagi_dlya_flipchartov/</t>
  </si>
  <si>
    <t>Ручка шариковая</t>
  </si>
  <si>
    <t>шт.</t>
  </si>
  <si>
    <t>b2bcompany.kz/catalog/kantselyariya_dlya_ofisa/pismennye_prinadlezhnosti/ruchki_sharikovye/</t>
  </si>
  <si>
    <t>Стикеры</t>
  </si>
  <si>
    <t>Бумага для заметок "Sticky", 76×76 мм, 100 л, клеевой край</t>
  </si>
  <si>
    <t>b2bcompany.kz/catalog/bumazhnaya_produktsiya/bumaga_dlya_zametok/bumaga_dlya_zametok_s_kleevym_kraem/</t>
  </si>
  <si>
    <t>Папка-регистратор</t>
  </si>
  <si>
    <t>Папка-регистратор "Kuvert", А4, 72 мм, боковой карман</t>
  </si>
  <si>
    <t>b2bcompany.kz/catalog/kantselyariya_dlya_ofisa/papki/papki_registratory/</t>
  </si>
  <si>
    <t>Файл-вкладыш А4</t>
  </si>
  <si>
    <t>Файл-вкладыш "Kuvert" / "OfficeSpace", А4, 25–30 мкм, перфорация</t>
  </si>
  <si>
    <t>b2bcompany.kz/catalog/kantselyariya_dlya_ofisa/papki/fayly_vkladyshi/</t>
  </si>
  <si>
    <t>Батарейки АА</t>
  </si>
  <si>
    <t>упаковка</t>
  </si>
  <si>
    <t>b2bcompany.kz/catalog/ofisnaya_tekhnika_i_aksessuary/batareyki_i_zaryadnye_ustroystva/batareyki_aa/</t>
  </si>
  <si>
    <t>Туалетная бумага</t>
  </si>
  <si>
    <t>рулон</t>
  </si>
  <si>
    <t>b2bcompany.kz/catalog/khozyaystvennye_tovary/gigienicheskie_tovary_1/tualetnaya_bumaga/</t>
  </si>
  <si>
    <t>Бумажные полотенца</t>
  </si>
  <si>
    <t>Бумажные полотенца "Sunpaper Professional", 2 слоя, 2 рулона в упаковке</t>
  </si>
  <si>
    <t>b2bcompany.kz/catalog/khozyaystvennye_tovary/gigienicheskie_tovary_1/bumazhnye_polotentsa/</t>
  </si>
  <si>
    <t>Жидкое мыло</t>
  </si>
  <si>
    <t>Жидкое мыло "Vega", 500 мл, с дозатором</t>
  </si>
  <si>
    <t>b2bcompany.kz/catalog/khozyaystvennye_tovary/mylo/mylo_zhidkoe_1/</t>
  </si>
  <si>
    <t>Мешки для мусора</t>
  </si>
  <si>
    <t>b2bcompany.kz/catalog/khozyaystvennye_tovary/meshki_dlya_musora/</t>
  </si>
  <si>
    <t>Универсальное моющее средство</t>
  </si>
  <si>
    <t>канистра 5 л</t>
  </si>
  <si>
    <t>b2bcompany.kz/catalog/khozyaystvennye_tovary/bytovaya_khimiya/universalnoe_moyushchee_sredstvo/</t>
  </si>
  <si>
    <t>Оснащение; однородные ТРУ «мебель» ниже 8 000 МРП</t>
  </si>
  <si>
    <t>Стеллажи металлические для склада и архива</t>
  </si>
  <si>
    <t>Сборка, доставка и подъём мебели и стеллажей</t>
  </si>
  <si>
    <t>Ламинатор Deli ET104, А3</t>
  </si>
  <si>
    <t>Ламинатор пакетный А3, 300 мм/мин.</t>
  </si>
  <si>
    <t>Оснащение; цена b2bcompany.kz на 24.09.2026</t>
  </si>
  <si>
    <t>Плёнка для ламинирования А4, 100 мкм</t>
  </si>
  <si>
    <t>Упаковка 100 шт. (OfficeSpace или аналог).</t>
  </si>
  <si>
    <t>Переплётная машина Deli 3873</t>
  </si>
  <si>
    <t>Для пластиковой пружины: перфорирует до 18 листов, сшивает до 425 листов.</t>
  </si>
  <si>
    <t>Расходные материалы для переплёта</t>
  </si>
  <si>
    <t>Оснащение; цены b2bcompany.kz на 24.09.2026</t>
  </si>
  <si>
    <t>Оснащение; цена Kaspi.kz на 30.09.2026</t>
  </si>
  <si>
    <t>Электронный архив документов, фото- и видеоматериалов проекта, RAID, диски в комплекте.</t>
  </si>
  <si>
    <t>Сетевые фильтры на рабочие места</t>
  </si>
  <si>
    <t>Оснащение; цена b2bcompany.kz на 30.09.2026</t>
  </si>
  <si>
    <t>Сетевые фильтры на общие зоны</t>
  </si>
  <si>
    <t>Удлинители-магистрали 10 м</t>
  </si>
  <si>
    <t>Кабель-канал напольный ПВХ 70×16 мм</t>
  </si>
  <si>
    <t>Офис; годовой объём выше 8 000 МРП, помещение уникально (п. 46 Правил)</t>
  </si>
  <si>
    <t>Цифровые</t>
  </si>
  <si>
    <t>Юридические услуги (юрист МФЦА, аутсорс)</t>
  </si>
  <si>
    <t>Аутсорс</t>
  </si>
  <si>
    <t>Разработка ИИ- и ГИС-инструментов, цифровой платформы (аутсорс)</t>
  </si>
  <si>
    <t>Видеопроизводство: режиссёр, видеограф-монтажёр (аутсорс)</t>
  </si>
  <si>
    <t>Копирайтинг (аутсорс)</t>
  </si>
  <si>
    <t>Дизайн (аутсорс)</t>
  </si>
  <si>
    <t>Работа с креаторами и креативными проектами (аутсорс)</t>
  </si>
  <si>
    <t>Прочие; без НДС</t>
  </si>
  <si>
    <t>Командировки; НДС в тарифе. Суточные и местный транспорт возмещаются по авансовому отчёту</t>
  </si>
  <si>
    <t>Протокол № 13 от «___» октября 2026 года</t>
  </si>
  <si>
    <t>2. Аутсорс-услуги (юрист МФЦА, сис.админ, разработчик, режиссёр, копирайтер, дизайнер, менеджер по креаторам)</t>
  </si>
  <si>
    <t>Core i7 / Ryzen 7 и выше, 32 ГБ ОЗУ, SSD 1 ТБ, дискретная графика – руководитель департамента цифрового развития, фотограф-рилсмейкер (монтаж).</t>
  </si>
  <si>
    <t>Стойка ресепшн</t>
  </si>
  <si>
    <t>Стойка ресепшн.</t>
  </si>
  <si>
    <t>Шкафы для документов (делопроизводство, кадры, договоры) и офисный сейф для документов и печатей.</t>
  </si>
  <si>
    <t>Стеллажи 2000×1000×500 мм, 4–5 полок: склад фото- и видеотехники, архив документов.</t>
  </si>
  <si>
    <t>Доставка, подъём на этаж и сборка рабочих мест, мебели кабинетов, переговорной, стойки ресепшн, шкафов, сейфа и стеллажей.</t>
  </si>
  <si>
    <t>Класс Kyocera TASKalfa 2554ci: печать, копирование и сканирование А3 в цвете, дуплекс, автоподатчик, сетевой и Wi-Fi модуль, тумба, доставка и установка.</t>
  </si>
  <si>
    <t>Класс HP LaserJet Pro MFP 4103fdw / Kyocera ECOSYS MA4000fx: Wi-Fi, дуплекс, автоподатчик; печать, копирование, сканирование. Размещение – ресепшн и кабинет аппарата.</t>
  </si>
  <si>
    <t>Интерактивная панель 75"</t>
  </si>
  <si>
    <t>Для зала совещаний: 4K, сенсорная, Android (класс Iiyama ProLite TE7515A-B2AG) – совещания, презентации, ВКС, работа со схемами.</t>
  </si>
  <si>
    <t>Оснащение; цена Kaspi.kz на 10.10.2026</t>
  </si>
  <si>
    <t>Мобильная стойка для панели на колёсах</t>
  </si>
  <si>
    <t>Стойка для панели 32–75″ (AVA-1500 или аналог) – у стола совещаний.</t>
  </si>
  <si>
    <t>Маршрутизатор, коммутатор, точки доступа Wi-Fi, кабельная система, монтаж и настройка в помещениях 701–702 и зоне 710 (7 этаж).</t>
  </si>
  <si>
    <t>5 розеток, 3 м, с заземлением (Defender ES или аналог) – по одному на рабочее место новых сотрудников и 2 у стола совещаний.</t>
  </si>
  <si>
    <t>6 розеток, 5 м (Defender DFS 155 или аналог): ТВ и ВКС, МФУ и сетевое оборудование, кухонная зона.</t>
  </si>
  <si>
    <t>Источник бесперебойного питания 1200 ВА</t>
  </si>
  <si>
    <t>Линейно-интерактивный, 1200 ВА / 650 Вт (APC Back-UPS BX1200MI-GR или аналог) – рабочие места и сетевое оборудование.</t>
  </si>
  <si>
    <t>Оснащение – фото-видео, лот 1; КП PSP Digital от 12.09.2026</t>
  </si>
  <si>
    <t>Оснащение – фото-видео, лот 1; КП PSP Digital</t>
  </si>
  <si>
    <t>Оснащение – фото-видео, лот 2; КП PSP Digital</t>
  </si>
  <si>
    <t>Оснащение – фото-видео, лот 2; оценка</t>
  </si>
  <si>
    <t>Оснащение – фото-видео, лот 3; КП PSP Digital</t>
  </si>
  <si>
    <t>Скорость до 299 Мбайт/с (арт. 4240).</t>
  </si>
  <si>
    <t>Оснащение – фото-видео, лот 4; КП PSP Digital</t>
  </si>
  <si>
    <t>Оснащение – фото-видео, лот 4; оценка</t>
  </si>
  <si>
    <t>Запасной аккумулятор для кинокамеры Canon EOS C70.</t>
  </si>
  <si>
    <t>Оснащение – фото-видео, лот 5; оценка</t>
  </si>
  <si>
    <t>Комплект на кухонную зону: кулер для воды, холодильник, микроволновая печь, кофемашина.</t>
  </si>
  <si>
    <t>Кулер для воды напольный</t>
  </si>
  <si>
    <t>Нагрев и охлаждение (класс Midea MK-32H) – переговорная зона.</t>
  </si>
  <si>
    <t>Аптечки первой помощи</t>
  </si>
  <si>
    <t>Аптечки для офиса и переговорной зоны.</t>
  </si>
  <si>
    <t>Аренда офиса, 340,7 м² к оплате</t>
  </si>
  <si>
    <t>БЦ «Сыганак», ул. Сыганак, 70, 7 этаж: 701–702 (119,7 м²) и зона 710 (190,0 м²) + 10% мест общего пользования; ставка 13 500 ₸/м², коммунальные, 2 парковочных места. С 21.10.2026 – около 2,35 месяца по 5 694 616 ₸.</t>
  </si>
  <si>
    <t>Офис; текущий поставщик – ТОО «Пони Экспресс»</t>
  </si>
  <si>
    <t>Пачка 500 листов, класс C и выше (SvetoCopy Classic или аналог) – 3,5 пачки в месяц.</t>
  </si>
  <si>
    <t>Офис – канцелярия, лот 1; цена b2bcompany.kz</t>
  </si>
  <si>
    <t>Офис – канцелярия, лот 1</t>
  </si>
  <si>
    <t>Комплект письменных принадлежностей – 10 комплектов в месяц.</t>
  </si>
  <si>
    <t>Офис – канцелярия, лот 2; цена b2bcompany.kz</t>
  </si>
  <si>
    <t>Блокнот, стикеры, клейкие закладки – 10 комплектов в месяц.</t>
  </si>
  <si>
    <t>Разово при открытии офиса: папки-регистраторы, скоросшиватели, файлы-вкладыши, разделители – договоры, кадры, переписка.</t>
  </si>
  <si>
    <t>Разово при открытии офиса.</t>
  </si>
  <si>
    <t>Разово при открытии офиса: степлеры, дыроколы, лотки для бумаг, настольные органайзеры.</t>
  </si>
  <si>
    <t>Разово при открытии офиса: батарейки АА, ААА и CR2032, мелкая электрика – техника, пульты, микрофоны.</t>
  </si>
  <si>
    <t>Представительские расходы: кофе-брейки на рабочих встречах</t>
  </si>
  <si>
    <t>Кофе-брейки на рабочих встречах, приём партнёров и гостей.</t>
  </si>
  <si>
    <t>Корпоративная почта, Teams, OneDrive, офисные приложения – 14 пользователей (новые сотрудники 2026 года).</t>
  </si>
  <si>
    <t>Съёмка и монтаж видео, ролики – с 01.11.2026, 2 месяца по 1 160 000 ₸.</t>
  </si>
  <si>
    <t>Тексты для соцсетей, сайта, СМИ – с 01.11.2026, 2 месяца по 812 000 ₸.</t>
  </si>
  <si>
    <t>Визуалы, инфографика, макеты – с 01.11.2026, 2 месяца по 812 000 ₸.</t>
  </si>
  <si>
    <t>Работа с креаторами, креативные проекты – с 01.11.2026, 2 месяца по 812 000 ₸.</t>
  </si>
  <si>
    <t>Медиа; 150 000 ₸ в месяц без НДС. Текущий поставщик – ТОО «Albatech Print»</t>
  </si>
  <si>
    <t>Нотариальные услуги</t>
  </si>
  <si>
    <t>Доверенности, засвидетельствование копий – разово.</t>
  </si>
  <si>
    <t>Страхование фото- и видеооборудования – 1/4 годовой суммы 100 000 ₸.</t>
  </si>
  <si>
    <t>Годовой полис обязательного страхования работников от несчастных случаев на 14 новых сотрудников 2026 года (оценка: тариф 0,29% от годового ФОТ).</t>
  </si>
  <si>
    <t>ОСНС; без НДС</t>
  </si>
  <si>
    <t>Услуга, работа</t>
  </si>
  <si>
    <t>Услуги, работы по реализации проектов</t>
  </si>
  <si>
    <t>Первоочередные проекты проектного офиса «Таза Қазақстан».</t>
  </si>
  <si>
    <t>Открытый конкурс / ЗЦП (по лотам)</t>
  </si>
  <si>
    <t>Проекты</t>
  </si>
  <si>
    <t>Авиабилеты и бронирование гостиниц: 14,3 поездки по РК (билет 90 000 ₸ + 2 ночи × 30 000 ₸); зарубежных командировок в 2026 году нет.</t>
  </si>
  <si>
    <t>Проект от 14.10.2026. Составлен по бюджету «Бюджет Таза Казахстан – октябрь–декабрь 2026 (проект 2026-10-12) v3». Цены и суммы – с НДС 16%; страхование – без НДС; в авиабилетах НДС включён в тариф. Способы закупок – по Правилам закупок Фонда: ЗЦП (п. 37, до 8 000 МРП), электронный магазин (гл. 8), из одного источника (п. 46), открытый конкурс (гл. 5).</t>
  </si>
  <si>
    <t>План закупок проектного офиса «Таза Қазақстан» на IV квартал 2026 года – сверка с бюджетом (бюджет – без НДС, аутсорс – с НДС; план закупок – с НДС 16%)</t>
  </si>
  <si>
    <t>Проект от 14.10.2026. Бюджет – «Бюджет Таза Казахстан – октябрь–декабрь 2026 (проект 2026-10-12) v3», лист «Свод». Детализация плана – лист «IV кв. 2026».</t>
  </si>
  <si>
    <t>1. Персонал: оклады и отчисления работодателя</t>
  </si>
  <si>
    <t>3. ОСНС: годовой полис на новых сотрудников</t>
  </si>
  <si>
    <t>4. Командировки по РК (в плане – авиабилеты и гостиницы)</t>
  </si>
  <si>
    <t>5. Оснащение (разово)</t>
  </si>
  <si>
    <t>6. Офис: аренда, депозит, хозрасходы, курьер, интернет, обслуживание МФУ, канцелярия, представительские</t>
  </si>
  <si>
    <t>7. Цифровые инструменты</t>
  </si>
  <si>
    <t>8. Медиа: таргет, полиграфия, подписки</t>
  </si>
  <si>
    <t>Непредвиденные расходы: резерв 10% и прочие (нотариус, страхование оборудования)</t>
  </si>
  <si>
    <t>Б. Первоочередные проекты</t>
  </si>
  <si>
    <t>Проверка: сумма листа плана</t>
  </si>
  <si>
    <t>Финансовый год: 2026 год (IV квартал – октябрь–декабрь)</t>
  </si>
  <si>
    <t>Комплект на кабинет: рабочий стол, кресло, шкаф, стол для совещаний – ГИД, два заместителя, национальный координатор, финансовый директор.</t>
  </si>
  <si>
    <t>Ресурс около 3 000 страниц, по 2 картриджа на аппарат – запас на первый год.</t>
  </si>
  <si>
    <t>Обложки А4 картонные и пластиковые, пружины 6, 10, 14 и 51 мм – по 100 шт.</t>
  </si>
  <si>
    <t>3 розетки, с заземлением, ПВС 3×1 мм², 16 А – от колонн к островным блокам столов.</t>
  </si>
  <si>
    <t>Секция 2 м – прокладка удлинителей через проходы.</t>
  </si>
  <si>
    <t>Комплект на двух говорящих (арт. 6976): два передатчика, приёмник, кейс для зарядки – интервью и синхронная запись.</t>
  </si>
  <si>
    <t>Мелкий ремонт, сантехника, электрика, мебельная фурнитура – по заявкам.</t>
  </si>
  <si>
    <t>Пачка 500 листов, класс C и выше – схемы, плакаты, раздаточные материалы.</t>
  </si>
  <si>
    <t>Блок 20 листов, 60×90 или 64×96 см, 80 г/м² – совещания и семинары.</t>
  </si>
  <si>
    <t>Плотная бумага 200–300 г/м², картонные и пластиковые обложки, пружины – отчёты и методические материалы.</t>
  </si>
  <si>
    <t>Конверты С5, В4, Е4+, почтовые пакеты, блоки для заметок – переписка с МЭПР и акиматами.</t>
  </si>
  <si>
    <t>Дашборды мониторинга акции – 3 пользователя.</t>
  </si>
  <si>
    <t>Дизайн визуалов, инфографики и презентаций – 2 лицензии.</t>
  </si>
  <si>
    <t>ИТ-инфраструктура, сеть и техника; делопроизводство, хозяйственное администрирование, ассистирование – с 21.10.2026, 2,35 месяца по 812 000 ₸.</t>
  </si>
  <si>
    <t>Разработка и сопровождение ИИ- и ГИС-инструментов, цифровой платформы – с 21.10.2026, 2,35 месяца по 1 160 000 ₸.</t>
  </si>
  <si>
    <t>Цены текущего поставщика канцелярских и хозяйственных товаров – ТОО «Acvee Market Astana» (b2bcompany.kz)</t>
  </si>
  <si>
    <t>Проверено на сайте 17.09.2026. Договор B2B22/07082025 (папка поставщика в D:\Закупки\2 Поставщики). Поставщик – на общеустановленном режиме и плательщик НДС (письмо № 10 от 20.10.2025); цены сайта совпадают с ценами счёта № AM-5960 от 08.05.2026, то есть НДС в них включён. При объёмной закупке запросить прайс со скидкой и счёт на оплату.</t>
  </si>
  <si>
    <t>Блок бумаги для флипчарта "Kuvert", 60×90 см, 20 л, 80 гр/м² – от; "Berlingo", 64×96 см, 20 л – 4 090 ₸</t>
  </si>
  <si>
    <t>Ручка шариковая "Staff Basic Budjet BP-02" / "OfficeSpace LC" – от</t>
  </si>
  <si>
    <t>Батарейки "Varta Superlife", LR6, АА, 4 шт. – 889 ₸; "Eleven", 4 шт. – от</t>
  </si>
  <si>
    <t>Туалетная бумага "Белоснежка", 2 слоя, 23 м – 270 ₸; "Карина", 1 слой – от</t>
  </si>
  <si>
    <t>Мешки для мусора 30 л, 20 шт. в рулоне ("Любаша" – от 285 ₸, "OfficeClean" – 440 ₸)</t>
  </si>
  <si>
    <t>Универсальное моющее средство "Yarko", 5 л – 3 395 ₸; "Mr.Proper", Лимон, 5 л – 8 335 ₸</t>
  </si>
  <si>
    <t>План закупок товаров, работ и неконсультационных услуг на IV квартал 2026 года</t>
  </si>
  <si>
    <t>Видео-конференц-связь с регионами – лицензия.</t>
  </si>
  <si>
    <t>Договоры и соглашения, право МФЦА – с 21.10.2026, 2,35 месяца по 1 160 000 ₸.</t>
  </si>
  <si>
    <t>Администрирование (аутсорс)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</si>
</sst>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 wrapText="1"/>
    </xf>
    <xf numFmtId="3" fontId="0" fillId="0" borderId="2" xfId="0" applyNumberFormat="1" applyBorder="1" applyAlignment="1">
      <alignment vertical="top" wrapText="1"/>
    </xf>
    <xf numFmtId="3" fontId="1" fillId="0" borderId="2" xfId="0" applyNumberFormat="1" applyFont="1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3" fontId="0" fillId="0" borderId="2" xfId="0" applyNumberFormat="1" applyBorder="1" applyAlignment="1">
      <alignment wrapText="1"/>
    </xf>
    <xf numFmtId="0" fontId="1" fillId="0" borderId="2" xfId="0" applyFont="1" applyBorder="1" applyAlignment="1">
      <alignment wrapText="1"/>
    </xf>
    <xf numFmtId="3" fontId="1" fillId="0" borderId="2" xfId="0" applyNumberFormat="1" applyFont="1" applyBorder="1" applyAlignment="1">
      <alignment wrapText="1"/>
    </xf>
    <xf numFmtId="0" fontId="0" fillId="0" borderId="2" xfId="0" applyFont="1" applyBorder="1" applyAlignment="1">
      <alignment wrapText="1"/>
    </xf>
    <xf numFmtId="3" fontId="0" fillId="0" borderId="2" xfId="0" applyNumberFormat="1" applyFont="1" applyBorder="1" applyAlignment="1">
      <alignment wrapText="1"/>
    </xf>
    <xf numFmtId="0" fontId="0" fillId="0" borderId="0" xfId="0" applyFont="1"/>
    <xf numFmtId="0" fontId="0" fillId="2" borderId="2" xfId="0" applyFont="1" applyFill="1" applyBorder="1" applyAlignment="1">
      <alignment horizontal="center" wrapText="1"/>
    </xf>
    <xf numFmtId="0" fontId="4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3" fontId="0" fillId="3" borderId="2" xfId="0" applyNumberForma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selection activeCell="A2" sqref="A2"/>
    </sheetView>
  </sheetViews>
  <sheetFormatPr defaultRowHeight="15" x14ac:dyDescent="0.25"/>
  <cols>
    <col min="1" max="1" width="58.7109375" customWidth="1"/>
    <col min="2" max="3" width="18.7109375" customWidth="1"/>
    <col min="4" max="5" width="20.7109375" customWidth="1"/>
    <col min="6" max="6" width="62.7109375" customWidth="1"/>
  </cols>
  <sheetData>
    <row r="1" spans="1:6" ht="17.25" x14ac:dyDescent="0.3">
      <c r="A1" s="1" t="s">
        <v>262</v>
      </c>
    </row>
    <row r="2" spans="1:6" x14ac:dyDescent="0.25">
      <c r="A2" t="s">
        <v>263</v>
      </c>
    </row>
    <row r="4" spans="1:6" ht="45" x14ac:dyDescent="0.25">
      <c r="A4" s="10" t="s">
        <v>113</v>
      </c>
      <c r="B4" s="10" t="s">
        <v>114</v>
      </c>
      <c r="C4" s="10" t="s">
        <v>115</v>
      </c>
      <c r="D4" s="18"/>
      <c r="E4" s="18"/>
      <c r="F4" s="18"/>
    </row>
    <row r="5" spans="1:6" x14ac:dyDescent="0.25">
      <c r="A5" s="15" t="s">
        <v>264</v>
      </c>
      <c r="B5" s="16">
        <v>58691748</v>
      </c>
      <c r="C5" s="16">
        <v>0</v>
      </c>
      <c r="D5" s="16"/>
      <c r="E5" s="16"/>
      <c r="F5" s="15"/>
    </row>
    <row r="6" spans="1:6" ht="30" x14ac:dyDescent="0.25">
      <c r="A6" s="15" t="s">
        <v>195</v>
      </c>
      <c r="B6" s="16">
        <v>14567355</v>
      </c>
      <c r="C6" s="16">
        <f>SUMIF('IV кв. 2026'!M11:M90,"Аутсорс*",'IV кв. 2026'!I11:I90)</f>
        <v>14567355</v>
      </c>
      <c r="D6" s="16"/>
      <c r="E6" s="16"/>
      <c r="F6" s="15"/>
    </row>
    <row r="7" spans="1:6" x14ac:dyDescent="0.25">
      <c r="A7" s="15" t="s">
        <v>265</v>
      </c>
      <c r="B7" s="16">
        <v>500000</v>
      </c>
      <c r="C7" s="16">
        <f>SUMIF('IV кв. 2026'!M11:M90,"ОСНС*",'IV кв. 2026'!I11:I90)</f>
        <v>500000</v>
      </c>
      <c r="D7" s="16"/>
      <c r="E7" s="16"/>
      <c r="F7" s="15"/>
    </row>
    <row r="8" spans="1:6" x14ac:dyDescent="0.25">
      <c r="A8" s="15" t="s">
        <v>266</v>
      </c>
      <c r="B8" s="16">
        <v>3783804</v>
      </c>
      <c r="C8" s="16">
        <f>SUMIF('IV кв. 2026'!M11:M90,"Командировки*",'IV кв. 2026'!I11:I90)</f>
        <v>2141129</v>
      </c>
      <c r="D8" s="16"/>
      <c r="E8" s="16"/>
      <c r="F8" s="15"/>
    </row>
    <row r="9" spans="1:6" x14ac:dyDescent="0.25">
      <c r="A9" s="15" t="s">
        <v>267</v>
      </c>
      <c r="B9" s="16">
        <v>29170035</v>
      </c>
      <c r="C9" s="16">
        <f>SUMIF('IV кв. 2026'!M11:M90,"Оснащение*",'IV кв. 2026'!I11:I90)</f>
        <v>33262540</v>
      </c>
      <c r="D9" s="16"/>
      <c r="E9" s="16"/>
      <c r="F9" s="15"/>
    </row>
    <row r="10" spans="1:6" ht="30" x14ac:dyDescent="0.25">
      <c r="A10" s="15" t="s">
        <v>268</v>
      </c>
      <c r="B10" s="16">
        <v>17530038</v>
      </c>
      <c r="C10" s="16">
        <f>SUMIF('IV кв. 2026'!M11:M90,"Офис*",'IV кв. 2026'!I11:I90)</f>
        <v>14607523</v>
      </c>
      <c r="D10" s="16"/>
      <c r="E10" s="16"/>
      <c r="F10" s="15"/>
    </row>
    <row r="11" spans="1:6" x14ac:dyDescent="0.25">
      <c r="A11" s="15" t="s">
        <v>269</v>
      </c>
      <c r="B11" s="16">
        <v>589500</v>
      </c>
      <c r="C11" s="16">
        <f>SUMIF('IV кв. 2026'!M11:M90,"Цифровые*",'IV кв. 2026'!I11:I90)</f>
        <v>683820</v>
      </c>
      <c r="D11" s="16"/>
      <c r="E11" s="16"/>
      <c r="F11" s="15"/>
    </row>
    <row r="12" spans="1:6" x14ac:dyDescent="0.25">
      <c r="A12" s="15" t="s">
        <v>270</v>
      </c>
      <c r="B12" s="16">
        <v>2525000</v>
      </c>
      <c r="C12" s="16">
        <f>SUMIF('IV кв. 2026'!M11:M90,"Медиа*",'IV кв. 2026'!I11:I90)</f>
        <v>2929000</v>
      </c>
      <c r="D12" s="16"/>
      <c r="E12" s="16"/>
      <c r="F12" s="15"/>
    </row>
    <row r="13" spans="1:6" ht="30" x14ac:dyDescent="0.25">
      <c r="A13" s="15" t="s">
        <v>271</v>
      </c>
      <c r="B13" s="16">
        <v>12810748</v>
      </c>
      <c r="C13" s="16">
        <f>SUMIF('IV кв. 2026'!M11:M90,"Прочие*",'IV кв. 2026'!I11:I90)</f>
        <v>83000</v>
      </c>
      <c r="D13" s="16"/>
      <c r="E13" s="16"/>
      <c r="F13" s="15"/>
    </row>
    <row r="14" spans="1:6" x14ac:dyDescent="0.25">
      <c r="A14" s="15" t="s">
        <v>272</v>
      </c>
      <c r="B14" s="16">
        <v>87404855</v>
      </c>
      <c r="C14" s="16">
        <f>SUMIF('IV кв. 2026'!M11:M90,"Проекты*",'IV кв. 2026'!I11:I90)</f>
        <v>87404855</v>
      </c>
      <c r="D14" s="16"/>
      <c r="E14" s="16"/>
      <c r="F14" s="15"/>
    </row>
    <row r="15" spans="1:6" x14ac:dyDescent="0.25">
      <c r="A15" s="13" t="s">
        <v>116</v>
      </c>
      <c r="B15" s="14">
        <f>SUM(B5:B14)</f>
        <v>227573083</v>
      </c>
      <c r="C15" s="14">
        <f>SUM(C5:C14)</f>
        <v>156179222</v>
      </c>
      <c r="D15" s="16"/>
      <c r="E15" s="16"/>
      <c r="F15" s="15"/>
    </row>
    <row r="16" spans="1:6" x14ac:dyDescent="0.25">
      <c r="A16" s="15" t="s">
        <v>273</v>
      </c>
      <c r="B16" s="16"/>
      <c r="C16" s="16">
        <f>'IV кв. 2026'!I91</f>
        <v>156179222</v>
      </c>
      <c r="D16" s="16"/>
      <c r="E16" s="16"/>
      <c r="F16" s="15"/>
    </row>
    <row r="17" spans="1:6" x14ac:dyDescent="0.25">
      <c r="A17" s="15"/>
      <c r="B17" s="16"/>
      <c r="C17" s="16"/>
      <c r="D17" s="16"/>
      <c r="E17" s="16"/>
      <c r="F17" s="15"/>
    </row>
    <row r="18" spans="1:6" x14ac:dyDescent="0.25">
      <c r="A18" s="17"/>
      <c r="B18" s="17"/>
      <c r="C18" s="17"/>
      <c r="D18" s="17"/>
      <c r="E18" s="17"/>
      <c r="F18" s="17"/>
    </row>
    <row r="19" spans="1:6" x14ac:dyDescent="0.25">
      <c r="A19" s="17"/>
      <c r="B19" s="17"/>
      <c r="C19" s="17"/>
      <c r="D19" s="17"/>
      <c r="E19" s="17"/>
      <c r="F19" s="17"/>
    </row>
    <row r="20" spans="1:6" x14ac:dyDescent="0.25">
      <c r="A20" s="17"/>
      <c r="B20" s="17"/>
      <c r="C20" s="17"/>
      <c r="D20" s="17"/>
      <c r="E20" s="17"/>
      <c r="F20" s="17"/>
    </row>
    <row r="21" spans="1:6" x14ac:dyDescent="0.25">
      <c r="A21" s="17"/>
      <c r="B21" s="17"/>
      <c r="C21" s="17"/>
      <c r="D21" s="17"/>
      <c r="E21" s="17"/>
      <c r="F21" s="17"/>
    </row>
    <row r="22" spans="1:6" x14ac:dyDescent="0.25">
      <c r="A22" s="17"/>
      <c r="B22" s="17"/>
      <c r="C22" s="17"/>
      <c r="D22" s="17"/>
      <c r="E22" s="17"/>
      <c r="F22" s="17"/>
    </row>
    <row r="23" spans="1:6" x14ac:dyDescent="0.25">
      <c r="A23" s="17"/>
      <c r="B23" s="17"/>
      <c r="C23" s="17"/>
      <c r="D23" s="17"/>
      <c r="E23" s="17"/>
      <c r="F23" s="17"/>
    </row>
    <row r="24" spans="1:6" x14ac:dyDescent="0.25">
      <c r="A24" s="17"/>
      <c r="B24" s="17"/>
      <c r="C24" s="17"/>
      <c r="D24" s="17"/>
      <c r="E24" s="17"/>
      <c r="F24" s="17"/>
    </row>
    <row r="25" spans="1:6" x14ac:dyDescent="0.25">
      <c r="A25" s="17"/>
      <c r="B25" s="17"/>
      <c r="C25" s="17"/>
      <c r="D25" s="17"/>
      <c r="E25" s="17"/>
      <c r="F25" s="17"/>
    </row>
    <row r="26" spans="1:6" x14ac:dyDescent="0.25">
      <c r="A26" s="17"/>
      <c r="B26" s="17"/>
      <c r="C26" s="17"/>
      <c r="D26" s="17"/>
      <c r="E26" s="17"/>
      <c r="F26" s="17"/>
    </row>
    <row r="27" spans="1:6" x14ac:dyDescent="0.25">
      <c r="A27" s="17"/>
      <c r="B27" s="17"/>
      <c r="C27" s="17"/>
      <c r="D27" s="17"/>
      <c r="E27" s="17"/>
      <c r="F27" s="17"/>
    </row>
    <row r="28" spans="1:6" x14ac:dyDescent="0.25">
      <c r="A28" s="17"/>
      <c r="B28" s="17"/>
      <c r="C28" s="17"/>
      <c r="D28" s="17"/>
      <c r="E28" s="17"/>
      <c r="F28" s="17"/>
    </row>
    <row r="29" spans="1:6" x14ac:dyDescent="0.25">
      <c r="A29" s="17"/>
      <c r="B29" s="17"/>
      <c r="C29" s="17"/>
      <c r="D29" s="17"/>
      <c r="E29" s="17"/>
      <c r="F29" s="17"/>
    </row>
    <row r="30" spans="1:6" x14ac:dyDescent="0.25">
      <c r="A30" s="17"/>
      <c r="B30" s="17"/>
      <c r="C30" s="17"/>
      <c r="D30" s="17"/>
      <c r="E30" s="17"/>
      <c r="F30" s="17"/>
    </row>
    <row r="31" spans="1:6" x14ac:dyDescent="0.25">
      <c r="A31" s="17"/>
      <c r="B31" s="17"/>
      <c r="C31" s="17"/>
      <c r="D31" s="17"/>
      <c r="E31" s="17"/>
      <c r="F31" s="17"/>
    </row>
    <row r="32" spans="1:6" x14ac:dyDescent="0.25">
      <c r="A32" s="17"/>
      <c r="B32" s="17"/>
      <c r="C32" s="17"/>
      <c r="D32" s="17"/>
      <c r="E32" s="17"/>
      <c r="F32" s="17"/>
    </row>
    <row r="33" spans="1:6" x14ac:dyDescent="0.25">
      <c r="A33" s="17"/>
      <c r="B33" s="17"/>
      <c r="C33" s="17"/>
      <c r="D33" s="17"/>
      <c r="E33" s="17"/>
      <c r="F33" s="17"/>
    </row>
    <row r="34" spans="1:6" x14ac:dyDescent="0.25">
      <c r="A34" s="17"/>
      <c r="B34" s="17"/>
      <c r="C34" s="17"/>
      <c r="D34" s="17"/>
      <c r="E34" s="17"/>
      <c r="F34" s="17"/>
    </row>
    <row r="35" spans="1:6" x14ac:dyDescent="0.25">
      <c r="A35" s="17"/>
      <c r="B35" s="17"/>
      <c r="C35" s="17"/>
      <c r="D35" s="17"/>
      <c r="E35" s="17"/>
      <c r="F35" s="17"/>
    </row>
    <row r="36" spans="1:6" x14ac:dyDescent="0.25">
      <c r="A36" s="17"/>
      <c r="B36" s="17"/>
      <c r="C36" s="17"/>
      <c r="D36" s="17"/>
      <c r="E36" s="17"/>
      <c r="F36" s="17"/>
    </row>
    <row r="37" spans="1:6" x14ac:dyDescent="0.25">
      <c r="A37" s="17"/>
      <c r="B37" s="17"/>
      <c r="C37" s="17"/>
      <c r="D37" s="17"/>
      <c r="E37" s="17"/>
      <c r="F37" s="17"/>
    </row>
    <row r="38" spans="1:6" x14ac:dyDescent="0.25">
      <c r="A38" s="17"/>
      <c r="B38" s="17"/>
      <c r="C38" s="17"/>
      <c r="D38" s="17"/>
      <c r="E38" s="17"/>
      <c r="F38" s="17"/>
    </row>
    <row r="39" spans="1:6" x14ac:dyDescent="0.25">
      <c r="A39" s="17"/>
      <c r="B39" s="17"/>
      <c r="C39" s="17"/>
      <c r="D39" s="17"/>
      <c r="E39" s="17"/>
      <c r="F39" s="17"/>
    </row>
    <row r="40" spans="1:6" x14ac:dyDescent="0.25">
      <c r="A40" s="17"/>
      <c r="B40" s="17"/>
      <c r="C40" s="17"/>
      <c r="D40" s="17"/>
      <c r="E40" s="17"/>
      <c r="F40" s="17"/>
    </row>
    <row r="41" spans="1:6" x14ac:dyDescent="0.25">
      <c r="A41" s="17"/>
      <c r="B41" s="17"/>
      <c r="C41" s="17"/>
      <c r="D41" s="17"/>
      <c r="E41" s="17"/>
      <c r="F41" s="17"/>
    </row>
    <row r="42" spans="1:6" x14ac:dyDescent="0.25">
      <c r="A42" s="17"/>
      <c r="B42" s="17"/>
      <c r="C42" s="17"/>
      <c r="D42" s="17"/>
      <c r="E42" s="17"/>
      <c r="F42" s="17"/>
    </row>
    <row r="43" spans="1:6" x14ac:dyDescent="0.25">
      <c r="A43" s="17"/>
      <c r="B43" s="17"/>
      <c r="C43" s="17"/>
      <c r="D43" s="17"/>
      <c r="E43" s="17"/>
      <c r="F43" s="17"/>
    </row>
    <row r="44" spans="1:6" x14ac:dyDescent="0.25">
      <c r="A44" s="17"/>
      <c r="B44" s="17"/>
      <c r="C44" s="17"/>
      <c r="D44" s="17"/>
      <c r="E44" s="17"/>
      <c r="F44" s="17"/>
    </row>
    <row r="45" spans="1:6" x14ac:dyDescent="0.25">
      <c r="A45" s="17"/>
      <c r="B45" s="17"/>
      <c r="C45" s="17"/>
      <c r="D45" s="17"/>
      <c r="E45" s="17"/>
      <c r="F45" s="17"/>
    </row>
    <row r="46" spans="1:6" x14ac:dyDescent="0.25">
      <c r="A46" s="17"/>
      <c r="B46" s="17"/>
      <c r="C46" s="17"/>
      <c r="D46" s="17"/>
      <c r="E46" s="17"/>
      <c r="F46" s="17"/>
    </row>
    <row r="47" spans="1:6" x14ac:dyDescent="0.25">
      <c r="A47" s="17"/>
      <c r="B47" s="17"/>
      <c r="C47" s="17"/>
      <c r="D47" s="17"/>
      <c r="E47" s="17"/>
      <c r="F47" s="17"/>
    </row>
    <row r="48" spans="1:6" x14ac:dyDescent="0.25">
      <c r="A48" s="17"/>
      <c r="B48" s="17"/>
      <c r="C48" s="17"/>
      <c r="D48" s="17"/>
      <c r="E48" s="17"/>
      <c r="F48" s="17"/>
    </row>
    <row r="49" spans="1:6" x14ac:dyDescent="0.25">
      <c r="A49" s="17"/>
      <c r="B49" s="17"/>
      <c r="C49" s="17"/>
      <c r="D49" s="17"/>
      <c r="E49" s="17"/>
      <c r="F49" s="17"/>
    </row>
    <row r="50" spans="1:6" x14ac:dyDescent="0.25">
      <c r="A50" s="17"/>
      <c r="B50" s="17"/>
      <c r="C50" s="17"/>
      <c r="D50" s="17"/>
      <c r="E50" s="17"/>
      <c r="F50" s="17"/>
    </row>
    <row r="51" spans="1:6" x14ac:dyDescent="0.25">
      <c r="A51" s="17"/>
      <c r="B51" s="17"/>
      <c r="C51" s="17"/>
      <c r="D51" s="17"/>
      <c r="E51" s="17"/>
      <c r="F51" s="17"/>
    </row>
    <row r="52" spans="1:6" x14ac:dyDescent="0.25">
      <c r="A52" s="17"/>
      <c r="B52" s="17"/>
      <c r="C52" s="17"/>
      <c r="D52" s="17"/>
      <c r="E52" s="17"/>
      <c r="F52" s="17"/>
    </row>
    <row r="53" spans="1:6" x14ac:dyDescent="0.25">
      <c r="A53" s="17"/>
      <c r="B53" s="17"/>
      <c r="C53" s="17"/>
      <c r="D53" s="17"/>
      <c r="E53" s="17"/>
      <c r="F53" s="17"/>
    </row>
    <row r="54" spans="1:6" x14ac:dyDescent="0.25">
      <c r="A54" s="17"/>
      <c r="B54" s="17"/>
      <c r="C54" s="17"/>
      <c r="D54" s="17"/>
      <c r="E54" s="17"/>
      <c r="F54" s="17"/>
    </row>
    <row r="55" spans="1:6" x14ac:dyDescent="0.25">
      <c r="A55" s="17"/>
      <c r="B55" s="17"/>
      <c r="C55" s="17"/>
      <c r="D55" s="17"/>
      <c r="E55" s="17"/>
      <c r="F55" s="17"/>
    </row>
    <row r="56" spans="1:6" x14ac:dyDescent="0.25">
      <c r="A56" s="17"/>
      <c r="B56" s="17"/>
      <c r="C56" s="17"/>
      <c r="D56" s="17"/>
      <c r="E56" s="17"/>
      <c r="F56" s="17"/>
    </row>
    <row r="57" spans="1:6" x14ac:dyDescent="0.25">
      <c r="A57" s="17"/>
      <c r="B57" s="17"/>
      <c r="C57" s="17"/>
      <c r="D57" s="17"/>
      <c r="E57" s="17"/>
      <c r="F57" s="17"/>
    </row>
    <row r="58" spans="1:6" x14ac:dyDescent="0.25">
      <c r="A58" s="17"/>
      <c r="B58" s="17"/>
      <c r="C58" s="17"/>
      <c r="D58" s="17"/>
      <c r="E58" s="17"/>
      <c r="F58" s="17"/>
    </row>
    <row r="59" spans="1:6" x14ac:dyDescent="0.25">
      <c r="A59" s="17"/>
      <c r="B59" s="17"/>
      <c r="C59" s="17"/>
      <c r="D59" s="17"/>
      <c r="E59" s="17"/>
      <c r="F59" s="17"/>
    </row>
    <row r="60" spans="1:6" x14ac:dyDescent="0.25">
      <c r="A60" s="17"/>
      <c r="B60" s="17"/>
      <c r="C60" s="17"/>
      <c r="D60" s="17"/>
      <c r="E60" s="17"/>
      <c r="F60" s="17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1"/>
  <sheetViews>
    <sheetView tabSelected="1" topLeftCell="A4" workbookViewId="0">
      <selection activeCell="E14" sqref="E14"/>
    </sheetView>
  </sheetViews>
  <sheetFormatPr defaultRowHeight="15" x14ac:dyDescent="0.25"/>
  <cols>
    <col min="1" max="1" width="9.7109375" customWidth="1"/>
    <col min="2" max="2" width="5.7109375" customWidth="1"/>
    <col min="3" max="3" width="12.7109375" customWidth="1"/>
    <col min="4" max="4" width="34.7109375" customWidth="1"/>
    <col min="5" max="5" width="58.7109375" customWidth="1"/>
    <col min="6" max="6" width="16.7109375" customWidth="1"/>
    <col min="7" max="7" width="9.7109375" customWidth="1"/>
    <col min="8" max="8" width="14.7109375" customWidth="1"/>
    <col min="9" max="10" width="15.7109375" customWidth="1"/>
    <col min="11" max="11" width="17.7109375" customWidth="1"/>
    <col min="12" max="12" width="16.7109375" customWidth="1"/>
    <col min="13" max="13" width="42.7109375" customWidth="1"/>
  </cols>
  <sheetData>
    <row r="1" spans="1:13" x14ac:dyDescent="0.25">
      <c r="A1" s="2"/>
      <c r="B1" s="2"/>
      <c r="C1" s="2"/>
      <c r="D1" s="2"/>
      <c r="E1" s="2"/>
      <c r="F1" s="2"/>
      <c r="G1" s="2"/>
      <c r="H1" s="2"/>
      <c r="I1" s="2"/>
      <c r="J1" s="2" t="s">
        <v>0</v>
      </c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 t="s">
        <v>1</v>
      </c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 t="s">
        <v>194</v>
      </c>
      <c r="K3" s="2"/>
      <c r="L3" s="2"/>
      <c r="M3" s="2"/>
    </row>
    <row r="4" spans="1:13" x14ac:dyDescent="0.25">
      <c r="A4" s="19" t="s">
        <v>298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 x14ac:dyDescent="0.25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1" t="s">
        <v>3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</row>
    <row r="7" spans="1:13" x14ac:dyDescent="0.25">
      <c r="A7" s="2" t="s">
        <v>274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45.95" customHeight="1" x14ac:dyDescent="0.25">
      <c r="A8" s="22" t="s">
        <v>261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</row>
    <row r="9" spans="1:13" ht="57.95" customHeight="1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</row>
    <row r="10" spans="1:13" x14ac:dyDescent="0.25">
      <c r="A10" s="3">
        <v>1</v>
      </c>
      <c r="B10" s="3">
        <v>2</v>
      </c>
      <c r="C10" s="3">
        <v>3</v>
      </c>
      <c r="D10" s="3">
        <v>4</v>
      </c>
      <c r="E10" s="3">
        <v>5</v>
      </c>
      <c r="F10" s="3">
        <v>6</v>
      </c>
      <c r="G10" s="3">
        <v>7</v>
      </c>
      <c r="H10" s="3">
        <v>8</v>
      </c>
      <c r="I10" s="3">
        <v>9</v>
      </c>
      <c r="J10" s="3">
        <v>10</v>
      </c>
      <c r="K10" s="3">
        <v>11</v>
      </c>
      <c r="L10" s="3">
        <v>12</v>
      </c>
      <c r="M10" s="3">
        <v>13</v>
      </c>
    </row>
    <row r="11" spans="1:13" ht="30" x14ac:dyDescent="0.25">
      <c r="A11" s="8">
        <v>1</v>
      </c>
      <c r="B11" s="8">
        <v>1</v>
      </c>
      <c r="C11" s="5" t="s">
        <v>17</v>
      </c>
      <c r="D11" s="5" t="s">
        <v>18</v>
      </c>
      <c r="E11" s="5" t="s">
        <v>19</v>
      </c>
      <c r="F11" s="8" t="s">
        <v>20</v>
      </c>
      <c r="G11" s="6">
        <v>12</v>
      </c>
      <c r="H11" s="6">
        <v>522000</v>
      </c>
      <c r="I11" s="6">
        <f t="shared" ref="I11:I42" si="0">ROUND(G11*H11,0)</f>
        <v>6264000</v>
      </c>
      <c r="J11" s="5" t="s">
        <v>21</v>
      </c>
      <c r="K11" s="5" t="s">
        <v>22</v>
      </c>
      <c r="L11" s="5" t="s">
        <v>23</v>
      </c>
      <c r="M11" s="5" t="s">
        <v>30</v>
      </c>
    </row>
    <row r="12" spans="1:13" ht="45" x14ac:dyDescent="0.25">
      <c r="A12" s="8">
        <v>1</v>
      </c>
      <c r="B12" s="8">
        <v>2</v>
      </c>
      <c r="C12" s="5" t="s">
        <v>17</v>
      </c>
      <c r="D12" s="5" t="s">
        <v>24</v>
      </c>
      <c r="E12" s="5" t="s">
        <v>196</v>
      </c>
      <c r="F12" s="8" t="s">
        <v>20</v>
      </c>
      <c r="G12" s="6">
        <v>2</v>
      </c>
      <c r="H12" s="6">
        <v>1044000</v>
      </c>
      <c r="I12" s="6">
        <f t="shared" si="0"/>
        <v>2088000</v>
      </c>
      <c r="J12" s="5" t="s">
        <v>21</v>
      </c>
      <c r="K12" s="5" t="s">
        <v>22</v>
      </c>
      <c r="L12" s="5" t="s">
        <v>23</v>
      </c>
      <c r="M12" s="5" t="s">
        <v>30</v>
      </c>
    </row>
    <row r="13" spans="1:13" ht="30" x14ac:dyDescent="0.25">
      <c r="A13" s="8">
        <v>1</v>
      </c>
      <c r="B13" s="8">
        <v>3</v>
      </c>
      <c r="C13" s="5" t="s">
        <v>17</v>
      </c>
      <c r="D13" s="5" t="s">
        <v>25</v>
      </c>
      <c r="E13" s="5" t="s">
        <v>26</v>
      </c>
      <c r="F13" s="8" t="s">
        <v>20</v>
      </c>
      <c r="G13" s="6">
        <v>10</v>
      </c>
      <c r="H13" s="6">
        <v>116000</v>
      </c>
      <c r="I13" s="6">
        <f t="shared" si="0"/>
        <v>1160000</v>
      </c>
      <c r="J13" s="5" t="s">
        <v>21</v>
      </c>
      <c r="K13" s="5" t="s">
        <v>22</v>
      </c>
      <c r="L13" s="5" t="s">
        <v>23</v>
      </c>
      <c r="M13" s="5" t="s">
        <v>30</v>
      </c>
    </row>
    <row r="14" spans="1:13" ht="45" x14ac:dyDescent="0.25">
      <c r="A14" s="8">
        <v>1</v>
      </c>
      <c r="B14" s="8">
        <v>4</v>
      </c>
      <c r="C14" s="5" t="s">
        <v>17</v>
      </c>
      <c r="D14" s="5" t="s">
        <v>27</v>
      </c>
      <c r="E14" s="5" t="s">
        <v>28</v>
      </c>
      <c r="F14" s="8" t="s">
        <v>20</v>
      </c>
      <c r="G14" s="6">
        <v>19</v>
      </c>
      <c r="H14" s="6">
        <v>232000</v>
      </c>
      <c r="I14" s="6">
        <f t="shared" si="0"/>
        <v>4408000</v>
      </c>
      <c r="J14" s="5" t="s">
        <v>21</v>
      </c>
      <c r="K14" s="5" t="s">
        <v>22</v>
      </c>
      <c r="L14" s="5" t="s">
        <v>23</v>
      </c>
      <c r="M14" s="5" t="s">
        <v>164</v>
      </c>
    </row>
    <row r="15" spans="1:13" ht="45" x14ac:dyDescent="0.25">
      <c r="A15" s="8">
        <v>1</v>
      </c>
      <c r="B15" s="8">
        <v>5</v>
      </c>
      <c r="C15" s="5" t="s">
        <v>17</v>
      </c>
      <c r="D15" s="5" t="s">
        <v>29</v>
      </c>
      <c r="E15" s="5" t="s">
        <v>275</v>
      </c>
      <c r="F15" s="8" t="s">
        <v>20</v>
      </c>
      <c r="G15" s="6">
        <v>5</v>
      </c>
      <c r="H15" s="6">
        <v>580000</v>
      </c>
      <c r="I15" s="6">
        <f t="shared" si="0"/>
        <v>2900000</v>
      </c>
      <c r="J15" s="5" t="s">
        <v>21</v>
      </c>
      <c r="K15" s="5" t="s">
        <v>22</v>
      </c>
      <c r="L15" s="5" t="s">
        <v>23</v>
      </c>
      <c r="M15" s="5" t="s">
        <v>30</v>
      </c>
    </row>
    <row r="16" spans="1:13" ht="30" x14ac:dyDescent="0.25">
      <c r="A16" s="8">
        <v>1</v>
      </c>
      <c r="B16" s="8">
        <v>6</v>
      </c>
      <c r="C16" s="5" t="s">
        <v>17</v>
      </c>
      <c r="D16" s="5" t="s">
        <v>31</v>
      </c>
      <c r="E16" s="5" t="s">
        <v>32</v>
      </c>
      <c r="F16" s="8" t="s">
        <v>20</v>
      </c>
      <c r="G16" s="6">
        <v>1</v>
      </c>
      <c r="H16" s="6">
        <v>928000</v>
      </c>
      <c r="I16" s="6">
        <f t="shared" si="0"/>
        <v>928000</v>
      </c>
      <c r="J16" s="5" t="s">
        <v>21</v>
      </c>
      <c r="K16" s="5" t="s">
        <v>22</v>
      </c>
      <c r="L16" s="5" t="s">
        <v>23</v>
      </c>
      <c r="M16" s="5" t="s">
        <v>30</v>
      </c>
    </row>
    <row r="17" spans="1:13" x14ac:dyDescent="0.25">
      <c r="A17" s="8">
        <v>2</v>
      </c>
      <c r="B17" s="8">
        <v>7</v>
      </c>
      <c r="C17" s="5" t="s">
        <v>17</v>
      </c>
      <c r="D17" s="5" t="s">
        <v>197</v>
      </c>
      <c r="E17" s="5" t="s">
        <v>198</v>
      </c>
      <c r="F17" s="8" t="s">
        <v>20</v>
      </c>
      <c r="G17" s="6">
        <v>1</v>
      </c>
      <c r="H17" s="6">
        <v>290000</v>
      </c>
      <c r="I17" s="6">
        <f t="shared" si="0"/>
        <v>290000</v>
      </c>
      <c r="J17" s="5" t="s">
        <v>21</v>
      </c>
      <c r="K17" s="5" t="s">
        <v>33</v>
      </c>
      <c r="L17" s="5" t="s">
        <v>23</v>
      </c>
      <c r="M17" s="5" t="s">
        <v>30</v>
      </c>
    </row>
    <row r="18" spans="1:13" ht="30" x14ac:dyDescent="0.25">
      <c r="A18" s="8">
        <v>1</v>
      </c>
      <c r="B18" s="8">
        <v>8</v>
      </c>
      <c r="C18" s="5" t="s">
        <v>17</v>
      </c>
      <c r="D18" s="5" t="s">
        <v>34</v>
      </c>
      <c r="E18" s="5" t="s">
        <v>199</v>
      </c>
      <c r="F18" s="8" t="s">
        <v>20</v>
      </c>
      <c r="G18" s="6">
        <v>1</v>
      </c>
      <c r="H18" s="6">
        <v>522000</v>
      </c>
      <c r="I18" s="6">
        <f t="shared" si="0"/>
        <v>522000</v>
      </c>
      <c r="J18" s="5" t="s">
        <v>21</v>
      </c>
      <c r="K18" s="5" t="s">
        <v>22</v>
      </c>
      <c r="L18" s="5" t="s">
        <v>23</v>
      </c>
      <c r="M18" s="5" t="s">
        <v>30</v>
      </c>
    </row>
    <row r="19" spans="1:13" ht="30" x14ac:dyDescent="0.25">
      <c r="A19" s="8">
        <v>2</v>
      </c>
      <c r="B19" s="8">
        <v>9</v>
      </c>
      <c r="C19" s="5" t="s">
        <v>17</v>
      </c>
      <c r="D19" s="5" t="s">
        <v>165</v>
      </c>
      <c r="E19" s="5" t="s">
        <v>200</v>
      </c>
      <c r="F19" s="8" t="s">
        <v>20</v>
      </c>
      <c r="G19" s="6">
        <v>2</v>
      </c>
      <c r="H19" s="6">
        <v>69600</v>
      </c>
      <c r="I19" s="6">
        <f t="shared" si="0"/>
        <v>139200</v>
      </c>
      <c r="J19" s="5" t="s">
        <v>21</v>
      </c>
      <c r="K19" s="5" t="s">
        <v>22</v>
      </c>
      <c r="L19" s="5" t="s">
        <v>23</v>
      </c>
      <c r="M19" s="5" t="s">
        <v>30</v>
      </c>
    </row>
    <row r="20" spans="1:13" ht="45" x14ac:dyDescent="0.25">
      <c r="A20" s="8">
        <v>1</v>
      </c>
      <c r="B20" s="8">
        <v>10</v>
      </c>
      <c r="C20" s="5" t="s">
        <v>65</v>
      </c>
      <c r="D20" s="5" t="s">
        <v>166</v>
      </c>
      <c r="E20" s="5" t="s">
        <v>201</v>
      </c>
      <c r="F20" s="8" t="s">
        <v>20</v>
      </c>
      <c r="G20" s="6">
        <v>1</v>
      </c>
      <c r="H20" s="6">
        <v>918720</v>
      </c>
      <c r="I20" s="6">
        <f t="shared" si="0"/>
        <v>918720</v>
      </c>
      <c r="J20" s="5" t="s">
        <v>21</v>
      </c>
      <c r="K20" s="5" t="s">
        <v>22</v>
      </c>
      <c r="L20" s="5" t="s">
        <v>23</v>
      </c>
      <c r="M20" s="5" t="s">
        <v>30</v>
      </c>
    </row>
    <row r="21" spans="1:13" ht="45" x14ac:dyDescent="0.25">
      <c r="A21" s="8">
        <v>1</v>
      </c>
      <c r="B21" s="8">
        <v>11</v>
      </c>
      <c r="C21" s="5" t="s">
        <v>17</v>
      </c>
      <c r="D21" s="5" t="s">
        <v>35</v>
      </c>
      <c r="E21" s="5" t="s">
        <v>202</v>
      </c>
      <c r="F21" s="8" t="s">
        <v>20</v>
      </c>
      <c r="G21" s="6">
        <v>1</v>
      </c>
      <c r="H21" s="6">
        <v>2900000</v>
      </c>
      <c r="I21" s="6">
        <f t="shared" si="0"/>
        <v>2900000</v>
      </c>
      <c r="J21" s="5" t="s">
        <v>21</v>
      </c>
      <c r="K21" s="5" t="s">
        <v>33</v>
      </c>
      <c r="L21" s="5" t="s">
        <v>23</v>
      </c>
      <c r="M21" s="5" t="s">
        <v>30</v>
      </c>
    </row>
    <row r="22" spans="1:13" ht="30" x14ac:dyDescent="0.25">
      <c r="A22" s="8">
        <v>1</v>
      </c>
      <c r="B22" s="8">
        <v>12</v>
      </c>
      <c r="C22" s="5" t="s">
        <v>17</v>
      </c>
      <c r="D22" s="5" t="s">
        <v>36</v>
      </c>
      <c r="E22" s="5" t="s">
        <v>37</v>
      </c>
      <c r="F22" s="8" t="s">
        <v>20</v>
      </c>
      <c r="G22" s="6">
        <v>2</v>
      </c>
      <c r="H22" s="6">
        <v>348000</v>
      </c>
      <c r="I22" s="6">
        <f t="shared" si="0"/>
        <v>696000</v>
      </c>
      <c r="J22" s="5" t="s">
        <v>21</v>
      </c>
      <c r="K22" s="5" t="s">
        <v>33</v>
      </c>
      <c r="L22" s="5" t="s">
        <v>23</v>
      </c>
      <c r="M22" s="5" t="s">
        <v>30</v>
      </c>
    </row>
    <row r="23" spans="1:13" ht="60" x14ac:dyDescent="0.25">
      <c r="A23" s="8">
        <v>1</v>
      </c>
      <c r="B23" s="8">
        <v>13</v>
      </c>
      <c r="C23" s="5" t="s">
        <v>17</v>
      </c>
      <c r="D23" s="5" t="s">
        <v>38</v>
      </c>
      <c r="E23" s="5" t="s">
        <v>203</v>
      </c>
      <c r="F23" s="8" t="s">
        <v>20</v>
      </c>
      <c r="G23" s="6">
        <v>2</v>
      </c>
      <c r="H23" s="6">
        <v>324800</v>
      </c>
      <c r="I23" s="6">
        <f t="shared" si="0"/>
        <v>649600</v>
      </c>
      <c r="J23" s="5" t="s">
        <v>21</v>
      </c>
      <c r="K23" s="5" t="s">
        <v>33</v>
      </c>
      <c r="L23" s="5" t="s">
        <v>23</v>
      </c>
      <c r="M23" s="5" t="s">
        <v>30</v>
      </c>
    </row>
    <row r="24" spans="1:13" ht="30" x14ac:dyDescent="0.25">
      <c r="A24" s="8">
        <v>2</v>
      </c>
      <c r="B24" s="8">
        <v>14</v>
      </c>
      <c r="C24" s="5" t="s">
        <v>17</v>
      </c>
      <c r="D24" s="5" t="s">
        <v>39</v>
      </c>
      <c r="E24" s="5" t="s">
        <v>276</v>
      </c>
      <c r="F24" s="8" t="s">
        <v>40</v>
      </c>
      <c r="G24" s="6">
        <v>4</v>
      </c>
      <c r="H24" s="6">
        <v>63800</v>
      </c>
      <c r="I24" s="6">
        <f t="shared" si="0"/>
        <v>255200</v>
      </c>
      <c r="J24" s="5" t="s">
        <v>33</v>
      </c>
      <c r="K24" s="5" t="s">
        <v>41</v>
      </c>
      <c r="L24" s="5" t="s">
        <v>23</v>
      </c>
      <c r="M24" s="5" t="s">
        <v>30</v>
      </c>
    </row>
    <row r="25" spans="1:13" ht="30" x14ac:dyDescent="0.25">
      <c r="A25" s="8">
        <v>2</v>
      </c>
      <c r="B25" s="8">
        <v>15</v>
      </c>
      <c r="C25" s="5" t="s">
        <v>17</v>
      </c>
      <c r="D25" s="5" t="s">
        <v>167</v>
      </c>
      <c r="E25" s="5" t="s">
        <v>168</v>
      </c>
      <c r="F25" s="8" t="s">
        <v>40</v>
      </c>
      <c r="G25" s="6">
        <v>1</v>
      </c>
      <c r="H25" s="6">
        <v>42340</v>
      </c>
      <c r="I25" s="6">
        <f t="shared" si="0"/>
        <v>42340</v>
      </c>
      <c r="J25" s="5" t="s">
        <v>21</v>
      </c>
      <c r="K25" s="5" t="s">
        <v>33</v>
      </c>
      <c r="L25" s="5" t="s">
        <v>23</v>
      </c>
      <c r="M25" s="5" t="s">
        <v>169</v>
      </c>
    </row>
    <row r="26" spans="1:13" ht="30" x14ac:dyDescent="0.25">
      <c r="A26" s="8">
        <v>2</v>
      </c>
      <c r="B26" s="8">
        <v>16</v>
      </c>
      <c r="C26" s="5" t="s">
        <v>17</v>
      </c>
      <c r="D26" s="5" t="s">
        <v>170</v>
      </c>
      <c r="E26" s="5" t="s">
        <v>171</v>
      </c>
      <c r="F26" s="8" t="s">
        <v>40</v>
      </c>
      <c r="G26" s="6">
        <v>1</v>
      </c>
      <c r="H26" s="6">
        <v>6000</v>
      </c>
      <c r="I26" s="6">
        <f t="shared" si="0"/>
        <v>6000</v>
      </c>
      <c r="J26" s="5" t="s">
        <v>21</v>
      </c>
      <c r="K26" s="5" t="s">
        <v>33</v>
      </c>
      <c r="L26" s="5" t="s">
        <v>23</v>
      </c>
      <c r="M26" s="5" t="s">
        <v>169</v>
      </c>
    </row>
    <row r="27" spans="1:13" ht="30" x14ac:dyDescent="0.25">
      <c r="A27" s="8">
        <v>2</v>
      </c>
      <c r="B27" s="8">
        <v>17</v>
      </c>
      <c r="C27" s="5" t="s">
        <v>17</v>
      </c>
      <c r="D27" s="5" t="s">
        <v>172</v>
      </c>
      <c r="E27" s="5" t="s">
        <v>173</v>
      </c>
      <c r="F27" s="8" t="s">
        <v>40</v>
      </c>
      <c r="G27" s="6">
        <v>1</v>
      </c>
      <c r="H27" s="6">
        <v>114327</v>
      </c>
      <c r="I27" s="6">
        <f t="shared" si="0"/>
        <v>114327</v>
      </c>
      <c r="J27" s="5" t="s">
        <v>21</v>
      </c>
      <c r="K27" s="5" t="s">
        <v>33</v>
      </c>
      <c r="L27" s="5" t="s">
        <v>23</v>
      </c>
      <c r="M27" s="5" t="s">
        <v>169</v>
      </c>
    </row>
    <row r="28" spans="1:13" ht="30" x14ac:dyDescent="0.25">
      <c r="A28" s="8">
        <v>2</v>
      </c>
      <c r="B28" s="8">
        <v>18</v>
      </c>
      <c r="C28" s="5" t="s">
        <v>17</v>
      </c>
      <c r="D28" s="5" t="s">
        <v>174</v>
      </c>
      <c r="E28" s="5" t="s">
        <v>277</v>
      </c>
      <c r="F28" s="8" t="s">
        <v>40</v>
      </c>
      <c r="G28" s="6">
        <v>1</v>
      </c>
      <c r="H28" s="6">
        <v>48700</v>
      </c>
      <c r="I28" s="6">
        <f t="shared" si="0"/>
        <v>48700</v>
      </c>
      <c r="J28" s="5" t="s">
        <v>21</v>
      </c>
      <c r="K28" s="5" t="s">
        <v>33</v>
      </c>
      <c r="L28" s="5" t="s">
        <v>23</v>
      </c>
      <c r="M28" s="5" t="s">
        <v>175</v>
      </c>
    </row>
    <row r="29" spans="1:13" ht="45" x14ac:dyDescent="0.25">
      <c r="A29" s="8">
        <v>2</v>
      </c>
      <c r="B29" s="8">
        <v>19</v>
      </c>
      <c r="C29" s="5" t="s">
        <v>17</v>
      </c>
      <c r="D29" s="5" t="s">
        <v>204</v>
      </c>
      <c r="E29" s="5" t="s">
        <v>205</v>
      </c>
      <c r="F29" s="8" t="s">
        <v>40</v>
      </c>
      <c r="G29" s="6">
        <v>1</v>
      </c>
      <c r="H29" s="6">
        <v>989997</v>
      </c>
      <c r="I29" s="6">
        <f t="shared" si="0"/>
        <v>989997</v>
      </c>
      <c r="J29" s="5" t="s">
        <v>21</v>
      </c>
      <c r="K29" s="5" t="s">
        <v>33</v>
      </c>
      <c r="L29" s="5" t="s">
        <v>23</v>
      </c>
      <c r="M29" s="5" t="s">
        <v>206</v>
      </c>
    </row>
    <row r="30" spans="1:13" ht="30" x14ac:dyDescent="0.25">
      <c r="A30" s="8">
        <v>2</v>
      </c>
      <c r="B30" s="8">
        <v>20</v>
      </c>
      <c r="C30" s="5" t="s">
        <v>17</v>
      </c>
      <c r="D30" s="5" t="s">
        <v>207</v>
      </c>
      <c r="E30" s="5" t="s">
        <v>208</v>
      </c>
      <c r="F30" s="8" t="s">
        <v>40</v>
      </c>
      <c r="G30" s="6">
        <v>1</v>
      </c>
      <c r="H30" s="6">
        <v>49990</v>
      </c>
      <c r="I30" s="6">
        <f t="shared" si="0"/>
        <v>49990</v>
      </c>
      <c r="J30" s="5" t="s">
        <v>21</v>
      </c>
      <c r="K30" s="5" t="s">
        <v>33</v>
      </c>
      <c r="L30" s="5" t="s">
        <v>23</v>
      </c>
      <c r="M30" s="5" t="s">
        <v>206</v>
      </c>
    </row>
    <row r="31" spans="1:13" ht="30" x14ac:dyDescent="0.25">
      <c r="A31" s="8">
        <v>2</v>
      </c>
      <c r="B31" s="8">
        <v>21</v>
      </c>
      <c r="C31" s="5" t="s">
        <v>17</v>
      </c>
      <c r="D31" s="5" t="s">
        <v>42</v>
      </c>
      <c r="E31" s="5" t="s">
        <v>43</v>
      </c>
      <c r="F31" s="8" t="s">
        <v>40</v>
      </c>
      <c r="G31" s="6">
        <v>1</v>
      </c>
      <c r="H31" s="6">
        <v>348000</v>
      </c>
      <c r="I31" s="6">
        <f t="shared" si="0"/>
        <v>348000</v>
      </c>
      <c r="J31" s="5" t="s">
        <v>21</v>
      </c>
      <c r="K31" s="5" t="s">
        <v>33</v>
      </c>
      <c r="L31" s="5" t="s">
        <v>23</v>
      </c>
      <c r="M31" s="5" t="s">
        <v>30</v>
      </c>
    </row>
    <row r="32" spans="1:13" ht="45" x14ac:dyDescent="0.25">
      <c r="A32" s="8">
        <v>1</v>
      </c>
      <c r="B32" s="8">
        <v>22</v>
      </c>
      <c r="C32" s="5" t="s">
        <v>44</v>
      </c>
      <c r="D32" s="5" t="s">
        <v>45</v>
      </c>
      <c r="E32" s="5" t="s">
        <v>209</v>
      </c>
      <c r="F32" s="8" t="s">
        <v>20</v>
      </c>
      <c r="G32" s="6">
        <v>1</v>
      </c>
      <c r="H32" s="6">
        <v>928000</v>
      </c>
      <c r="I32" s="6">
        <f t="shared" si="0"/>
        <v>928000</v>
      </c>
      <c r="J32" s="5" t="s">
        <v>21</v>
      </c>
      <c r="K32" s="5" t="s">
        <v>22</v>
      </c>
      <c r="L32" s="5" t="s">
        <v>23</v>
      </c>
      <c r="M32" s="5" t="s">
        <v>30</v>
      </c>
    </row>
    <row r="33" spans="1:13" ht="30" x14ac:dyDescent="0.25">
      <c r="A33" s="8">
        <v>2</v>
      </c>
      <c r="B33" s="8">
        <v>23</v>
      </c>
      <c r="C33" s="5" t="s">
        <v>17</v>
      </c>
      <c r="D33" s="5" t="s">
        <v>46</v>
      </c>
      <c r="E33" s="5" t="s">
        <v>177</v>
      </c>
      <c r="F33" s="8" t="s">
        <v>20</v>
      </c>
      <c r="G33" s="6">
        <v>1</v>
      </c>
      <c r="H33" s="6">
        <v>812000</v>
      </c>
      <c r="I33" s="6">
        <f t="shared" si="0"/>
        <v>812000</v>
      </c>
      <c r="J33" s="5" t="s">
        <v>33</v>
      </c>
      <c r="K33" s="5" t="s">
        <v>41</v>
      </c>
      <c r="L33" s="5" t="s">
        <v>23</v>
      </c>
      <c r="M33" s="5" t="s">
        <v>30</v>
      </c>
    </row>
    <row r="34" spans="1:13" ht="45" x14ac:dyDescent="0.25">
      <c r="A34" s="8">
        <v>2</v>
      </c>
      <c r="B34" s="8">
        <v>24</v>
      </c>
      <c r="C34" s="5" t="s">
        <v>17</v>
      </c>
      <c r="D34" s="5" t="s">
        <v>178</v>
      </c>
      <c r="E34" s="5" t="s">
        <v>210</v>
      </c>
      <c r="F34" s="8" t="s">
        <v>40</v>
      </c>
      <c r="G34" s="6">
        <v>16</v>
      </c>
      <c r="H34" s="6">
        <v>4118</v>
      </c>
      <c r="I34" s="6">
        <f t="shared" si="0"/>
        <v>65888</v>
      </c>
      <c r="J34" s="5" t="s">
        <v>21</v>
      </c>
      <c r="K34" s="5" t="s">
        <v>22</v>
      </c>
      <c r="L34" s="5" t="s">
        <v>23</v>
      </c>
      <c r="M34" s="5" t="s">
        <v>179</v>
      </c>
    </row>
    <row r="35" spans="1:13" ht="30" x14ac:dyDescent="0.25">
      <c r="A35" s="8">
        <v>2</v>
      </c>
      <c r="B35" s="8">
        <v>25</v>
      </c>
      <c r="C35" s="5" t="s">
        <v>17</v>
      </c>
      <c r="D35" s="5" t="s">
        <v>180</v>
      </c>
      <c r="E35" s="5" t="s">
        <v>211</v>
      </c>
      <c r="F35" s="8" t="s">
        <v>40</v>
      </c>
      <c r="G35" s="6">
        <v>3</v>
      </c>
      <c r="H35" s="6">
        <v>6101</v>
      </c>
      <c r="I35" s="6">
        <f t="shared" si="0"/>
        <v>18303</v>
      </c>
      <c r="J35" s="5" t="s">
        <v>21</v>
      </c>
      <c r="K35" s="5" t="s">
        <v>22</v>
      </c>
      <c r="L35" s="5" t="s">
        <v>23</v>
      </c>
      <c r="M35" s="5" t="s">
        <v>179</v>
      </c>
    </row>
    <row r="36" spans="1:13" ht="30" x14ac:dyDescent="0.25">
      <c r="A36" s="8">
        <v>2</v>
      </c>
      <c r="B36" s="8">
        <v>26</v>
      </c>
      <c r="C36" s="5" t="s">
        <v>17</v>
      </c>
      <c r="D36" s="5" t="s">
        <v>181</v>
      </c>
      <c r="E36" s="5" t="s">
        <v>278</v>
      </c>
      <c r="F36" s="8" t="s">
        <v>40</v>
      </c>
      <c r="G36" s="6">
        <v>4</v>
      </c>
      <c r="H36" s="6">
        <v>7235</v>
      </c>
      <c r="I36" s="6">
        <f t="shared" si="0"/>
        <v>28940</v>
      </c>
      <c r="J36" s="5" t="s">
        <v>21</v>
      </c>
      <c r="K36" s="5" t="s">
        <v>22</v>
      </c>
      <c r="L36" s="5" t="s">
        <v>23</v>
      </c>
      <c r="M36" s="5" t="s">
        <v>176</v>
      </c>
    </row>
    <row r="37" spans="1:13" ht="30" x14ac:dyDescent="0.25">
      <c r="A37" s="8">
        <v>2</v>
      </c>
      <c r="B37" s="8">
        <v>27</v>
      </c>
      <c r="C37" s="5" t="s">
        <v>17</v>
      </c>
      <c r="D37" s="5" t="s">
        <v>182</v>
      </c>
      <c r="E37" s="5" t="s">
        <v>279</v>
      </c>
      <c r="F37" s="8" t="s">
        <v>40</v>
      </c>
      <c r="G37" s="6">
        <v>5</v>
      </c>
      <c r="H37" s="6">
        <v>9039</v>
      </c>
      <c r="I37" s="6">
        <f t="shared" si="0"/>
        <v>45195</v>
      </c>
      <c r="J37" s="5" t="s">
        <v>21</v>
      </c>
      <c r="K37" s="5" t="s">
        <v>22</v>
      </c>
      <c r="L37" s="5" t="s">
        <v>23</v>
      </c>
      <c r="M37" s="5" t="s">
        <v>176</v>
      </c>
    </row>
    <row r="38" spans="1:13" ht="45" x14ac:dyDescent="0.25">
      <c r="A38" s="8">
        <v>1</v>
      </c>
      <c r="B38" s="8">
        <v>28</v>
      </c>
      <c r="C38" s="5" t="s">
        <v>17</v>
      </c>
      <c r="D38" s="5" t="s">
        <v>212</v>
      </c>
      <c r="E38" s="5" t="s">
        <v>213</v>
      </c>
      <c r="F38" s="8" t="s">
        <v>40</v>
      </c>
      <c r="G38" s="6">
        <v>10</v>
      </c>
      <c r="H38" s="6">
        <v>89302</v>
      </c>
      <c r="I38" s="6">
        <f t="shared" si="0"/>
        <v>893020</v>
      </c>
      <c r="J38" s="5" t="s">
        <v>21</v>
      </c>
      <c r="K38" s="5" t="s">
        <v>22</v>
      </c>
      <c r="L38" s="5" t="s">
        <v>23</v>
      </c>
      <c r="M38" s="5" t="s">
        <v>206</v>
      </c>
    </row>
    <row r="39" spans="1:13" ht="45" x14ac:dyDescent="0.25">
      <c r="A39" s="8">
        <v>1</v>
      </c>
      <c r="B39" s="8">
        <v>29</v>
      </c>
      <c r="C39" s="5" t="s">
        <v>17</v>
      </c>
      <c r="D39" s="24" t="s">
        <v>47</v>
      </c>
      <c r="E39" s="5" t="s">
        <v>48</v>
      </c>
      <c r="F39" s="8" t="s">
        <v>20</v>
      </c>
      <c r="G39" s="6">
        <v>1</v>
      </c>
      <c r="H39" s="6">
        <v>1669990</v>
      </c>
      <c r="I39" s="6">
        <f t="shared" si="0"/>
        <v>1669990</v>
      </c>
      <c r="J39" s="5" t="s">
        <v>21</v>
      </c>
      <c r="K39" s="5" t="s">
        <v>41</v>
      </c>
      <c r="L39" s="5" t="s">
        <v>23</v>
      </c>
      <c r="M39" s="5" t="s">
        <v>214</v>
      </c>
    </row>
    <row r="40" spans="1:13" ht="30" x14ac:dyDescent="0.25">
      <c r="A40" s="8">
        <v>1</v>
      </c>
      <c r="B40" s="8">
        <v>30</v>
      </c>
      <c r="C40" s="5" t="s">
        <v>17</v>
      </c>
      <c r="D40" s="24" t="s">
        <v>49</v>
      </c>
      <c r="E40" s="5" t="s">
        <v>50</v>
      </c>
      <c r="F40" s="8" t="s">
        <v>20</v>
      </c>
      <c r="G40" s="6">
        <v>1</v>
      </c>
      <c r="H40" s="6">
        <v>485990</v>
      </c>
      <c r="I40" s="6">
        <f t="shared" si="0"/>
        <v>485990</v>
      </c>
      <c r="J40" s="5" t="s">
        <v>21</v>
      </c>
      <c r="K40" s="5" t="s">
        <v>41</v>
      </c>
      <c r="L40" s="5" t="s">
        <v>23</v>
      </c>
      <c r="M40" s="5" t="s">
        <v>215</v>
      </c>
    </row>
    <row r="41" spans="1:13" ht="30" x14ac:dyDescent="0.25">
      <c r="A41" s="8">
        <v>1</v>
      </c>
      <c r="B41" s="8">
        <v>31</v>
      </c>
      <c r="C41" s="5" t="s">
        <v>17</v>
      </c>
      <c r="D41" s="24" t="s">
        <v>51</v>
      </c>
      <c r="E41" s="5" t="s">
        <v>52</v>
      </c>
      <c r="F41" s="8" t="s">
        <v>20</v>
      </c>
      <c r="G41" s="6">
        <v>1</v>
      </c>
      <c r="H41" s="6">
        <v>479990</v>
      </c>
      <c r="I41" s="6">
        <f t="shared" si="0"/>
        <v>479990</v>
      </c>
      <c r="J41" s="5" t="s">
        <v>21</v>
      </c>
      <c r="K41" s="5" t="s">
        <v>41</v>
      </c>
      <c r="L41" s="5" t="s">
        <v>23</v>
      </c>
      <c r="M41" s="5" t="s">
        <v>216</v>
      </c>
    </row>
    <row r="42" spans="1:13" ht="30" x14ac:dyDescent="0.25">
      <c r="A42" s="8">
        <v>1</v>
      </c>
      <c r="B42" s="8">
        <v>32</v>
      </c>
      <c r="C42" s="5" t="s">
        <v>17</v>
      </c>
      <c r="D42" s="24" t="s">
        <v>53</v>
      </c>
      <c r="E42" s="5" t="s">
        <v>54</v>
      </c>
      <c r="F42" s="8" t="s">
        <v>20</v>
      </c>
      <c r="G42" s="6">
        <v>1</v>
      </c>
      <c r="H42" s="6">
        <v>58990</v>
      </c>
      <c r="I42" s="6">
        <f t="shared" si="0"/>
        <v>58990</v>
      </c>
      <c r="J42" s="5" t="s">
        <v>21</v>
      </c>
      <c r="K42" s="5" t="s">
        <v>41</v>
      </c>
      <c r="L42" s="5" t="s">
        <v>23</v>
      </c>
      <c r="M42" s="5" t="s">
        <v>216</v>
      </c>
    </row>
    <row r="43" spans="1:13" ht="30" x14ac:dyDescent="0.25">
      <c r="A43" s="8">
        <v>1</v>
      </c>
      <c r="B43" s="8">
        <v>33</v>
      </c>
      <c r="C43" s="5" t="s">
        <v>17</v>
      </c>
      <c r="D43" s="24" t="s">
        <v>55</v>
      </c>
      <c r="E43" s="5" t="s">
        <v>56</v>
      </c>
      <c r="F43" s="8" t="s">
        <v>20</v>
      </c>
      <c r="G43" s="6">
        <v>1</v>
      </c>
      <c r="H43" s="6">
        <v>250000</v>
      </c>
      <c r="I43" s="6">
        <f t="shared" ref="I43:I74" si="1">ROUND(G43*H43,0)</f>
        <v>250000</v>
      </c>
      <c r="J43" s="5" t="s">
        <v>21</v>
      </c>
      <c r="K43" s="5" t="s">
        <v>41</v>
      </c>
      <c r="L43" s="5" t="s">
        <v>23</v>
      </c>
      <c r="M43" s="5" t="s">
        <v>217</v>
      </c>
    </row>
    <row r="44" spans="1:13" ht="30" x14ac:dyDescent="0.25">
      <c r="A44" s="8">
        <v>2</v>
      </c>
      <c r="B44" s="8">
        <v>34</v>
      </c>
      <c r="C44" s="5" t="s">
        <v>17</v>
      </c>
      <c r="D44" s="24" t="s">
        <v>57</v>
      </c>
      <c r="E44" s="5" t="s">
        <v>58</v>
      </c>
      <c r="F44" s="8" t="s">
        <v>20</v>
      </c>
      <c r="G44" s="6">
        <v>1</v>
      </c>
      <c r="H44" s="6">
        <v>31990</v>
      </c>
      <c r="I44" s="6">
        <f t="shared" si="1"/>
        <v>31990</v>
      </c>
      <c r="J44" s="5" t="s">
        <v>21</v>
      </c>
      <c r="K44" s="5" t="s">
        <v>41</v>
      </c>
      <c r="L44" s="5" t="s">
        <v>23</v>
      </c>
      <c r="M44" s="5" t="s">
        <v>216</v>
      </c>
    </row>
    <row r="45" spans="1:13" ht="45" x14ac:dyDescent="0.25">
      <c r="A45" s="8">
        <v>1</v>
      </c>
      <c r="B45" s="8">
        <v>35</v>
      </c>
      <c r="C45" s="5" t="s">
        <v>17</v>
      </c>
      <c r="D45" s="24" t="s">
        <v>59</v>
      </c>
      <c r="E45" s="5" t="s">
        <v>280</v>
      </c>
      <c r="F45" s="8" t="s">
        <v>20</v>
      </c>
      <c r="G45" s="6">
        <v>1</v>
      </c>
      <c r="H45" s="6">
        <v>119990</v>
      </c>
      <c r="I45" s="6">
        <f t="shared" si="1"/>
        <v>119990</v>
      </c>
      <c r="J45" s="5" t="s">
        <v>21</v>
      </c>
      <c r="K45" s="5" t="s">
        <v>41</v>
      </c>
      <c r="L45" s="5" t="s">
        <v>23</v>
      </c>
      <c r="M45" s="5" t="s">
        <v>218</v>
      </c>
    </row>
    <row r="46" spans="1:13" ht="30" x14ac:dyDescent="0.25">
      <c r="A46" s="8">
        <v>1</v>
      </c>
      <c r="B46" s="8">
        <v>36</v>
      </c>
      <c r="C46" s="5" t="s">
        <v>17</v>
      </c>
      <c r="D46" s="24" t="s">
        <v>60</v>
      </c>
      <c r="E46" s="5" t="s">
        <v>219</v>
      </c>
      <c r="F46" s="8" t="s">
        <v>20</v>
      </c>
      <c r="G46" s="6">
        <v>1</v>
      </c>
      <c r="H46" s="6">
        <v>104990</v>
      </c>
      <c r="I46" s="6">
        <f t="shared" si="1"/>
        <v>104990</v>
      </c>
      <c r="J46" s="5" t="s">
        <v>21</v>
      </c>
      <c r="K46" s="5" t="s">
        <v>41</v>
      </c>
      <c r="L46" s="5" t="s">
        <v>23</v>
      </c>
      <c r="M46" s="5" t="s">
        <v>220</v>
      </c>
    </row>
    <row r="47" spans="1:13" ht="30" x14ac:dyDescent="0.25">
      <c r="A47" s="8">
        <v>1</v>
      </c>
      <c r="B47" s="8">
        <v>37</v>
      </c>
      <c r="C47" s="5" t="s">
        <v>17</v>
      </c>
      <c r="D47" s="24" t="s">
        <v>61</v>
      </c>
      <c r="E47" s="5" t="s">
        <v>62</v>
      </c>
      <c r="F47" s="8" t="s">
        <v>20</v>
      </c>
      <c r="G47" s="6">
        <v>1</v>
      </c>
      <c r="H47" s="6">
        <v>150000</v>
      </c>
      <c r="I47" s="6">
        <f t="shared" si="1"/>
        <v>150000</v>
      </c>
      <c r="J47" s="5" t="s">
        <v>21</v>
      </c>
      <c r="K47" s="5" t="s">
        <v>41</v>
      </c>
      <c r="L47" s="5" t="s">
        <v>23</v>
      </c>
      <c r="M47" s="5" t="s">
        <v>221</v>
      </c>
    </row>
    <row r="48" spans="1:13" ht="30" x14ac:dyDescent="0.25">
      <c r="A48" s="8">
        <v>1</v>
      </c>
      <c r="B48" s="8">
        <v>38</v>
      </c>
      <c r="C48" s="5" t="s">
        <v>17</v>
      </c>
      <c r="D48" s="24" t="s">
        <v>63</v>
      </c>
      <c r="E48" s="5" t="s">
        <v>222</v>
      </c>
      <c r="F48" s="8" t="s">
        <v>20</v>
      </c>
      <c r="G48" s="6">
        <v>1</v>
      </c>
      <c r="H48" s="6">
        <v>240000</v>
      </c>
      <c r="I48" s="6">
        <f t="shared" si="1"/>
        <v>240000</v>
      </c>
      <c r="J48" s="5" t="s">
        <v>21</v>
      </c>
      <c r="K48" s="5" t="s">
        <v>41</v>
      </c>
      <c r="L48" s="5" t="s">
        <v>23</v>
      </c>
      <c r="M48" s="5" t="s">
        <v>223</v>
      </c>
    </row>
    <row r="49" spans="1:13" ht="45" x14ac:dyDescent="0.25">
      <c r="A49" s="8">
        <v>2</v>
      </c>
      <c r="B49" s="8">
        <v>39</v>
      </c>
      <c r="C49" s="5" t="s">
        <v>17</v>
      </c>
      <c r="D49" s="5" t="s">
        <v>64</v>
      </c>
      <c r="E49" s="5" t="s">
        <v>224</v>
      </c>
      <c r="F49" s="8" t="s">
        <v>40</v>
      </c>
      <c r="G49" s="6">
        <v>1</v>
      </c>
      <c r="H49" s="6">
        <v>464000</v>
      </c>
      <c r="I49" s="6">
        <f t="shared" si="1"/>
        <v>464000</v>
      </c>
      <c r="J49" s="5" t="s">
        <v>21</v>
      </c>
      <c r="K49" s="5" t="s">
        <v>33</v>
      </c>
      <c r="L49" s="5" t="s">
        <v>23</v>
      </c>
      <c r="M49" s="5" t="s">
        <v>30</v>
      </c>
    </row>
    <row r="50" spans="1:13" ht="30" x14ac:dyDescent="0.25">
      <c r="A50" s="8">
        <v>2</v>
      </c>
      <c r="B50" s="8">
        <v>40</v>
      </c>
      <c r="C50" s="5" t="s">
        <v>17</v>
      </c>
      <c r="D50" s="5" t="s">
        <v>225</v>
      </c>
      <c r="E50" s="5" t="s">
        <v>226</v>
      </c>
      <c r="F50" s="8" t="s">
        <v>40</v>
      </c>
      <c r="G50" s="6">
        <v>1</v>
      </c>
      <c r="H50" s="6">
        <v>35990</v>
      </c>
      <c r="I50" s="6">
        <f t="shared" si="1"/>
        <v>35990</v>
      </c>
      <c r="J50" s="5" t="s">
        <v>21</v>
      </c>
      <c r="K50" s="5" t="s">
        <v>33</v>
      </c>
      <c r="L50" s="5" t="s">
        <v>23</v>
      </c>
      <c r="M50" s="5" t="s">
        <v>206</v>
      </c>
    </row>
    <row r="51" spans="1:13" ht="30" x14ac:dyDescent="0.25">
      <c r="A51" s="8">
        <v>1</v>
      </c>
      <c r="B51" s="8">
        <v>41</v>
      </c>
      <c r="C51" s="5" t="s">
        <v>65</v>
      </c>
      <c r="D51" s="5" t="s">
        <v>66</v>
      </c>
      <c r="E51" s="5" t="s">
        <v>67</v>
      </c>
      <c r="F51" s="8" t="s">
        <v>68</v>
      </c>
      <c r="G51" s="6">
        <v>1</v>
      </c>
      <c r="H51" s="6">
        <v>174000</v>
      </c>
      <c r="I51" s="6">
        <f t="shared" si="1"/>
        <v>174000</v>
      </c>
      <c r="J51" s="5" t="s">
        <v>21</v>
      </c>
      <c r="K51" s="5" t="s">
        <v>33</v>
      </c>
      <c r="L51" s="5" t="s">
        <v>23</v>
      </c>
      <c r="M51" s="5" t="s">
        <v>30</v>
      </c>
    </row>
    <row r="52" spans="1:13" ht="30" x14ac:dyDescent="0.25">
      <c r="A52" s="8">
        <v>2</v>
      </c>
      <c r="B52" s="8">
        <v>42</v>
      </c>
      <c r="C52" s="5" t="s">
        <v>69</v>
      </c>
      <c r="D52" s="5" t="s">
        <v>70</v>
      </c>
      <c r="E52" s="5" t="s">
        <v>71</v>
      </c>
      <c r="F52" s="8" t="s">
        <v>20</v>
      </c>
      <c r="G52" s="27">
        <v>1</v>
      </c>
      <c r="H52" s="27">
        <v>464000</v>
      </c>
      <c r="I52" s="6">
        <f t="shared" si="1"/>
        <v>464000</v>
      </c>
      <c r="J52" s="5" t="s">
        <v>33</v>
      </c>
      <c r="K52" s="5" t="s">
        <v>41</v>
      </c>
      <c r="L52" s="5" t="s">
        <v>23</v>
      </c>
      <c r="M52" s="5" t="s">
        <v>30</v>
      </c>
    </row>
    <row r="53" spans="1:13" x14ac:dyDescent="0.25">
      <c r="A53" s="8">
        <v>1</v>
      </c>
      <c r="B53" s="8">
        <v>43</v>
      </c>
      <c r="C53" s="5" t="s">
        <v>17</v>
      </c>
      <c r="D53" s="5" t="s">
        <v>227</v>
      </c>
      <c r="E53" s="5" t="s">
        <v>228</v>
      </c>
      <c r="F53" s="8" t="s">
        <v>20</v>
      </c>
      <c r="G53" s="6">
        <v>2</v>
      </c>
      <c r="H53" s="6">
        <v>11600</v>
      </c>
      <c r="I53" s="6">
        <f t="shared" si="1"/>
        <v>23200</v>
      </c>
      <c r="J53" s="5" t="s">
        <v>21</v>
      </c>
      <c r="K53" s="5" t="s">
        <v>33</v>
      </c>
      <c r="L53" s="5" t="s">
        <v>23</v>
      </c>
      <c r="M53" s="5" t="s">
        <v>30</v>
      </c>
    </row>
    <row r="54" spans="1:13" ht="60" x14ac:dyDescent="0.25">
      <c r="A54" s="8">
        <v>1</v>
      </c>
      <c r="B54" s="8">
        <v>44</v>
      </c>
      <c r="C54" s="5" t="s">
        <v>65</v>
      </c>
      <c r="D54" s="5" t="s">
        <v>229</v>
      </c>
      <c r="E54" s="5" t="s">
        <v>230</v>
      </c>
      <c r="F54" s="8" t="s">
        <v>68</v>
      </c>
      <c r="G54" s="6">
        <v>1</v>
      </c>
      <c r="H54" s="6">
        <v>13409903</v>
      </c>
      <c r="I54" s="6">
        <f t="shared" si="1"/>
        <v>13409903</v>
      </c>
      <c r="J54" s="5" t="s">
        <v>21</v>
      </c>
      <c r="K54" s="5" t="s">
        <v>72</v>
      </c>
      <c r="L54" s="5" t="s">
        <v>23</v>
      </c>
      <c r="M54" s="5" t="s">
        <v>183</v>
      </c>
    </row>
    <row r="55" spans="1:13" ht="30" x14ac:dyDescent="0.25">
      <c r="A55" s="8">
        <v>2</v>
      </c>
      <c r="B55" s="8">
        <v>45</v>
      </c>
      <c r="C55" s="5" t="s">
        <v>69</v>
      </c>
      <c r="D55" s="5" t="s">
        <v>73</v>
      </c>
      <c r="E55" s="5" t="s">
        <v>281</v>
      </c>
      <c r="F55" s="8" t="s">
        <v>20</v>
      </c>
      <c r="G55" s="27">
        <v>3</v>
      </c>
      <c r="H55" s="27">
        <v>58000</v>
      </c>
      <c r="I55" s="6">
        <f t="shared" si="1"/>
        <v>174000</v>
      </c>
      <c r="J55" s="5" t="s">
        <v>33</v>
      </c>
      <c r="K55" s="5" t="s">
        <v>41</v>
      </c>
      <c r="L55" s="5" t="s">
        <v>23</v>
      </c>
      <c r="M55" s="5" t="s">
        <v>74</v>
      </c>
    </row>
    <row r="56" spans="1:13" ht="30" x14ac:dyDescent="0.25">
      <c r="A56" s="8">
        <v>2</v>
      </c>
      <c r="B56" s="8">
        <v>46</v>
      </c>
      <c r="C56" s="5" t="s">
        <v>65</v>
      </c>
      <c r="D56" s="5" t="s">
        <v>75</v>
      </c>
      <c r="E56" s="5" t="s">
        <v>76</v>
      </c>
      <c r="F56" s="8" t="s">
        <v>20</v>
      </c>
      <c r="G56" s="6">
        <v>3</v>
      </c>
      <c r="H56" s="6">
        <v>69600</v>
      </c>
      <c r="I56" s="6">
        <f t="shared" si="1"/>
        <v>208800</v>
      </c>
      <c r="J56" s="5" t="s">
        <v>21</v>
      </c>
      <c r="K56" s="5" t="s">
        <v>72</v>
      </c>
      <c r="L56" s="5" t="s">
        <v>23</v>
      </c>
      <c r="M56" s="5" t="s">
        <v>231</v>
      </c>
    </row>
    <row r="57" spans="1:13" ht="30" x14ac:dyDescent="0.25">
      <c r="A57" s="8">
        <v>1</v>
      </c>
      <c r="B57" s="8">
        <v>47</v>
      </c>
      <c r="C57" s="5" t="s">
        <v>65</v>
      </c>
      <c r="D57" s="5" t="s">
        <v>77</v>
      </c>
      <c r="E57" s="5" t="s">
        <v>78</v>
      </c>
      <c r="F57" s="8" t="s">
        <v>68</v>
      </c>
      <c r="G57" s="6">
        <v>3</v>
      </c>
      <c r="H57" s="6">
        <v>58000</v>
      </c>
      <c r="I57" s="6">
        <f t="shared" si="1"/>
        <v>174000</v>
      </c>
      <c r="J57" s="5" t="s">
        <v>21</v>
      </c>
      <c r="K57" s="5" t="s">
        <v>72</v>
      </c>
      <c r="L57" s="5" t="s">
        <v>23</v>
      </c>
      <c r="M57" s="5" t="s">
        <v>74</v>
      </c>
    </row>
    <row r="58" spans="1:13" ht="30" x14ac:dyDescent="0.25">
      <c r="A58" s="8">
        <v>2</v>
      </c>
      <c r="B58" s="8">
        <v>48</v>
      </c>
      <c r="C58" s="5" t="s">
        <v>65</v>
      </c>
      <c r="D58" s="5" t="s">
        <v>79</v>
      </c>
      <c r="E58" s="5" t="s">
        <v>80</v>
      </c>
      <c r="F58" s="8" t="s">
        <v>20</v>
      </c>
      <c r="G58" s="6">
        <v>3</v>
      </c>
      <c r="H58" s="6">
        <v>34800</v>
      </c>
      <c r="I58" s="6">
        <f t="shared" si="1"/>
        <v>104400</v>
      </c>
      <c r="J58" s="5" t="s">
        <v>33</v>
      </c>
      <c r="K58" s="5" t="s">
        <v>41</v>
      </c>
      <c r="L58" s="5" t="s">
        <v>23</v>
      </c>
      <c r="M58" s="5" t="s">
        <v>74</v>
      </c>
    </row>
    <row r="59" spans="1:13" ht="30" x14ac:dyDescent="0.25">
      <c r="A59" s="8">
        <v>1</v>
      </c>
      <c r="B59" s="8">
        <v>49</v>
      </c>
      <c r="C59" s="5" t="s">
        <v>17</v>
      </c>
      <c r="D59" s="5" t="s">
        <v>81</v>
      </c>
      <c r="E59" s="5" t="s">
        <v>232</v>
      </c>
      <c r="F59" s="8" t="s">
        <v>40</v>
      </c>
      <c r="G59" s="6">
        <v>11</v>
      </c>
      <c r="H59" s="6">
        <v>2450</v>
      </c>
      <c r="I59" s="6">
        <f t="shared" si="1"/>
        <v>26950</v>
      </c>
      <c r="J59" s="5" t="s">
        <v>21</v>
      </c>
      <c r="K59" s="5" t="s">
        <v>72</v>
      </c>
      <c r="L59" s="5" t="s">
        <v>23</v>
      </c>
      <c r="M59" s="5" t="s">
        <v>233</v>
      </c>
    </row>
    <row r="60" spans="1:13" ht="30" x14ac:dyDescent="0.25">
      <c r="A60" s="8">
        <v>1</v>
      </c>
      <c r="B60" s="8">
        <v>50</v>
      </c>
      <c r="C60" s="5" t="s">
        <v>17</v>
      </c>
      <c r="D60" s="5" t="s">
        <v>82</v>
      </c>
      <c r="E60" s="5" t="s">
        <v>282</v>
      </c>
      <c r="F60" s="8" t="s">
        <v>40</v>
      </c>
      <c r="G60" s="6">
        <v>1</v>
      </c>
      <c r="H60" s="6">
        <v>5990</v>
      </c>
      <c r="I60" s="6">
        <f t="shared" si="1"/>
        <v>5990</v>
      </c>
      <c r="J60" s="5" t="s">
        <v>21</v>
      </c>
      <c r="K60" s="5" t="s">
        <v>72</v>
      </c>
      <c r="L60" s="5" t="s">
        <v>23</v>
      </c>
      <c r="M60" s="5" t="s">
        <v>233</v>
      </c>
    </row>
    <row r="61" spans="1:13" ht="30" x14ac:dyDescent="0.25">
      <c r="A61" s="8">
        <v>2</v>
      </c>
      <c r="B61" s="8">
        <v>51</v>
      </c>
      <c r="C61" s="5" t="s">
        <v>17</v>
      </c>
      <c r="D61" s="5" t="s">
        <v>83</v>
      </c>
      <c r="E61" s="5" t="s">
        <v>283</v>
      </c>
      <c r="F61" s="8" t="s">
        <v>40</v>
      </c>
      <c r="G61" s="6">
        <v>2</v>
      </c>
      <c r="H61" s="6">
        <v>4090</v>
      </c>
      <c r="I61" s="6">
        <f t="shared" si="1"/>
        <v>8180</v>
      </c>
      <c r="J61" s="5" t="s">
        <v>21</v>
      </c>
      <c r="K61" s="5" t="s">
        <v>72</v>
      </c>
      <c r="L61" s="5" t="s">
        <v>23</v>
      </c>
      <c r="M61" s="5" t="s">
        <v>233</v>
      </c>
    </row>
    <row r="62" spans="1:13" ht="30" x14ac:dyDescent="0.25">
      <c r="A62" s="8">
        <v>2</v>
      </c>
      <c r="B62" s="8">
        <v>52</v>
      </c>
      <c r="C62" s="5" t="s">
        <v>17</v>
      </c>
      <c r="D62" s="5" t="s">
        <v>84</v>
      </c>
      <c r="E62" s="5" t="s">
        <v>284</v>
      </c>
      <c r="F62" s="8" t="s">
        <v>40</v>
      </c>
      <c r="G62" s="6">
        <v>1</v>
      </c>
      <c r="H62" s="6">
        <v>5800</v>
      </c>
      <c r="I62" s="6">
        <f t="shared" si="1"/>
        <v>5800</v>
      </c>
      <c r="J62" s="5" t="s">
        <v>21</v>
      </c>
      <c r="K62" s="5" t="s">
        <v>72</v>
      </c>
      <c r="L62" s="5" t="s">
        <v>23</v>
      </c>
      <c r="M62" s="5" t="s">
        <v>234</v>
      </c>
    </row>
    <row r="63" spans="1:13" ht="30" x14ac:dyDescent="0.25">
      <c r="A63" s="8">
        <v>1</v>
      </c>
      <c r="B63" s="8">
        <v>53</v>
      </c>
      <c r="C63" s="5" t="s">
        <v>17</v>
      </c>
      <c r="D63" s="5" t="s">
        <v>85</v>
      </c>
      <c r="E63" s="5" t="s">
        <v>235</v>
      </c>
      <c r="F63" s="8" t="s">
        <v>40</v>
      </c>
      <c r="G63" s="6">
        <v>30</v>
      </c>
      <c r="H63" s="6">
        <v>1200</v>
      </c>
      <c r="I63" s="6">
        <f t="shared" si="1"/>
        <v>36000</v>
      </c>
      <c r="J63" s="5" t="s">
        <v>21</v>
      </c>
      <c r="K63" s="5" t="s">
        <v>72</v>
      </c>
      <c r="L63" s="5" t="s">
        <v>23</v>
      </c>
      <c r="M63" s="5" t="s">
        <v>236</v>
      </c>
    </row>
    <row r="64" spans="1:13" ht="30" x14ac:dyDescent="0.25">
      <c r="A64" s="8">
        <v>1</v>
      </c>
      <c r="B64" s="8">
        <v>54</v>
      </c>
      <c r="C64" s="5" t="s">
        <v>17</v>
      </c>
      <c r="D64" s="5" t="s">
        <v>86</v>
      </c>
      <c r="E64" s="5" t="s">
        <v>237</v>
      </c>
      <c r="F64" s="8" t="s">
        <v>40</v>
      </c>
      <c r="G64" s="6">
        <v>30</v>
      </c>
      <c r="H64" s="6">
        <v>900</v>
      </c>
      <c r="I64" s="6">
        <f t="shared" si="1"/>
        <v>27000</v>
      </c>
      <c r="J64" s="5" t="s">
        <v>21</v>
      </c>
      <c r="K64" s="5" t="s">
        <v>72</v>
      </c>
      <c r="L64" s="5" t="s">
        <v>23</v>
      </c>
      <c r="M64" s="5" t="s">
        <v>236</v>
      </c>
    </row>
    <row r="65" spans="1:13" ht="45" x14ac:dyDescent="0.25">
      <c r="A65" s="8">
        <v>1</v>
      </c>
      <c r="B65" s="8">
        <v>55</v>
      </c>
      <c r="C65" s="5" t="s">
        <v>17</v>
      </c>
      <c r="D65" s="5" t="s">
        <v>87</v>
      </c>
      <c r="E65" s="5" t="s">
        <v>238</v>
      </c>
      <c r="F65" s="8" t="s">
        <v>40</v>
      </c>
      <c r="G65" s="6">
        <v>15</v>
      </c>
      <c r="H65" s="6">
        <v>1500</v>
      </c>
      <c r="I65" s="6">
        <f t="shared" si="1"/>
        <v>22500</v>
      </c>
      <c r="J65" s="5" t="s">
        <v>21</v>
      </c>
      <c r="K65" s="5" t="s">
        <v>22</v>
      </c>
      <c r="L65" s="5" t="s">
        <v>23</v>
      </c>
      <c r="M65" s="5" t="s">
        <v>236</v>
      </c>
    </row>
    <row r="66" spans="1:13" ht="30" x14ac:dyDescent="0.25">
      <c r="A66" s="8">
        <v>1</v>
      </c>
      <c r="B66" s="8">
        <v>56</v>
      </c>
      <c r="C66" s="5" t="s">
        <v>17</v>
      </c>
      <c r="D66" s="5" t="s">
        <v>88</v>
      </c>
      <c r="E66" s="5" t="s">
        <v>285</v>
      </c>
      <c r="F66" s="8" t="s">
        <v>40</v>
      </c>
      <c r="G66" s="6">
        <v>1</v>
      </c>
      <c r="H66" s="6">
        <v>8000</v>
      </c>
      <c r="I66" s="6">
        <f t="shared" si="1"/>
        <v>8000</v>
      </c>
      <c r="J66" s="5" t="s">
        <v>21</v>
      </c>
      <c r="K66" s="5" t="s">
        <v>22</v>
      </c>
      <c r="L66" s="5" t="s">
        <v>23</v>
      </c>
      <c r="M66" s="5" t="s">
        <v>236</v>
      </c>
    </row>
    <row r="67" spans="1:13" ht="30" x14ac:dyDescent="0.25">
      <c r="A67" s="8">
        <v>1</v>
      </c>
      <c r="B67" s="8">
        <v>57</v>
      </c>
      <c r="C67" s="5" t="s">
        <v>17</v>
      </c>
      <c r="D67" s="5" t="s">
        <v>89</v>
      </c>
      <c r="E67" s="5" t="s">
        <v>239</v>
      </c>
      <c r="F67" s="8" t="s">
        <v>40</v>
      </c>
      <c r="G67" s="6">
        <v>1</v>
      </c>
      <c r="H67" s="6">
        <v>10000</v>
      </c>
      <c r="I67" s="6">
        <f t="shared" si="1"/>
        <v>10000</v>
      </c>
      <c r="J67" s="5" t="s">
        <v>21</v>
      </c>
      <c r="K67" s="5" t="s">
        <v>22</v>
      </c>
      <c r="L67" s="5" t="s">
        <v>23</v>
      </c>
      <c r="M67" s="5" t="s">
        <v>236</v>
      </c>
    </row>
    <row r="68" spans="1:13" ht="30" x14ac:dyDescent="0.25">
      <c r="A68" s="8">
        <v>2</v>
      </c>
      <c r="B68" s="8">
        <v>58</v>
      </c>
      <c r="C68" s="5" t="s">
        <v>17</v>
      </c>
      <c r="D68" s="5" t="s">
        <v>90</v>
      </c>
      <c r="E68" s="5" t="s">
        <v>240</v>
      </c>
      <c r="F68" s="8" t="s">
        <v>40</v>
      </c>
      <c r="G68" s="6">
        <v>1</v>
      </c>
      <c r="H68" s="6">
        <v>6000</v>
      </c>
      <c r="I68" s="6">
        <f t="shared" si="1"/>
        <v>6000</v>
      </c>
      <c r="J68" s="5" t="s">
        <v>21</v>
      </c>
      <c r="K68" s="5" t="s">
        <v>22</v>
      </c>
      <c r="L68" s="5" t="s">
        <v>23</v>
      </c>
      <c r="M68" s="5" t="s">
        <v>236</v>
      </c>
    </row>
    <row r="69" spans="1:13" ht="30" x14ac:dyDescent="0.25">
      <c r="A69" s="8">
        <v>1</v>
      </c>
      <c r="B69" s="8">
        <v>59</v>
      </c>
      <c r="C69" s="5" t="s">
        <v>17</v>
      </c>
      <c r="D69" s="5" t="s">
        <v>91</v>
      </c>
      <c r="E69" s="5" t="s">
        <v>92</v>
      </c>
      <c r="F69" s="8" t="s">
        <v>40</v>
      </c>
      <c r="G69" s="6">
        <v>2</v>
      </c>
      <c r="H69" s="6">
        <v>12000</v>
      </c>
      <c r="I69" s="6">
        <f t="shared" si="1"/>
        <v>24000</v>
      </c>
      <c r="J69" s="5" t="s">
        <v>21</v>
      </c>
      <c r="K69" s="5" t="s">
        <v>22</v>
      </c>
      <c r="L69" s="5" t="s">
        <v>23</v>
      </c>
      <c r="M69" s="5" t="s">
        <v>236</v>
      </c>
    </row>
    <row r="70" spans="1:13" ht="30" x14ac:dyDescent="0.25">
      <c r="A70" s="8">
        <v>2</v>
      </c>
      <c r="B70" s="8">
        <v>60</v>
      </c>
      <c r="C70" s="5" t="s">
        <v>17</v>
      </c>
      <c r="D70" s="5" t="s">
        <v>93</v>
      </c>
      <c r="E70" s="5" t="s">
        <v>241</v>
      </c>
      <c r="F70" s="8" t="s">
        <v>40</v>
      </c>
      <c r="G70" s="6">
        <v>1</v>
      </c>
      <c r="H70" s="6">
        <v>8000</v>
      </c>
      <c r="I70" s="6">
        <f t="shared" si="1"/>
        <v>8000</v>
      </c>
      <c r="J70" s="5" t="s">
        <v>21</v>
      </c>
      <c r="K70" s="5" t="s">
        <v>22</v>
      </c>
      <c r="L70" s="5" t="s">
        <v>23</v>
      </c>
      <c r="M70" s="5" t="s">
        <v>236</v>
      </c>
    </row>
    <row r="71" spans="1:13" ht="30" x14ac:dyDescent="0.25">
      <c r="A71" s="8">
        <v>2</v>
      </c>
      <c r="B71" s="8">
        <v>61</v>
      </c>
      <c r="C71" s="5" t="s">
        <v>94</v>
      </c>
      <c r="D71" s="5" t="s">
        <v>242</v>
      </c>
      <c r="E71" s="5" t="s">
        <v>243</v>
      </c>
      <c r="F71" s="8" t="s">
        <v>40</v>
      </c>
      <c r="G71" s="6">
        <v>3</v>
      </c>
      <c r="H71" s="6">
        <v>116000</v>
      </c>
      <c r="I71" s="6">
        <f t="shared" si="1"/>
        <v>348000</v>
      </c>
      <c r="J71" s="5" t="s">
        <v>21</v>
      </c>
      <c r="K71" s="5" t="s">
        <v>72</v>
      </c>
      <c r="L71" s="5" t="s">
        <v>23</v>
      </c>
      <c r="M71" s="5" t="s">
        <v>74</v>
      </c>
    </row>
    <row r="72" spans="1:13" ht="45" x14ac:dyDescent="0.25">
      <c r="A72" s="8">
        <v>1</v>
      </c>
      <c r="B72" s="8">
        <v>62</v>
      </c>
      <c r="C72" s="5" t="s">
        <v>65</v>
      </c>
      <c r="D72" s="5" t="s">
        <v>95</v>
      </c>
      <c r="E72" s="5" t="s">
        <v>244</v>
      </c>
      <c r="F72" s="8" t="s">
        <v>68</v>
      </c>
      <c r="G72" s="6">
        <v>42</v>
      </c>
      <c r="H72" s="6">
        <v>8120</v>
      </c>
      <c r="I72" s="6">
        <f t="shared" si="1"/>
        <v>341040</v>
      </c>
      <c r="J72" s="5" t="s">
        <v>21</v>
      </c>
      <c r="K72" s="5" t="s">
        <v>72</v>
      </c>
      <c r="L72" s="5" t="s">
        <v>23</v>
      </c>
      <c r="M72" s="5" t="s">
        <v>184</v>
      </c>
    </row>
    <row r="73" spans="1:13" ht="30" x14ac:dyDescent="0.25">
      <c r="A73" s="8">
        <v>2</v>
      </c>
      <c r="B73" s="8">
        <v>63</v>
      </c>
      <c r="C73" s="5" t="s">
        <v>65</v>
      </c>
      <c r="D73" s="5" t="s">
        <v>96</v>
      </c>
      <c r="E73" s="5" t="s">
        <v>286</v>
      </c>
      <c r="F73" s="8" t="s">
        <v>68</v>
      </c>
      <c r="G73" s="6">
        <v>9</v>
      </c>
      <c r="H73" s="6">
        <v>8700</v>
      </c>
      <c r="I73" s="6">
        <f t="shared" si="1"/>
        <v>78300</v>
      </c>
      <c r="J73" s="5" t="s">
        <v>21</v>
      </c>
      <c r="K73" s="5" t="s">
        <v>72</v>
      </c>
      <c r="L73" s="5" t="s">
        <v>23</v>
      </c>
      <c r="M73" s="5" t="s">
        <v>184</v>
      </c>
    </row>
    <row r="74" spans="1:13" ht="30" x14ac:dyDescent="0.25">
      <c r="A74" s="8">
        <v>2</v>
      </c>
      <c r="B74" s="8">
        <v>64</v>
      </c>
      <c r="C74" s="5" t="s">
        <v>65</v>
      </c>
      <c r="D74" s="5" t="s">
        <v>97</v>
      </c>
      <c r="E74" s="5" t="s">
        <v>287</v>
      </c>
      <c r="F74" s="8" t="s">
        <v>68</v>
      </c>
      <c r="G74" s="6">
        <v>6</v>
      </c>
      <c r="H74" s="6">
        <v>34800</v>
      </c>
      <c r="I74" s="6">
        <f t="shared" si="1"/>
        <v>208800</v>
      </c>
      <c r="J74" s="5" t="s">
        <v>21</v>
      </c>
      <c r="K74" s="5" t="s">
        <v>72</v>
      </c>
      <c r="L74" s="5" t="s">
        <v>23</v>
      </c>
      <c r="M74" s="5" t="s">
        <v>184</v>
      </c>
    </row>
    <row r="75" spans="1:13" ht="30" x14ac:dyDescent="0.25">
      <c r="A75" s="8">
        <v>2</v>
      </c>
      <c r="B75" s="8">
        <v>65</v>
      </c>
      <c r="C75" s="5" t="s">
        <v>65</v>
      </c>
      <c r="D75" s="5" t="s">
        <v>98</v>
      </c>
      <c r="E75" s="5" t="s">
        <v>299</v>
      </c>
      <c r="F75" s="8" t="s">
        <v>68</v>
      </c>
      <c r="G75" s="6">
        <v>6</v>
      </c>
      <c r="H75" s="6">
        <v>9280</v>
      </c>
      <c r="I75" s="6">
        <f t="shared" ref="I75:I106" si="2">ROUND(G75*H75,0)</f>
        <v>55680</v>
      </c>
      <c r="J75" s="5" t="s">
        <v>21</v>
      </c>
      <c r="K75" s="5" t="s">
        <v>72</v>
      </c>
      <c r="L75" s="5" t="s">
        <v>23</v>
      </c>
      <c r="M75" s="5" t="s">
        <v>184</v>
      </c>
    </row>
    <row r="76" spans="1:13" ht="30" x14ac:dyDescent="0.25">
      <c r="A76" s="8">
        <v>1</v>
      </c>
      <c r="B76" s="8">
        <v>66</v>
      </c>
      <c r="C76" s="5" t="s">
        <v>65</v>
      </c>
      <c r="D76" s="25" t="s">
        <v>185</v>
      </c>
      <c r="E76" s="25" t="s">
        <v>300</v>
      </c>
      <c r="F76" s="8" t="s">
        <v>20</v>
      </c>
      <c r="G76" s="6">
        <v>1</v>
      </c>
      <c r="H76" s="6">
        <v>2731613</v>
      </c>
      <c r="I76" s="6">
        <f t="shared" si="2"/>
        <v>2731613</v>
      </c>
      <c r="J76" s="5" t="s">
        <v>21</v>
      </c>
      <c r="K76" s="5" t="s">
        <v>72</v>
      </c>
      <c r="L76" s="5" t="s">
        <v>23</v>
      </c>
      <c r="M76" s="5" t="s">
        <v>186</v>
      </c>
    </row>
    <row r="77" spans="1:13" ht="45" x14ac:dyDescent="0.25">
      <c r="A77" s="8">
        <v>1</v>
      </c>
      <c r="B77" s="8">
        <v>67</v>
      </c>
      <c r="C77" s="5" t="s">
        <v>65</v>
      </c>
      <c r="D77" s="25" t="s">
        <v>301</v>
      </c>
      <c r="E77" s="25" t="s">
        <v>288</v>
      </c>
      <c r="F77" s="8" t="s">
        <v>20</v>
      </c>
      <c r="G77" s="6">
        <v>1</v>
      </c>
      <c r="H77" s="6">
        <v>1912129</v>
      </c>
      <c r="I77" s="6">
        <f t="shared" si="2"/>
        <v>1912129</v>
      </c>
      <c r="J77" s="5" t="s">
        <v>21</v>
      </c>
      <c r="K77" s="5" t="s">
        <v>72</v>
      </c>
      <c r="L77" s="5" t="s">
        <v>23</v>
      </c>
      <c r="M77" s="5" t="s">
        <v>186</v>
      </c>
    </row>
    <row r="78" spans="1:13" ht="45" x14ac:dyDescent="0.25">
      <c r="A78" s="8">
        <v>1</v>
      </c>
      <c r="B78" s="8">
        <v>68</v>
      </c>
      <c r="C78" s="5" t="s">
        <v>65</v>
      </c>
      <c r="D78" s="24" t="s">
        <v>187</v>
      </c>
      <c r="E78" s="5" t="s">
        <v>289</v>
      </c>
      <c r="F78" s="8" t="s">
        <v>20</v>
      </c>
      <c r="G78" s="6">
        <v>1</v>
      </c>
      <c r="H78" s="6">
        <v>2731613</v>
      </c>
      <c r="I78" s="6">
        <f t="shared" si="2"/>
        <v>2731613</v>
      </c>
      <c r="J78" s="5" t="s">
        <v>21</v>
      </c>
      <c r="K78" s="5" t="s">
        <v>72</v>
      </c>
      <c r="L78" s="5" t="s">
        <v>23</v>
      </c>
      <c r="M78" s="5" t="s">
        <v>186</v>
      </c>
    </row>
    <row r="79" spans="1:13" ht="30" x14ac:dyDescent="0.25">
      <c r="A79" s="8">
        <v>1</v>
      </c>
      <c r="B79" s="8">
        <v>69</v>
      </c>
      <c r="C79" s="5" t="s">
        <v>65</v>
      </c>
      <c r="D79" s="24" t="s">
        <v>188</v>
      </c>
      <c r="E79" s="5" t="s">
        <v>245</v>
      </c>
      <c r="F79" s="8" t="s">
        <v>20</v>
      </c>
      <c r="G79" s="6">
        <v>1</v>
      </c>
      <c r="H79" s="6">
        <v>2320000</v>
      </c>
      <c r="I79" s="6">
        <f t="shared" si="2"/>
        <v>2320000</v>
      </c>
      <c r="J79" s="5" t="s">
        <v>21</v>
      </c>
      <c r="K79" s="5" t="s">
        <v>41</v>
      </c>
      <c r="L79" s="5" t="s">
        <v>23</v>
      </c>
      <c r="M79" s="5" t="s">
        <v>186</v>
      </c>
    </row>
    <row r="80" spans="1:13" ht="30" x14ac:dyDescent="0.25">
      <c r="A80" s="8">
        <v>2</v>
      </c>
      <c r="B80" s="8">
        <v>70</v>
      </c>
      <c r="C80" s="5" t="s">
        <v>65</v>
      </c>
      <c r="D80" s="24" t="s">
        <v>189</v>
      </c>
      <c r="E80" s="5" t="s">
        <v>246</v>
      </c>
      <c r="F80" s="8" t="s">
        <v>20</v>
      </c>
      <c r="G80" s="6">
        <v>1</v>
      </c>
      <c r="H80" s="6">
        <v>1624000</v>
      </c>
      <c r="I80" s="6">
        <f t="shared" si="2"/>
        <v>1624000</v>
      </c>
      <c r="J80" s="5" t="s">
        <v>21</v>
      </c>
      <c r="K80" s="5" t="s">
        <v>41</v>
      </c>
      <c r="L80" s="5" t="s">
        <v>23</v>
      </c>
      <c r="M80" s="5" t="s">
        <v>186</v>
      </c>
    </row>
    <row r="81" spans="1:13" ht="30" x14ac:dyDescent="0.25">
      <c r="A81" s="8">
        <v>2</v>
      </c>
      <c r="B81" s="8">
        <v>71</v>
      </c>
      <c r="C81" s="5" t="s">
        <v>65</v>
      </c>
      <c r="D81" s="24" t="s">
        <v>190</v>
      </c>
      <c r="E81" s="5" t="s">
        <v>247</v>
      </c>
      <c r="F81" s="8" t="s">
        <v>20</v>
      </c>
      <c r="G81" s="6">
        <v>1</v>
      </c>
      <c r="H81" s="6">
        <v>1624000</v>
      </c>
      <c r="I81" s="6">
        <f t="shared" si="2"/>
        <v>1624000</v>
      </c>
      <c r="J81" s="5" t="s">
        <v>21</v>
      </c>
      <c r="K81" s="5" t="s">
        <v>41</v>
      </c>
      <c r="L81" s="5" t="s">
        <v>23</v>
      </c>
      <c r="M81" s="5" t="s">
        <v>186</v>
      </c>
    </row>
    <row r="82" spans="1:13" ht="30" x14ac:dyDescent="0.25">
      <c r="A82" s="8">
        <v>2</v>
      </c>
      <c r="B82" s="8">
        <v>72</v>
      </c>
      <c r="C82" s="5" t="s">
        <v>65</v>
      </c>
      <c r="D82" s="24" t="s">
        <v>191</v>
      </c>
      <c r="E82" s="5" t="s">
        <v>248</v>
      </c>
      <c r="F82" s="8" t="s">
        <v>20</v>
      </c>
      <c r="G82" s="6">
        <v>1</v>
      </c>
      <c r="H82" s="6">
        <v>1624000</v>
      </c>
      <c r="I82" s="6">
        <f t="shared" si="2"/>
        <v>1624000</v>
      </c>
      <c r="J82" s="5" t="s">
        <v>21</v>
      </c>
      <c r="K82" s="5" t="s">
        <v>41</v>
      </c>
      <c r="L82" s="5" t="s">
        <v>23</v>
      </c>
      <c r="M82" s="5" t="s">
        <v>186</v>
      </c>
    </row>
    <row r="83" spans="1:13" ht="30" x14ac:dyDescent="0.25">
      <c r="A83" s="8">
        <v>2</v>
      </c>
      <c r="B83" s="8">
        <v>73</v>
      </c>
      <c r="C83" s="5" t="s">
        <v>65</v>
      </c>
      <c r="D83" s="26" t="s">
        <v>99</v>
      </c>
      <c r="E83" s="5" t="s">
        <v>100</v>
      </c>
      <c r="F83" s="8" t="s">
        <v>20</v>
      </c>
      <c r="G83" s="6">
        <v>1</v>
      </c>
      <c r="H83" s="6">
        <v>2320000</v>
      </c>
      <c r="I83" s="6">
        <f t="shared" si="2"/>
        <v>2320000</v>
      </c>
      <c r="J83" s="5" t="s">
        <v>21</v>
      </c>
      <c r="K83" s="5" t="s">
        <v>41</v>
      </c>
      <c r="L83" s="5" t="s">
        <v>23</v>
      </c>
      <c r="M83" s="5" t="s">
        <v>105</v>
      </c>
    </row>
    <row r="84" spans="1:13" ht="30" x14ac:dyDescent="0.25">
      <c r="A84" s="8">
        <v>2</v>
      </c>
      <c r="B84" s="8">
        <v>74</v>
      </c>
      <c r="C84" s="5" t="s">
        <v>65</v>
      </c>
      <c r="D84" s="26" t="s">
        <v>101</v>
      </c>
      <c r="E84" s="5" t="s">
        <v>102</v>
      </c>
      <c r="F84" s="8" t="s">
        <v>20</v>
      </c>
      <c r="G84" s="6">
        <v>1</v>
      </c>
      <c r="H84" s="6">
        <v>522000</v>
      </c>
      <c r="I84" s="6">
        <f t="shared" si="2"/>
        <v>522000</v>
      </c>
      <c r="J84" s="5" t="s">
        <v>33</v>
      </c>
      <c r="K84" s="5" t="s">
        <v>41</v>
      </c>
      <c r="L84" s="5" t="s">
        <v>23</v>
      </c>
      <c r="M84" s="5" t="s">
        <v>249</v>
      </c>
    </row>
    <row r="85" spans="1:13" ht="30" x14ac:dyDescent="0.25">
      <c r="A85" s="8">
        <v>3</v>
      </c>
      <c r="B85" s="8">
        <v>75</v>
      </c>
      <c r="C85" s="5" t="s">
        <v>65</v>
      </c>
      <c r="D85" s="26" t="s">
        <v>103</v>
      </c>
      <c r="E85" s="5" t="s">
        <v>104</v>
      </c>
      <c r="F85" s="8" t="s">
        <v>68</v>
      </c>
      <c r="G85" s="6">
        <v>3</v>
      </c>
      <c r="H85" s="6">
        <v>29000</v>
      </c>
      <c r="I85" s="6">
        <f t="shared" si="2"/>
        <v>87000</v>
      </c>
      <c r="J85" s="5" t="s">
        <v>21</v>
      </c>
      <c r="K85" s="5" t="s">
        <v>72</v>
      </c>
      <c r="L85" s="5" t="s">
        <v>23</v>
      </c>
      <c r="M85" s="5" t="s">
        <v>105</v>
      </c>
    </row>
    <row r="86" spans="1:13" ht="30" x14ac:dyDescent="0.25">
      <c r="A86" s="8">
        <v>2</v>
      </c>
      <c r="B86" s="8">
        <v>76</v>
      </c>
      <c r="C86" s="5" t="s">
        <v>65</v>
      </c>
      <c r="D86" s="26" t="s">
        <v>250</v>
      </c>
      <c r="E86" s="5" t="s">
        <v>251</v>
      </c>
      <c r="F86" s="8" t="s">
        <v>20</v>
      </c>
      <c r="G86" s="6">
        <v>1</v>
      </c>
      <c r="H86" s="6">
        <v>58000</v>
      </c>
      <c r="I86" s="6">
        <f t="shared" si="2"/>
        <v>58000</v>
      </c>
      <c r="J86" s="5" t="s">
        <v>21</v>
      </c>
      <c r="K86" s="5" t="s">
        <v>72</v>
      </c>
      <c r="L86" s="5" t="s">
        <v>23</v>
      </c>
      <c r="M86" s="5" t="s">
        <v>106</v>
      </c>
    </row>
    <row r="87" spans="1:13" ht="30" x14ac:dyDescent="0.25">
      <c r="A87" s="8">
        <v>2</v>
      </c>
      <c r="B87" s="8">
        <v>77</v>
      </c>
      <c r="C87" s="5" t="s">
        <v>65</v>
      </c>
      <c r="D87" s="5" t="s">
        <v>107</v>
      </c>
      <c r="E87" s="5" t="s">
        <v>252</v>
      </c>
      <c r="F87" s="8" t="s">
        <v>20</v>
      </c>
      <c r="G87" s="6">
        <v>1</v>
      </c>
      <c r="H87" s="6">
        <v>25000</v>
      </c>
      <c r="I87" s="6">
        <f t="shared" si="2"/>
        <v>25000</v>
      </c>
      <c r="J87" s="5" t="s">
        <v>33</v>
      </c>
      <c r="K87" s="5" t="s">
        <v>41</v>
      </c>
      <c r="L87" s="5" t="s">
        <v>23</v>
      </c>
      <c r="M87" s="5" t="s">
        <v>192</v>
      </c>
    </row>
    <row r="88" spans="1:13" ht="45" x14ac:dyDescent="0.25">
      <c r="A88" s="8">
        <v>1</v>
      </c>
      <c r="B88" s="8">
        <v>78</v>
      </c>
      <c r="C88" s="5" t="s">
        <v>65</v>
      </c>
      <c r="D88" s="5" t="s">
        <v>108</v>
      </c>
      <c r="E88" s="5" t="s">
        <v>253</v>
      </c>
      <c r="F88" s="8" t="s">
        <v>20</v>
      </c>
      <c r="G88" s="6">
        <v>1</v>
      </c>
      <c r="H88" s="6">
        <v>500000</v>
      </c>
      <c r="I88" s="6">
        <f t="shared" si="2"/>
        <v>500000</v>
      </c>
      <c r="J88" s="5" t="s">
        <v>21</v>
      </c>
      <c r="K88" s="5" t="s">
        <v>72</v>
      </c>
      <c r="L88" s="5" t="s">
        <v>23</v>
      </c>
      <c r="M88" s="5" t="s">
        <v>254</v>
      </c>
    </row>
    <row r="89" spans="1:13" ht="45" x14ac:dyDescent="0.25">
      <c r="A89" s="8">
        <v>1</v>
      </c>
      <c r="B89" s="8">
        <v>79</v>
      </c>
      <c r="C89" s="5" t="s">
        <v>255</v>
      </c>
      <c r="D89" s="26" t="s">
        <v>256</v>
      </c>
      <c r="E89" s="5" t="s">
        <v>257</v>
      </c>
      <c r="F89" s="8" t="s">
        <v>258</v>
      </c>
      <c r="G89" s="6">
        <v>1</v>
      </c>
      <c r="H89" s="6">
        <v>87404855</v>
      </c>
      <c r="I89" s="6">
        <f t="shared" si="2"/>
        <v>87404855</v>
      </c>
      <c r="J89" s="5" t="s">
        <v>22</v>
      </c>
      <c r="K89" s="5" t="s">
        <v>72</v>
      </c>
      <c r="L89" s="5" t="s">
        <v>23</v>
      </c>
      <c r="M89" s="5" t="s">
        <v>259</v>
      </c>
    </row>
    <row r="90" spans="1:13" ht="45" x14ac:dyDescent="0.25">
      <c r="A90" s="8">
        <v>1</v>
      </c>
      <c r="B90" s="8">
        <v>80</v>
      </c>
      <c r="C90" s="5" t="s">
        <v>65</v>
      </c>
      <c r="D90" s="5" t="s">
        <v>109</v>
      </c>
      <c r="E90" s="5" t="s">
        <v>260</v>
      </c>
      <c r="F90" s="8" t="s">
        <v>110</v>
      </c>
      <c r="G90" s="6">
        <v>1</v>
      </c>
      <c r="H90" s="6">
        <v>2141129</v>
      </c>
      <c r="I90" s="6">
        <f t="shared" si="2"/>
        <v>2141129</v>
      </c>
      <c r="J90" s="5" t="s">
        <v>21</v>
      </c>
      <c r="K90" s="5" t="s">
        <v>72</v>
      </c>
      <c r="L90" s="5" t="s">
        <v>111</v>
      </c>
      <c r="M90" s="5" t="s">
        <v>193</v>
      </c>
    </row>
    <row r="91" spans="1:13" x14ac:dyDescent="0.25">
      <c r="A91" s="9"/>
      <c r="B91" s="9"/>
      <c r="C91" s="4"/>
      <c r="D91" s="4" t="s">
        <v>112</v>
      </c>
      <c r="E91" s="4"/>
      <c r="F91" s="9"/>
      <c r="G91" s="7"/>
      <c r="H91" s="7"/>
      <c r="I91" s="7">
        <f>SUM(I11:I90)</f>
        <v>156179222</v>
      </c>
      <c r="J91" s="4"/>
      <c r="K91" s="4"/>
      <c r="L91" s="4"/>
      <c r="M91" s="4"/>
    </row>
  </sheetData>
  <mergeCells count="3">
    <mergeCell ref="A4:M4"/>
    <mergeCell ref="A6:M6"/>
    <mergeCell ref="A8:M8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 x14ac:dyDescent="0.25"/>
  <cols>
    <col min="1" max="1" width="28.7109375" customWidth="1"/>
    <col min="2" max="2" width="66.7109375" customWidth="1"/>
    <col min="3" max="3" width="12.7109375" customWidth="1"/>
    <col min="4" max="4" width="14.7109375" customWidth="1"/>
    <col min="5" max="5" width="70.7109375" customWidth="1"/>
  </cols>
  <sheetData>
    <row r="1" spans="1:5" ht="17.25" x14ac:dyDescent="0.3">
      <c r="A1" s="1" t="s">
        <v>290</v>
      </c>
    </row>
    <row r="2" spans="1:5" x14ac:dyDescent="0.25">
      <c r="A2" t="s">
        <v>291</v>
      </c>
    </row>
    <row r="4" spans="1:5" x14ac:dyDescent="0.25">
      <c r="A4" s="10" t="s">
        <v>117</v>
      </c>
      <c r="B4" s="10" t="s">
        <v>118</v>
      </c>
      <c r="C4" s="10" t="s">
        <v>119</v>
      </c>
      <c r="D4" s="10" t="s">
        <v>120</v>
      </c>
      <c r="E4" s="10" t="s">
        <v>121</v>
      </c>
    </row>
    <row r="5" spans="1:5" ht="30" x14ac:dyDescent="0.25">
      <c r="A5" s="11" t="s">
        <v>122</v>
      </c>
      <c r="B5" s="11" t="s">
        <v>123</v>
      </c>
      <c r="C5" s="12">
        <v>2450</v>
      </c>
      <c r="D5" s="11" t="s">
        <v>124</v>
      </c>
      <c r="E5" s="11" t="s">
        <v>125</v>
      </c>
    </row>
    <row r="6" spans="1:5" ht="30" x14ac:dyDescent="0.25">
      <c r="A6" s="11" t="s">
        <v>126</v>
      </c>
      <c r="B6" s="11" t="s">
        <v>127</v>
      </c>
      <c r="C6" s="12">
        <v>2150</v>
      </c>
      <c r="D6" s="11" t="s">
        <v>124</v>
      </c>
      <c r="E6" s="11" t="s">
        <v>128</v>
      </c>
    </row>
    <row r="7" spans="1:5" ht="30" x14ac:dyDescent="0.25">
      <c r="A7" s="11" t="s">
        <v>129</v>
      </c>
      <c r="B7" s="11" t="s">
        <v>130</v>
      </c>
      <c r="C7" s="12">
        <v>5990</v>
      </c>
      <c r="D7" s="11" t="s">
        <v>124</v>
      </c>
      <c r="E7" s="11" t="s">
        <v>131</v>
      </c>
    </row>
    <row r="8" spans="1:5" ht="30" x14ac:dyDescent="0.25">
      <c r="A8" s="11" t="s">
        <v>132</v>
      </c>
      <c r="B8" s="11" t="s">
        <v>292</v>
      </c>
      <c r="C8" s="12">
        <v>2155</v>
      </c>
      <c r="D8" s="11" t="s">
        <v>133</v>
      </c>
      <c r="E8" s="11" t="s">
        <v>134</v>
      </c>
    </row>
    <row r="9" spans="1:5" ht="30" x14ac:dyDescent="0.25">
      <c r="A9" s="11" t="s">
        <v>135</v>
      </c>
      <c r="B9" s="11" t="s">
        <v>293</v>
      </c>
      <c r="C9" s="12">
        <v>35</v>
      </c>
      <c r="D9" s="11" t="s">
        <v>136</v>
      </c>
      <c r="E9" s="11" t="s">
        <v>137</v>
      </c>
    </row>
    <row r="10" spans="1:5" ht="30" x14ac:dyDescent="0.25">
      <c r="A10" s="11" t="s">
        <v>138</v>
      </c>
      <c r="B10" s="11" t="s">
        <v>139</v>
      </c>
      <c r="C10" s="12">
        <v>190</v>
      </c>
      <c r="D10" s="11" t="s">
        <v>133</v>
      </c>
      <c r="E10" s="11" t="s">
        <v>140</v>
      </c>
    </row>
    <row r="11" spans="1:5" x14ac:dyDescent="0.25">
      <c r="A11" s="11" t="s">
        <v>141</v>
      </c>
      <c r="B11" s="11" t="s">
        <v>142</v>
      </c>
      <c r="C11" s="12">
        <v>1019</v>
      </c>
      <c r="D11" s="11" t="s">
        <v>136</v>
      </c>
      <c r="E11" s="11" t="s">
        <v>143</v>
      </c>
    </row>
    <row r="12" spans="1:5" x14ac:dyDescent="0.25">
      <c r="A12" s="11" t="s">
        <v>144</v>
      </c>
      <c r="B12" s="11" t="s">
        <v>145</v>
      </c>
      <c r="C12" s="12">
        <v>14</v>
      </c>
      <c r="D12" s="11" t="s">
        <v>136</v>
      </c>
      <c r="E12" s="11" t="s">
        <v>146</v>
      </c>
    </row>
    <row r="13" spans="1:5" ht="30" x14ac:dyDescent="0.25">
      <c r="A13" s="11" t="s">
        <v>147</v>
      </c>
      <c r="B13" s="11" t="s">
        <v>294</v>
      </c>
      <c r="C13" s="12">
        <v>680</v>
      </c>
      <c r="D13" s="11" t="s">
        <v>148</v>
      </c>
      <c r="E13" s="11" t="s">
        <v>149</v>
      </c>
    </row>
    <row r="14" spans="1:5" ht="30" x14ac:dyDescent="0.25">
      <c r="A14" s="11" t="s">
        <v>150</v>
      </c>
      <c r="B14" s="11" t="s">
        <v>295</v>
      </c>
      <c r="C14" s="12">
        <v>165</v>
      </c>
      <c r="D14" s="11" t="s">
        <v>151</v>
      </c>
      <c r="E14" s="11" t="s">
        <v>152</v>
      </c>
    </row>
    <row r="15" spans="1:5" ht="30" x14ac:dyDescent="0.25">
      <c r="A15" s="11" t="s">
        <v>153</v>
      </c>
      <c r="B15" s="11" t="s">
        <v>154</v>
      </c>
      <c r="C15" s="12">
        <v>560</v>
      </c>
      <c r="D15" s="11" t="s">
        <v>148</v>
      </c>
      <c r="E15" s="11" t="s">
        <v>155</v>
      </c>
    </row>
    <row r="16" spans="1:5" x14ac:dyDescent="0.25">
      <c r="A16" s="11" t="s">
        <v>156</v>
      </c>
      <c r="B16" s="11" t="s">
        <v>157</v>
      </c>
      <c r="C16" s="12">
        <v>661</v>
      </c>
      <c r="D16" s="11" t="s">
        <v>136</v>
      </c>
      <c r="E16" s="11" t="s">
        <v>158</v>
      </c>
    </row>
    <row r="17" spans="1:5" ht="30" x14ac:dyDescent="0.25">
      <c r="A17" s="11" t="s">
        <v>159</v>
      </c>
      <c r="B17" s="11" t="s">
        <v>296</v>
      </c>
      <c r="C17" s="12">
        <v>285</v>
      </c>
      <c r="D17" s="11" t="s">
        <v>151</v>
      </c>
      <c r="E17" s="11" t="s">
        <v>160</v>
      </c>
    </row>
    <row r="18" spans="1:5" ht="30" x14ac:dyDescent="0.25">
      <c r="A18" s="11" t="s">
        <v>161</v>
      </c>
      <c r="B18" s="11" t="s">
        <v>297</v>
      </c>
      <c r="C18" s="12">
        <v>3395</v>
      </c>
      <c r="D18" s="11" t="s">
        <v>162</v>
      </c>
      <c r="E18" s="1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</vt:lpstr>
      <vt:lpstr>IV кв. 2026</vt:lpstr>
      <vt:lpstr>Цены поставщика</vt:lpstr>
    </vt:vector>
  </TitlesOfParts>
  <Company>CACF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Temirbekov</dc:creator>
  <cp:lastModifiedBy>Temirbekov</cp:lastModifiedBy>
  <dcterms:created xsi:type="dcterms:W3CDTF">2026-09-17T13:36:34Z</dcterms:created>
  <dcterms:modified xsi:type="dcterms:W3CDTF">2026-10-19T05:41:10Z</dcterms:modified>
</cp:coreProperties>
</file>