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Закупки\1 Процедуры закупок\2 План закупок\"/>
    </mc:Choice>
  </mc:AlternateContent>
  <bookViews>
    <workbookView xWindow="0" yWindow="0" windowWidth="21570" windowHeight="10125"/>
  </bookViews>
  <sheets>
    <sheet name="IV кв. 2026" sheetId="1" r:id="rId1"/>
    <sheet name="Ссылки на примеры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</calcChain>
</file>

<file path=xl/sharedStrings.xml><?xml version="1.0" encoding="utf-8"?>
<sst xmlns="http://schemas.openxmlformats.org/spreadsheetml/2006/main" count="84" uniqueCount="76">
  <si>
    <t>Утвержден Решением Управляющего Совета</t>
  </si>
  <si>
    <t>ЧФ "Central Asia Climate Foundation"</t>
  </si>
  <si>
    <t>БИН: 240240900538</t>
  </si>
  <si>
    <t>Наименование организации (на казахском языке): "Central Asia Climate Foundation" Жеке Қор. Наименование организации (на русском языке): Частный Фонд "Central Asia Climate Foundation"</t>
  </si>
  <si>
    <t>Приоритетность</t>
  </si>
  <si>
    <t>№</t>
  </si>
  <si>
    <t>Вид предмета закупок</t>
  </si>
  <si>
    <t>Наименование закупаемых товаров, работ и услуг</t>
  </si>
  <si>
    <t>Характеристика (описание) товаров, работ и услуг</t>
  </si>
  <si>
    <t>Способ закупки</t>
  </si>
  <si>
    <t>Объём, кол-во единиц</t>
  </si>
  <si>
    <t>Стоимость единицы с НДС, тенге</t>
  </si>
  <si>
    <t>Сумма для закупки с НДС, тенге</t>
  </si>
  <si>
    <t>Планируемый срок осуществления закупок (месяц)</t>
  </si>
  <si>
    <t>Планируемый срок поставки товара, выполнения работ, оказания услуг</t>
  </si>
  <si>
    <t>Место поставки товара, выполнения работ, оказания услуг</t>
  </si>
  <si>
    <t>Примечание (раздел бюджета, источник цены)</t>
  </si>
  <si>
    <t>Товар</t>
  </si>
  <si>
    <t>ЗЦП</t>
  </si>
  <si>
    <t>октябрь–ноябрь 2026</t>
  </si>
  <si>
    <t>ноябрь 2026</t>
  </si>
  <si>
    <t>Электронный магазин / ЗЦП</t>
  </si>
  <si>
    <t>Цена, ₸</t>
  </si>
  <si>
    <t>Финансовый год: 2026 год (IV квартал – октябрь–декабрь)</t>
  </si>
  <si>
    <t>Протокол № ___ от «___» __________ 2026 года</t>
  </si>
  <si>
    <t>Дополнение № 1 в План закупок товаров, работ и неконсультационных услуг ЦАКФ на IV квартал 2026 года</t>
  </si>
  <si>
    <t>Проект от 19.10.2026. Дополнительные позиции к Плану закупок на IV квартал 2026 года (нумерация продолжает план – позиции 81–83). Цены – с НДС по сайтам поставщиков в Астане (ссылки – лист «Ссылки на примеры»); жалюзи – ориентировочно, площадь и цена уточняются после бесплатного замера.</t>
  </si>
  <si>
    <t>Стул офисный для посетителей</t>
  </si>
  <si>
    <t>Стул типа «Изо»: металлический каркас (черный или хром), мягкие сиденье и спинка, обивка – ткань или кожзаменитель черного цвета, без подлокотников, штабелируемый. Для переговорной, приёмной и посетителей.</t>
  </si>
  <si>
    <t>ЗЦП / Электронный магазин</t>
  </si>
  <si>
    <t>Астана, ул. Сыганак, 70, 7 этаж</t>
  </si>
  <si>
    <t>Оснащение; цена zeta.kz (Астана); альтернатива – хром/кожзам 24 820 ₸ (flipchart.kz)</t>
  </si>
  <si>
    <t>Товар (с установкой)</t>
  </si>
  <si>
    <t>Жалюзи вертикальные тканевые (зона 710)</t>
  </si>
  <si>
    <t>Вертикальные тканевые жалюзи на окна зоны 710 (кабинеты 3, 4, 6 и open space 5): алюминиевый карниз, ламели 89 мм, нейтральный цвет (серый/бежевый), управление цепочкой; замер, изготовление и монтаж – в цене. Объём – ориентировочно 50 м² (≈20 м остекления по фасаду × ≈2,5 м), уточняется замером.</t>
  </si>
  <si>
    <t>Оснащение; ед. – м²; ориентир 4 000–4 500 ₸/м² (basar-premium.kz, roll-dezign.kz) + запас на ткань и монтаж</t>
  </si>
  <si>
    <t>Декоративное растение напольное в высоком кашпо</t>
  </si>
  <si>
    <t>Искусственное декоративное дерево (пальма или аналог) высотой около 150 см в горшке и высокое напольное кашпо около 70 см (35×35×69 см). Для зоны 710: холл/ресепшн, переговорная, open space.</t>
  </si>
  <si>
    <t>Оснащение; kaspi.kz (Астана): дерево 25 974 ₸ + кашпо 4 727 ₸</t>
  </si>
  <si>
    <t>ИТОГО по Дополнению № 1</t>
  </si>
  <si>
    <t>Примеры товаров и цен для Дополнения № 1 (проверено 19.10.2026, Астана)</t>
  </si>
  <si>
    <t>Поз.</t>
  </si>
  <si>
    <t>Пример</t>
  </si>
  <si>
    <t>Ссылка</t>
  </si>
  <si>
    <t>Примечание</t>
  </si>
  <si>
    <t>Стул Изо черный каркас / гобелен 11К (черный), Zeta, Астана</t>
  </si>
  <si>
    <t>11 425</t>
  </si>
  <si>
    <t>https://astana.zeta.kz/catalog/mebel/stulya7/stulya_dlya_ofisa/stul_izo_chyernyy_karkas_gobelen_11k_chyernyy/</t>
  </si>
  <si>
    <t>взят в план; в наличии</t>
  </si>
  <si>
    <t>Изо стул, ткань мебельная ТК-1 (черный), каркас галв., Zeta, Астана</t>
  </si>
  <si>
    <t>https://astana.zeta.kz/catalog/mebel/stulya7/stulya_dlya_ofisa/izo_stul_tkan_mebelnaya_tk_1_chernyy_galv/</t>
  </si>
  <si>
    <t>аналог</t>
  </si>
  <si>
    <t>Стул Изо, каркас хром, кожзам черный, ТОО «Вектор-А», Астана</t>
  </si>
  <si>
    <t>24 820</t>
  </si>
  <si>
    <t>https://flipchart.kz/p35744160-stul-izo-karkas.html</t>
  </si>
  <si>
    <t>вариант подороже (хром, кожзам)</t>
  </si>
  <si>
    <t>Вертикальные жалюзи, basar-premium.kz (Астана)</t>
  </si>
  <si>
    <t>от 4 500 за м²</t>
  </si>
  <si>
    <t>https://basar-premium.kz/vertical</t>
  </si>
  <si>
    <t>бесплатный замер; тел. +7 701 250 53 83</t>
  </si>
  <si>
    <t>Вертикальные жалюзи, roll-dezign.kz (Астана)</t>
  </si>
  <si>
    <t>от 4 000 за м²</t>
  </si>
  <si>
    <t>https://roll-dezign.kz/zhaljuzi</t>
  </si>
  <si>
    <t>цена по сайту, уточнить КП</t>
  </si>
  <si>
    <t>Дерево искусственное, пальма 150 см, в горшке, Kaspi (Астана)</t>
  </si>
  <si>
    <t>25 974</t>
  </si>
  <si>
    <t>https://kaspi.kz/shop/p/derevo-pal-ma-150-sm-18017042-117580819-117779081/</t>
  </si>
  <si>
    <t>взято в план</t>
  </si>
  <si>
    <t>Кашпо напольное «Альтернатива Оазис» 43 л, 35×35×69 см, Kaspi (Астана)</t>
  </si>
  <si>
    <t>4 727</t>
  </si>
  <si>
    <t>https://kaspi.kz/shop/p/al-ternativa-kashpo-oazis-oazis-plastik-113972159/</t>
  </si>
  <si>
    <t>высокое кашпо, взято в план</t>
  </si>
  <si>
    <t>Оливковое дерево 150 см, в горшке, Kaspi</t>
  </si>
  <si>
    <t>47 838</t>
  </si>
  <si>
    <t>https://kaspi.kz/shop/p/olivkovoe-derevo-150-sm-606081471-116750757/</t>
  </si>
  <si>
    <t>вариант подороже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</si>
</sst>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1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 wrapText="1"/>
    </xf>
    <xf numFmtId="3" fontId="0" fillId="0" borderId="2" xfId="0" applyNumberFormat="1" applyBorder="1" applyAlignment="1">
      <alignment vertical="top" wrapText="1"/>
    </xf>
    <xf numFmtId="3" fontId="1" fillId="0" borderId="2" xfId="0" applyNumberFormat="1" applyFont="1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3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0" xfId="0" applyFont="1"/>
    <xf numFmtId="0" fontId="1" fillId="3" borderId="2" xfId="0" applyFont="1" applyFill="1" applyBorder="1"/>
    <xf numFmtId="0" fontId="5" fillId="0" borderId="2" xfId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kaspi.kz/shop/p/olivkovoe-derevo-150-sm-606081471-116750757/" TargetMode="External"/><Relationship Id="rId3" Type="http://schemas.openxmlformats.org/officeDocument/2006/relationships/hyperlink" Target="https://flipchart.kz/p35744160-stul-izo-karkas.html" TargetMode="External"/><Relationship Id="rId7" Type="http://schemas.openxmlformats.org/officeDocument/2006/relationships/hyperlink" Target="https://kaspi.kz/shop/p/al-ternativa-kashpo-oazis-oazis-plastik-113972159/" TargetMode="External"/><Relationship Id="rId2" Type="http://schemas.openxmlformats.org/officeDocument/2006/relationships/hyperlink" Target="https://astana.zeta.kz/catalog/mebel/stulya7/stulya_dlya_ofisa/izo_stul_tkan_mebelnaya_tk_1_chernyy_galv/" TargetMode="External"/><Relationship Id="rId1" Type="http://schemas.openxmlformats.org/officeDocument/2006/relationships/hyperlink" Target="https://astana.zeta.kz/catalog/mebel/stulya7/stulya_dlya_ofisa/stul_izo_chyernyy_karkas_gobelen_11k_chyernyy/" TargetMode="External"/><Relationship Id="rId6" Type="http://schemas.openxmlformats.org/officeDocument/2006/relationships/hyperlink" Target="https://kaspi.kz/shop/p/derevo-pal-ma-150-sm-18017042-117580819-117779081/" TargetMode="External"/><Relationship Id="rId5" Type="http://schemas.openxmlformats.org/officeDocument/2006/relationships/hyperlink" Target="https://roll-dezign.kz/zhaljuzi" TargetMode="External"/><Relationship Id="rId4" Type="http://schemas.openxmlformats.org/officeDocument/2006/relationships/hyperlink" Target="https://basar-premium.kz/vertical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"/>
  <sheetViews>
    <sheetView tabSelected="1" workbookViewId="0"/>
  </sheetViews>
  <sheetFormatPr defaultRowHeight="15" x14ac:dyDescent="0.25"/>
  <cols>
    <col min="1" max="1" width="9.7109375" customWidth="1"/>
    <col min="2" max="2" width="5.7109375" customWidth="1"/>
    <col min="3" max="3" width="12.7109375" customWidth="1"/>
    <col min="4" max="4" width="34.7109375" customWidth="1"/>
    <col min="5" max="5" width="58.7109375" customWidth="1"/>
    <col min="6" max="6" width="16.7109375" customWidth="1"/>
    <col min="7" max="7" width="9.7109375" customWidth="1"/>
    <col min="8" max="8" width="14.7109375" customWidth="1"/>
    <col min="9" max="10" width="15.7109375" customWidth="1"/>
    <col min="11" max="11" width="17.7109375" customWidth="1"/>
    <col min="12" max="12" width="16.7109375" customWidth="1"/>
    <col min="13" max="13" width="42.710937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 t="s">
        <v>0</v>
      </c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 t="s">
        <v>1</v>
      </c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 t="s">
        <v>24</v>
      </c>
      <c r="K3" s="1"/>
      <c r="L3" s="1"/>
      <c r="M3" s="1"/>
    </row>
    <row r="4" spans="1:13" x14ac:dyDescent="0.25">
      <c r="A4" s="9" t="s">
        <v>25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11" t="s">
        <v>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25">
      <c r="A7" s="1" t="s">
        <v>23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45.95" customHeight="1" x14ac:dyDescent="0.25">
      <c r="A8" s="12" t="s">
        <v>26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 ht="57.95" customHeight="1" x14ac:dyDescent="0.25">
      <c r="A9" s="2" t="s">
        <v>4</v>
      </c>
      <c r="B9" s="2" t="s">
        <v>5</v>
      </c>
      <c r="C9" s="2" t="s">
        <v>6</v>
      </c>
      <c r="D9" s="2" t="s">
        <v>7</v>
      </c>
      <c r="E9" s="2" t="s">
        <v>8</v>
      </c>
      <c r="F9" s="2" t="s">
        <v>9</v>
      </c>
      <c r="G9" s="2" t="s">
        <v>10</v>
      </c>
      <c r="H9" s="2" t="s">
        <v>11</v>
      </c>
      <c r="I9" s="2" t="s">
        <v>12</v>
      </c>
      <c r="J9" s="2" t="s">
        <v>13</v>
      </c>
      <c r="K9" s="2" t="s">
        <v>14</v>
      </c>
      <c r="L9" s="2" t="s">
        <v>15</v>
      </c>
      <c r="M9" s="2" t="s">
        <v>16</v>
      </c>
    </row>
    <row r="10" spans="1:13" x14ac:dyDescent="0.25">
      <c r="A10" s="2">
        <v>1</v>
      </c>
      <c r="B10" s="2">
        <v>2</v>
      </c>
      <c r="C10" s="2">
        <v>3</v>
      </c>
      <c r="D10" s="2">
        <v>4</v>
      </c>
      <c r="E10" s="2">
        <v>5</v>
      </c>
      <c r="F10" s="2">
        <v>6</v>
      </c>
      <c r="G10" s="2">
        <v>7</v>
      </c>
      <c r="H10" s="2">
        <v>8</v>
      </c>
      <c r="I10" s="2">
        <v>9</v>
      </c>
      <c r="J10" s="2">
        <v>10</v>
      </c>
      <c r="K10" s="2">
        <v>11</v>
      </c>
      <c r="L10" s="2">
        <v>12</v>
      </c>
      <c r="M10" s="2">
        <v>13</v>
      </c>
    </row>
    <row r="11" spans="1:13" ht="60" x14ac:dyDescent="0.25">
      <c r="A11" s="7">
        <v>1</v>
      </c>
      <c r="B11" s="7">
        <v>81</v>
      </c>
      <c r="C11" s="4" t="s">
        <v>17</v>
      </c>
      <c r="D11" s="4" t="s">
        <v>27</v>
      </c>
      <c r="E11" s="4" t="s">
        <v>28</v>
      </c>
      <c r="F11" s="7" t="s">
        <v>29</v>
      </c>
      <c r="G11" s="5">
        <v>15</v>
      </c>
      <c r="H11" s="5">
        <v>11425</v>
      </c>
      <c r="I11" s="5">
        <f>ROUND(G11*H11,0)</f>
        <v>171375</v>
      </c>
      <c r="J11" s="4" t="s">
        <v>19</v>
      </c>
      <c r="K11" s="4" t="s">
        <v>20</v>
      </c>
      <c r="L11" s="4" t="s">
        <v>30</v>
      </c>
      <c r="M11" s="4" t="s">
        <v>31</v>
      </c>
    </row>
    <row r="12" spans="1:13" ht="90" x14ac:dyDescent="0.25">
      <c r="A12" s="7">
        <v>1</v>
      </c>
      <c r="B12" s="7">
        <v>82</v>
      </c>
      <c r="C12" s="4" t="s">
        <v>32</v>
      </c>
      <c r="D12" s="4" t="s">
        <v>33</v>
      </c>
      <c r="E12" s="4" t="s">
        <v>34</v>
      </c>
      <c r="F12" s="7" t="s">
        <v>18</v>
      </c>
      <c r="G12" s="5">
        <v>50</v>
      </c>
      <c r="H12" s="5">
        <v>5500</v>
      </c>
      <c r="I12" s="5">
        <f>ROUND(G12*H12,0)</f>
        <v>275000</v>
      </c>
      <c r="J12" s="4" t="s">
        <v>19</v>
      </c>
      <c r="K12" s="4" t="s">
        <v>20</v>
      </c>
      <c r="L12" s="4" t="s">
        <v>30</v>
      </c>
      <c r="M12" s="4" t="s">
        <v>35</v>
      </c>
    </row>
    <row r="13" spans="1:13" ht="60" x14ac:dyDescent="0.25">
      <c r="A13" s="7">
        <v>2</v>
      </c>
      <c r="B13" s="7">
        <v>83</v>
      </c>
      <c r="C13" s="4" t="s">
        <v>17</v>
      </c>
      <c r="D13" s="4" t="s">
        <v>36</v>
      </c>
      <c r="E13" s="4" t="s">
        <v>37</v>
      </c>
      <c r="F13" s="7" t="s">
        <v>21</v>
      </c>
      <c r="G13" s="5">
        <v>3</v>
      </c>
      <c r="H13" s="5">
        <v>30701</v>
      </c>
      <c r="I13" s="5">
        <f>ROUND(G13*H13,0)</f>
        <v>92103</v>
      </c>
      <c r="J13" s="4" t="s">
        <v>19</v>
      </c>
      <c r="K13" s="4" t="s">
        <v>20</v>
      </c>
      <c r="L13" s="4" t="s">
        <v>30</v>
      </c>
      <c r="M13" s="4" t="s">
        <v>38</v>
      </c>
    </row>
    <row r="14" spans="1:13" x14ac:dyDescent="0.25">
      <c r="A14" s="8"/>
      <c r="B14" s="8"/>
      <c r="C14" s="3"/>
      <c r="D14" s="3" t="s">
        <v>39</v>
      </c>
      <c r="E14" s="3"/>
      <c r="F14" s="8"/>
      <c r="G14" s="6"/>
      <c r="H14" s="6"/>
      <c r="I14" s="6">
        <f>SUM(I11:I13)</f>
        <v>538478</v>
      </c>
      <c r="J14" s="3"/>
      <c r="K14" s="3"/>
      <c r="L14" s="3"/>
      <c r="M14" s="3"/>
    </row>
  </sheetData>
  <mergeCells count="3">
    <mergeCell ref="A4:M4"/>
    <mergeCell ref="A6:M6"/>
    <mergeCell ref="A8:M8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x14ac:dyDescent="0.25"/>
  <cols>
    <col min="1" max="1" width="6.7109375" customWidth="1"/>
    <col min="2" max="2" width="62.7109375" customWidth="1"/>
    <col min="3" max="3" width="14.7109375" customWidth="1"/>
    <col min="4" max="4" width="70.7109375" customWidth="1"/>
    <col min="5" max="5" width="34.7109375" customWidth="1"/>
  </cols>
  <sheetData>
    <row r="1" spans="1:5" ht="15.75" x14ac:dyDescent="0.25">
      <c r="A1" s="14" t="s">
        <v>40</v>
      </c>
    </row>
    <row r="3" spans="1:5" x14ac:dyDescent="0.25">
      <c r="A3" s="15" t="s">
        <v>41</v>
      </c>
      <c r="B3" s="15" t="s">
        <v>42</v>
      </c>
      <c r="C3" s="15" t="s">
        <v>22</v>
      </c>
      <c r="D3" s="15" t="s">
        <v>43</v>
      </c>
      <c r="E3" s="15" t="s">
        <v>44</v>
      </c>
    </row>
    <row r="4" spans="1:5" ht="30" x14ac:dyDescent="0.25">
      <c r="A4" s="4">
        <v>81</v>
      </c>
      <c r="B4" s="4" t="s">
        <v>45</v>
      </c>
      <c r="C4" s="4" t="s">
        <v>46</v>
      </c>
      <c r="D4" s="16" t="s">
        <v>47</v>
      </c>
      <c r="E4" s="4" t="s">
        <v>48</v>
      </c>
    </row>
    <row r="5" spans="1:5" ht="30" x14ac:dyDescent="0.25">
      <c r="A5" s="4">
        <v>81</v>
      </c>
      <c r="B5" s="4" t="s">
        <v>49</v>
      </c>
      <c r="C5" s="4" t="s">
        <v>46</v>
      </c>
      <c r="D5" s="16" t="s">
        <v>50</v>
      </c>
      <c r="E5" s="4" t="s">
        <v>51</v>
      </c>
    </row>
    <row r="6" spans="1:5" x14ac:dyDescent="0.25">
      <c r="A6" s="4">
        <v>81</v>
      </c>
      <c r="B6" s="4" t="s">
        <v>52</v>
      </c>
      <c r="C6" s="4" t="s">
        <v>53</v>
      </c>
      <c r="D6" s="16" t="s">
        <v>54</v>
      </c>
      <c r="E6" s="4" t="s">
        <v>55</v>
      </c>
    </row>
    <row r="7" spans="1:5" ht="30" x14ac:dyDescent="0.25">
      <c r="A7" s="4">
        <v>82</v>
      </c>
      <c r="B7" s="4" t="s">
        <v>56</v>
      </c>
      <c r="C7" s="4" t="s">
        <v>57</v>
      </c>
      <c r="D7" s="16" t="s">
        <v>58</v>
      </c>
      <c r="E7" s="4" t="s">
        <v>59</v>
      </c>
    </row>
    <row r="8" spans="1:5" x14ac:dyDescent="0.25">
      <c r="A8" s="4">
        <v>82</v>
      </c>
      <c r="B8" s="4" t="s">
        <v>60</v>
      </c>
      <c r="C8" s="4" t="s">
        <v>61</v>
      </c>
      <c r="D8" s="16" t="s">
        <v>62</v>
      </c>
      <c r="E8" s="4" t="s">
        <v>63</v>
      </c>
    </row>
    <row r="9" spans="1:5" ht="30" x14ac:dyDescent="0.25">
      <c r="A9" s="4">
        <v>83</v>
      </c>
      <c r="B9" s="4" t="s">
        <v>64</v>
      </c>
      <c r="C9" s="4" t="s">
        <v>65</v>
      </c>
      <c r="D9" s="16" t="s">
        <v>66</v>
      </c>
      <c r="E9" s="4" t="s">
        <v>67</v>
      </c>
    </row>
    <row r="10" spans="1:5" ht="30" x14ac:dyDescent="0.25">
      <c r="A10" s="4">
        <v>83</v>
      </c>
      <c r="B10" s="4" t="s">
        <v>68</v>
      </c>
      <c r="C10" s="4" t="s">
        <v>69</v>
      </c>
      <c r="D10" s="16" t="s">
        <v>70</v>
      </c>
      <c r="E10" s="4" t="s">
        <v>71</v>
      </c>
    </row>
    <row r="11" spans="1:5" x14ac:dyDescent="0.25">
      <c r="A11" s="4">
        <v>83</v>
      </c>
      <c r="B11" s="4" t="s">
        <v>72</v>
      </c>
      <c r="C11" s="4" t="s">
        <v>73</v>
      </c>
      <c r="D11" s="16" t="s">
        <v>74</v>
      </c>
      <c r="E11" s="4" t="s">
        <v>75</v>
      </c>
    </row>
  </sheetData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</hyperlinks>
  <pageMargins left="0.7" right="0.7" top="0.75" bottom="0.75" header="0.3" footer="0.3"/>
  <pageSetup paperSize="9" orientation="portrait" verticalDpi="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IV кв. 2026</vt:lpstr>
      <vt:lpstr>Ссылки на примеры</vt:lpstr>
    </vt:vector>
  </TitlesOfParts>
  <Company>CACF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Temirbekov</dc:creator>
  <cp:lastModifiedBy>Temirbekov</cp:lastModifiedBy>
  <dcterms:created xsi:type="dcterms:W3CDTF">2026-09-17T13:36:34Z</dcterms:created>
  <dcterms:modified xsi:type="dcterms:W3CDTF">2026-10-19T11:56:08Z</dcterms:modified>
</cp:coreProperties>
</file>